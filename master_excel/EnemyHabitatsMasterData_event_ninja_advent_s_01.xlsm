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660" yWindow="880" windowWidth="35560" windowHeight="195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8" l="1"/>
  <c r="D15" i="18"/>
  <c r="C14" i="18"/>
  <c r="D14" i="18"/>
  <c r="C13" i="18"/>
  <c r="D13" i="18"/>
  <c r="H70" i="9"/>
  <c r="Y2" i="7"/>
  <c r="A37" i="9"/>
  <c r="D37" i="9"/>
  <c r="E37" i="9"/>
  <c r="G37" i="9"/>
  <c r="H37" i="9"/>
  <c r="I37" i="9"/>
  <c r="J37" i="9"/>
  <c r="K37" i="9"/>
  <c r="L37" i="9"/>
  <c r="M37" i="9"/>
  <c r="N37" i="9"/>
  <c r="J66" i="11"/>
  <c r="O37" i="9"/>
  <c r="C12" i="18"/>
  <c r="C11" i="18"/>
  <c r="C10" i="18"/>
  <c r="C9" i="18"/>
  <c r="C8" i="18"/>
  <c r="C7" i="18"/>
  <c r="C6" i="18"/>
  <c r="C5" i="18"/>
  <c r="C4" i="18"/>
  <c r="C3" i="18"/>
  <c r="C2" i="18"/>
  <c r="G66" i="9"/>
  <c r="H66" i="9"/>
  <c r="I66" i="9"/>
  <c r="J66" i="9"/>
  <c r="K66" i="9"/>
  <c r="L66" i="9"/>
  <c r="M66" i="9"/>
  <c r="N66" i="9"/>
  <c r="G67" i="9"/>
  <c r="H67" i="9"/>
  <c r="I67" i="9"/>
  <c r="J67" i="9"/>
  <c r="K67" i="9"/>
  <c r="L67" i="9"/>
  <c r="M67" i="9"/>
  <c r="N67" i="9"/>
  <c r="G68" i="9"/>
  <c r="H68" i="9"/>
  <c r="I68" i="9"/>
  <c r="J68" i="9"/>
  <c r="K68" i="9"/>
  <c r="L68" i="9"/>
  <c r="M68" i="9"/>
  <c r="N68" i="9"/>
  <c r="G69" i="9"/>
  <c r="H69" i="9"/>
  <c r="I69" i="9"/>
  <c r="J69" i="9"/>
  <c r="K69" i="9"/>
  <c r="L69" i="9"/>
  <c r="M69" i="9"/>
  <c r="N69" i="9"/>
  <c r="G70" i="9"/>
  <c r="I70" i="9"/>
  <c r="J70" i="9"/>
  <c r="K70" i="9"/>
  <c r="L70" i="9"/>
  <c r="M70" i="9"/>
  <c r="N70" i="9"/>
  <c r="G71" i="9"/>
  <c r="H71" i="9"/>
  <c r="I71" i="9"/>
  <c r="J71" i="9"/>
  <c r="K71" i="9"/>
  <c r="L71" i="9"/>
  <c r="M71" i="9"/>
  <c r="N71" i="9"/>
  <c r="G72" i="9"/>
  <c r="H72" i="9"/>
  <c r="I72" i="9"/>
  <c r="J72" i="9"/>
  <c r="K72" i="9"/>
  <c r="L72" i="9"/>
  <c r="M72" i="9"/>
  <c r="N72" i="9"/>
  <c r="G73" i="9"/>
  <c r="H73" i="9"/>
  <c r="I73" i="9"/>
  <c r="J73" i="9"/>
  <c r="K73" i="9"/>
  <c r="L73" i="9"/>
  <c r="M73" i="9"/>
  <c r="N73" i="9"/>
  <c r="G74" i="9"/>
  <c r="H74" i="9"/>
  <c r="I74" i="9"/>
  <c r="J74" i="9"/>
  <c r="K74" i="9"/>
  <c r="L74" i="9"/>
  <c r="M74" i="9"/>
  <c r="N74" i="9"/>
  <c r="G75" i="9"/>
  <c r="H75" i="9"/>
  <c r="I75" i="9"/>
  <c r="J75" i="9"/>
  <c r="K75" i="9"/>
  <c r="L75" i="9"/>
  <c r="M75" i="9"/>
  <c r="N75" i="9"/>
  <c r="J68" i="11"/>
  <c r="J69" i="11"/>
  <c r="J70" i="11"/>
  <c r="J71" i="11"/>
  <c r="J72" i="11"/>
  <c r="J73" i="11"/>
  <c r="J74" i="11"/>
  <c r="J75" i="11"/>
  <c r="J76" i="11"/>
  <c r="J77" i="11"/>
  <c r="A75" i="9"/>
  <c r="D75" i="9"/>
  <c r="E75" i="9"/>
  <c r="O75" i="9"/>
  <c r="A68" i="9"/>
  <c r="D68" i="9"/>
  <c r="E68" i="9"/>
  <c r="O68" i="9"/>
  <c r="A69" i="9"/>
  <c r="D69" i="9"/>
  <c r="E69" i="9"/>
  <c r="O69" i="9"/>
  <c r="A70" i="9"/>
  <c r="D70" i="9"/>
  <c r="E70" i="9"/>
  <c r="O70" i="9"/>
  <c r="A71" i="9"/>
  <c r="D71" i="9"/>
  <c r="E71" i="9"/>
  <c r="O71" i="9"/>
  <c r="A72" i="9"/>
  <c r="D72" i="9"/>
  <c r="E72" i="9"/>
  <c r="O72" i="9"/>
  <c r="A73" i="9"/>
  <c r="D73" i="9"/>
  <c r="E73" i="9"/>
  <c r="O73" i="9"/>
  <c r="A74" i="9"/>
  <c r="D74" i="9"/>
  <c r="E74" i="9"/>
  <c r="O74" i="9"/>
  <c r="G38" i="9"/>
  <c r="H38" i="9"/>
  <c r="I38" i="9"/>
  <c r="J38" i="9"/>
  <c r="K38" i="9"/>
  <c r="L38" i="9"/>
  <c r="M38" i="9"/>
  <c r="N38" i="9"/>
  <c r="J67" i="11"/>
  <c r="O38" i="9"/>
  <c r="E38" i="9"/>
  <c r="D38" i="9"/>
  <c r="A38" i="9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D2" i="18"/>
  <c r="D3" i="18"/>
  <c r="D4" i="18"/>
  <c r="D5" i="18"/>
  <c r="D6" i="18"/>
  <c r="D7" i="18"/>
  <c r="D8" i="18"/>
  <c r="D9" i="18"/>
  <c r="D10" i="18"/>
  <c r="D11" i="18"/>
  <c r="D12" i="18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M59" i="9"/>
  <c r="N59" i="9"/>
  <c r="G60" i="9"/>
  <c r="H60" i="9"/>
  <c r="I60" i="9"/>
  <c r="J60" i="9"/>
  <c r="K60" i="9"/>
  <c r="L60" i="9"/>
  <c r="M60" i="9"/>
  <c r="N60" i="9"/>
  <c r="G61" i="9"/>
  <c r="H61" i="9"/>
  <c r="I61" i="9"/>
  <c r="J61" i="9"/>
  <c r="K61" i="9"/>
  <c r="L61" i="9"/>
  <c r="M61" i="9"/>
  <c r="N61" i="9"/>
  <c r="G62" i="9"/>
  <c r="H62" i="9"/>
  <c r="I62" i="9"/>
  <c r="J62" i="9"/>
  <c r="K62" i="9"/>
  <c r="L62" i="9"/>
  <c r="M62" i="9"/>
  <c r="N62" i="9"/>
  <c r="G63" i="9"/>
  <c r="H63" i="9"/>
  <c r="I63" i="9"/>
  <c r="J63" i="9"/>
  <c r="K63" i="9"/>
  <c r="L63" i="9"/>
  <c r="M63" i="9"/>
  <c r="N63" i="9"/>
  <c r="G64" i="9"/>
  <c r="H64" i="9"/>
  <c r="I64" i="9"/>
  <c r="J64" i="9"/>
  <c r="K64" i="9"/>
  <c r="L64" i="9"/>
  <c r="M64" i="9"/>
  <c r="N64" i="9"/>
  <c r="G65" i="9"/>
  <c r="H65" i="9"/>
  <c r="I65" i="9"/>
  <c r="J65" i="9"/>
  <c r="K65" i="9"/>
  <c r="L65" i="9"/>
  <c r="M65" i="9"/>
  <c r="N65" i="9"/>
  <c r="G5" i="9"/>
  <c r="H5" i="9"/>
  <c r="I5" i="9"/>
  <c r="J5" i="9"/>
  <c r="K5" i="9"/>
  <c r="L5" i="9"/>
  <c r="M5" i="9"/>
  <c r="N5" i="9"/>
  <c r="J64" i="11"/>
  <c r="J65" i="11"/>
  <c r="J15" i="11"/>
  <c r="O19" i="9"/>
  <c r="E19" i="9"/>
  <c r="D19" i="9"/>
  <c r="A19" i="9"/>
  <c r="J13" i="11"/>
  <c r="O16" i="9"/>
  <c r="E16" i="9"/>
  <c r="D16" i="9"/>
  <c r="A16" i="9"/>
  <c r="J11" i="11"/>
  <c r="O13" i="9"/>
  <c r="E13" i="9"/>
  <c r="D13" i="9"/>
  <c r="A13" i="9"/>
  <c r="J9" i="11"/>
  <c r="O10" i="9"/>
  <c r="E10" i="9"/>
  <c r="D10" i="9"/>
  <c r="A10" i="9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E2" i="9"/>
  <c r="X2" i="1"/>
  <c r="E6" i="9"/>
  <c r="X3" i="1"/>
  <c r="E7" i="9"/>
  <c r="X4" i="1"/>
  <c r="E8" i="9"/>
  <c r="X5" i="1"/>
  <c r="E12" i="9"/>
  <c r="X6" i="1"/>
  <c r="E15" i="9"/>
  <c r="X7" i="1"/>
  <c r="E18" i="9"/>
  <c r="X8" i="1"/>
  <c r="E21" i="9"/>
  <c r="X9" i="1"/>
  <c r="E39" i="9"/>
  <c r="X10" i="1"/>
  <c r="J3" i="11"/>
  <c r="J4" i="11"/>
  <c r="J5" i="11"/>
  <c r="J6" i="11"/>
  <c r="J7" i="11"/>
  <c r="J8" i="11"/>
  <c r="J10" i="11"/>
  <c r="J12" i="11"/>
  <c r="J14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A3" i="9"/>
  <c r="D3" i="9"/>
  <c r="E3" i="9"/>
  <c r="O3" i="9"/>
  <c r="A4" i="9"/>
  <c r="D4" i="9"/>
  <c r="E4" i="9"/>
  <c r="O4" i="9"/>
  <c r="A6" i="9"/>
  <c r="D6" i="9"/>
  <c r="O6" i="9"/>
  <c r="A7" i="9"/>
  <c r="D7" i="9"/>
  <c r="O7" i="9"/>
  <c r="A8" i="9"/>
  <c r="D8" i="9"/>
  <c r="O8" i="9"/>
  <c r="A9" i="9"/>
  <c r="D9" i="9"/>
  <c r="E9" i="9"/>
  <c r="O9" i="9"/>
  <c r="A11" i="9"/>
  <c r="D11" i="9"/>
  <c r="E11" i="9"/>
  <c r="O11" i="9"/>
  <c r="A12" i="9"/>
  <c r="D12" i="9"/>
  <c r="O12" i="9"/>
  <c r="A14" i="9"/>
  <c r="D14" i="9"/>
  <c r="E14" i="9"/>
  <c r="O14" i="9"/>
  <c r="A15" i="9"/>
  <c r="D15" i="9"/>
  <c r="O15" i="9"/>
  <c r="A17" i="9"/>
  <c r="D17" i="9"/>
  <c r="E17" i="9"/>
  <c r="O17" i="9"/>
  <c r="A18" i="9"/>
  <c r="D18" i="9"/>
  <c r="O18" i="9"/>
  <c r="A20" i="9"/>
  <c r="D20" i="9"/>
  <c r="E20" i="9"/>
  <c r="O20" i="9"/>
  <c r="A21" i="9"/>
  <c r="D21" i="9"/>
  <c r="O21" i="9"/>
  <c r="A22" i="9"/>
  <c r="D22" i="9"/>
  <c r="E22" i="9"/>
  <c r="O22" i="9"/>
  <c r="A23" i="9"/>
  <c r="D23" i="9"/>
  <c r="E23" i="9"/>
  <c r="O23" i="9"/>
  <c r="A24" i="9"/>
  <c r="D24" i="9"/>
  <c r="E24" i="9"/>
  <c r="O24" i="9"/>
  <c r="A25" i="9"/>
  <c r="D25" i="9"/>
  <c r="E25" i="9"/>
  <c r="O25" i="9"/>
  <c r="A26" i="9"/>
  <c r="D26" i="9"/>
  <c r="E26" i="9"/>
  <c r="O26" i="9"/>
  <c r="A27" i="9"/>
  <c r="D27" i="9"/>
  <c r="E27" i="9"/>
  <c r="O27" i="9"/>
  <c r="A28" i="9"/>
  <c r="D28" i="9"/>
  <c r="E28" i="9"/>
  <c r="O28" i="9"/>
  <c r="A29" i="9"/>
  <c r="D29" i="9"/>
  <c r="E29" i="9"/>
  <c r="O29" i="9"/>
  <c r="A30" i="9"/>
  <c r="D30" i="9"/>
  <c r="E30" i="9"/>
  <c r="O30" i="9"/>
  <c r="A31" i="9"/>
  <c r="D31" i="9"/>
  <c r="E31" i="9"/>
  <c r="O31" i="9"/>
  <c r="A32" i="9"/>
  <c r="D32" i="9"/>
  <c r="E32" i="9"/>
  <c r="O32" i="9"/>
  <c r="A33" i="9"/>
  <c r="D33" i="9"/>
  <c r="E33" i="9"/>
  <c r="O33" i="9"/>
  <c r="A34" i="9"/>
  <c r="D34" i="9"/>
  <c r="E34" i="9"/>
  <c r="O34" i="9"/>
  <c r="A35" i="9"/>
  <c r="D35" i="9"/>
  <c r="E35" i="9"/>
  <c r="O35" i="9"/>
  <c r="A36" i="9"/>
  <c r="D36" i="9"/>
  <c r="E36" i="9"/>
  <c r="O36" i="9"/>
  <c r="A39" i="9"/>
  <c r="D39" i="9"/>
  <c r="O39" i="9"/>
  <c r="A40" i="9"/>
  <c r="D40" i="9"/>
  <c r="E40" i="9"/>
  <c r="O40" i="9"/>
  <c r="A41" i="9"/>
  <c r="D41" i="9"/>
  <c r="E41" i="9"/>
  <c r="O41" i="9"/>
  <c r="A42" i="9"/>
  <c r="D42" i="9"/>
  <c r="E42" i="9"/>
  <c r="O42" i="9"/>
  <c r="A43" i="9"/>
  <c r="D43" i="9"/>
  <c r="E43" i="9"/>
  <c r="O43" i="9"/>
  <c r="A44" i="9"/>
  <c r="D44" i="9"/>
  <c r="E44" i="9"/>
  <c r="O44" i="9"/>
  <c r="A45" i="9"/>
  <c r="D45" i="9"/>
  <c r="E45" i="9"/>
  <c r="O45" i="9"/>
  <c r="A46" i="9"/>
  <c r="D46" i="9"/>
  <c r="E46" i="9"/>
  <c r="O46" i="9"/>
  <c r="A47" i="9"/>
  <c r="D47" i="9"/>
  <c r="E47" i="9"/>
  <c r="O47" i="9"/>
  <c r="A48" i="9"/>
  <c r="D48" i="9"/>
  <c r="E48" i="9"/>
  <c r="O48" i="9"/>
  <c r="A49" i="9"/>
  <c r="D49" i="9"/>
  <c r="E49" i="9"/>
  <c r="O49" i="9"/>
  <c r="A50" i="9"/>
  <c r="D50" i="9"/>
  <c r="E50" i="9"/>
  <c r="O50" i="9"/>
  <c r="A51" i="9"/>
  <c r="D51" i="9"/>
  <c r="E51" i="9"/>
  <c r="O51" i="9"/>
  <c r="A52" i="9"/>
  <c r="D52" i="9"/>
  <c r="E52" i="9"/>
  <c r="O52" i="9"/>
  <c r="A53" i="9"/>
  <c r="D53" i="9"/>
  <c r="E53" i="9"/>
  <c r="O53" i="9"/>
  <c r="A54" i="9"/>
  <c r="D54" i="9"/>
  <c r="E54" i="9"/>
  <c r="O54" i="9"/>
  <c r="A55" i="9"/>
  <c r="D55" i="9"/>
  <c r="E55" i="9"/>
  <c r="O55" i="9"/>
  <c r="A56" i="9"/>
  <c r="D56" i="9"/>
  <c r="E56" i="9"/>
  <c r="O56" i="9"/>
  <c r="A57" i="9"/>
  <c r="D57" i="9"/>
  <c r="E57" i="9"/>
  <c r="O57" i="9"/>
  <c r="A58" i="9"/>
  <c r="D58" i="9"/>
  <c r="E58" i="9"/>
  <c r="O58" i="9"/>
  <c r="A59" i="9"/>
  <c r="D59" i="9"/>
  <c r="E59" i="9"/>
  <c r="O59" i="9"/>
  <c r="A60" i="9"/>
  <c r="D60" i="9"/>
  <c r="E60" i="9"/>
  <c r="O60" i="9"/>
  <c r="A61" i="9"/>
  <c r="D61" i="9"/>
  <c r="E61" i="9"/>
  <c r="O61" i="9"/>
  <c r="A62" i="9"/>
  <c r="D62" i="9"/>
  <c r="E62" i="9"/>
  <c r="O62" i="9"/>
  <c r="A63" i="9"/>
  <c r="D63" i="9"/>
  <c r="E63" i="9"/>
  <c r="O63" i="9"/>
  <c r="A64" i="9"/>
  <c r="D64" i="9"/>
  <c r="E64" i="9"/>
  <c r="O64" i="9"/>
  <c r="A65" i="9"/>
  <c r="D65" i="9"/>
  <c r="E65" i="9"/>
  <c r="O65" i="9"/>
  <c r="A66" i="9"/>
  <c r="D66" i="9"/>
  <c r="E66" i="9"/>
  <c r="O66" i="9"/>
  <c r="A67" i="9"/>
  <c r="D67" i="9"/>
  <c r="E67" i="9"/>
  <c r="O67" i="9"/>
  <c r="A5" i="9"/>
  <c r="D5" i="9"/>
  <c r="E5" i="9"/>
  <c r="O5" i="9"/>
  <c r="N2" i="7"/>
  <c r="O2" i="7"/>
  <c r="P2" i="7"/>
  <c r="Q2" i="7"/>
  <c r="R2" i="7"/>
  <c r="U2" i="7"/>
  <c r="W2" i="7"/>
  <c r="N3" i="7"/>
  <c r="O3" i="7"/>
  <c r="P3" i="7"/>
  <c r="Q3" i="7"/>
  <c r="R3" i="7"/>
  <c r="U3" i="7"/>
  <c r="W3" i="7"/>
  <c r="Y3" i="7"/>
  <c r="N4" i="7"/>
  <c r="O4" i="7"/>
  <c r="P4" i="7"/>
  <c r="Q4" i="7"/>
  <c r="R4" i="7"/>
  <c r="U4" i="7"/>
  <c r="W4" i="7"/>
  <c r="Y4" i="7"/>
  <c r="A2" i="7"/>
  <c r="A3" i="7"/>
  <c r="A4" i="7"/>
  <c r="Y5" i="7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J5" i="7"/>
  <c r="I5" i="7"/>
  <c r="D5" i="7"/>
  <c r="F5" i="7"/>
  <c r="E5" i="7"/>
  <c r="A5" i="7"/>
  <c r="D3" i="7"/>
  <c r="E3" i="7"/>
  <c r="F3" i="7"/>
  <c r="H3" i="7"/>
  <c r="I3" i="7"/>
  <c r="J3" i="7"/>
  <c r="D4" i="7"/>
  <c r="E4" i="7"/>
  <c r="F4" i="7"/>
  <c r="H4" i="7"/>
  <c r="I4" i="7"/>
  <c r="J4" i="7"/>
  <c r="AD10" i="1"/>
  <c r="AF10" i="1"/>
  <c r="AI10" i="1"/>
  <c r="AG10" i="1"/>
  <c r="AE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H2" i="1"/>
  <c r="H3" i="1"/>
  <c r="B3" i="2"/>
  <c r="D3" i="2"/>
  <c r="E3" i="2"/>
  <c r="H3" i="2"/>
  <c r="B4" i="2"/>
  <c r="D4" i="2"/>
  <c r="E4" i="2"/>
  <c r="H4" i="2"/>
  <c r="B5" i="2"/>
  <c r="D5" i="2"/>
  <c r="E5" i="2"/>
  <c r="H5" i="2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X65" i="10"/>
  <c r="Y65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G46" i="10"/>
  <c r="H46" i="10"/>
  <c r="I46" i="10"/>
  <c r="J46" i="10"/>
  <c r="K46" i="10"/>
  <c r="L46" i="10"/>
  <c r="M46" i="10"/>
  <c r="M56" i="10"/>
  <c r="N56" i="10"/>
  <c r="Q56" i="10"/>
  <c r="P56" i="10"/>
  <c r="R56" i="10"/>
  <c r="O56" i="10"/>
  <c r="S5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" i="10"/>
  <c r="H3" i="10"/>
  <c r="I3" i="10"/>
  <c r="J3" i="10"/>
  <c r="K3" i="10"/>
  <c r="L3" i="10"/>
  <c r="M3" i="10"/>
  <c r="M13" i="10"/>
  <c r="M2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4" i="10"/>
  <c r="N24" i="10"/>
  <c r="Q24" i="10"/>
  <c r="P24" i="10"/>
  <c r="R24" i="10"/>
  <c r="O24" i="10"/>
  <c r="S24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M25" i="10"/>
  <c r="N25" i="10"/>
  <c r="Q25" i="10"/>
  <c r="P25" i="10"/>
  <c r="R25" i="10"/>
  <c r="O25" i="10"/>
  <c r="S25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6" i="10"/>
  <c r="N26" i="10"/>
  <c r="Q26" i="10"/>
  <c r="P26" i="10"/>
  <c r="R26" i="10"/>
  <c r="O26" i="10"/>
  <c r="S26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M27" i="10"/>
  <c r="N27" i="10"/>
  <c r="Q27" i="10"/>
  <c r="P27" i="10"/>
  <c r="R27" i="10"/>
  <c r="O27" i="10"/>
  <c r="S27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V3" i="1"/>
  <c r="V2" i="1"/>
  <c r="T3" i="1"/>
  <c r="T2" i="1"/>
  <c r="C13" i="16"/>
  <c r="E13" i="16"/>
  <c r="N2" i="22"/>
  <c r="G2" i="22"/>
  <c r="F2" i="22"/>
  <c r="D2" i="22"/>
  <c r="C2" i="22"/>
  <c r="A2" i="2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AD3" i="1"/>
  <c r="AG3" i="1"/>
  <c r="AF3" i="1"/>
  <c r="AE3" i="1"/>
  <c r="AD2" i="1"/>
  <c r="AG2" i="1"/>
  <c r="AF2" i="1"/>
  <c r="AE2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<sst xmlns="http://schemas.openxmlformats.org/spreadsheetml/2006/main" count="959" uniqueCount="467">
  <si>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</si>
  <si>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</si>
  <si>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</si>
  <si>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</si>
  <si>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</si>
  <si>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</si>
  <si>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</si>
  <si>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</si>
  <si>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</si>
  <si>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</si>
  <si>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</si>
  <si>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</si>
  <si>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</si>
  <si>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</si>
  <si>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</si>
  <si>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</si>
  <si>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</si>
  <si>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</si>
  <si>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</si>
  <si>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</si>
  <si>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</si>
  <si>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</si>
  <si>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</si>
  <si>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</si>
  <si>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</si>
  <si>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</si>
  <si>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</si>
  <si>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</si>
  <si>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</si>
  <si>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</si>
  <si>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</si>
  <si>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</si>
  <si>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</si>
  <si>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</si>
  <si>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</si>
  <si>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</si>
  <si>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</si>
  <si>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</si>
  <si>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</si>
  <si>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</si>
  <si>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</si>
  <si>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</si>
  <si>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</si>
  <si>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</si>
  <si>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</si>
  <si>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</si>
  <si>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</si>
  <si>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</si>
  <si>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</si>
  <si>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</si>
  <si>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</si>
  <si>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</si>
  <si>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</si>
  <si>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</si>
  <si>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</si>
  <si>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</si>
  <si>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</si>
  <si>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</si>
  <si>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</si>
  <si>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</si>
  <si>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</si>
  <si>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</si>
  <si>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</si>
  <si>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</si>
  <si>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</si>
  <si>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</si>
  <si>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</si>
  <si>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</si>
  <si>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</si>
  <si>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</si>
  <si>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</si>
  <si>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</si>
  <si>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</si>
  <si>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</si>
  <si>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</si>
  <si>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</si>
  <si>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</si>
  <si>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</si>
  <si>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</si>
  <si>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</si>
  <si>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</si>
  <si>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</si>
  <si>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</si>
  <si>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</si>
  <si>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</si>
  <si>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</si>
  <si>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</si>
  <si>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</si>
  <si>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</si>
  <si>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</si>
  <si>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</si>
  <si>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</si>
  <si>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</si>
  <si>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</si>
  <si>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</si>
  <si>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</si>
  <si>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</si>
  <si>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</si>
  <si>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</si>
  <si>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</si>
  <si>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</si>
  <si>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</si>
  <si>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</si>
  <si>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</si>
  <si>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</si>
  <si>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</si>
  <si>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</si>
  <si>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</si>
  <si>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</si>
  <si>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</si>
  <si>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</si>
  <si>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</si>
  <si>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</si>
  <si>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</si>
  <si>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</si>
  <si>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</si>
  <si>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</si>
  <si>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</si>
  <si>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</si>
  <si>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</si>
  <si>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</si>
  <si>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</si>
  <si>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</si>
  <si>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</si>
  <si>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</si>
  <si>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</si>
  <si>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</si>
  <si>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</si>
  <si>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</si>
  <si>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</si>
  <si>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</si>
  <si>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</si>
  <si>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</si>
  <si>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</si>
  <si>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</si>
  <si>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</si>
  <si>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</si>
  <si>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</si>
  <si>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</si>
  <si>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</si>
  <si>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</si>
  <si>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</si>
  <si>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</si>
  <si>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</si>
  <si>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</si>
  <si>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</si>
  <si>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</si>
  <si>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</si>
  <si>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</si>
  <si>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</si>
  <si>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</si>
  <si>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</si>
  <si>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</si>
  <si>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</si>
  <si>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</si>
  <si>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</si>
  <si>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</si>
  <si>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</si>
  <si>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</si>
  <si>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</si>
  <si>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</si>
  <si>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</si>
  <si>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</si>
  <si>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</si>
  <si>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</si>
  <si>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</si>
  <si>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</si>
  <si>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</si>
  <si>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</si>
  <si>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</si>
  <si>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</si>
  <si>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</si>
  <si>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</si>
  <si>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</si>
  <si>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</si>
  <si>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</si>
  <si>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</si>
  <si>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</si>
  <si>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</si>
  <si>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</si>
  <si>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</si>
  <si>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</si>
  <si>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</si>
  <si>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</si>
  <si>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</si>
  <si>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</si>
  <si>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</si>
  <si>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</si>
  <si>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</si>
  <si>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</si>
  <si>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</si>
  <si>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</si>
  <si>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</si>
  <si>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</si>
  <si>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</si>
  <si>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</si>
  <si>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</si>
  <si>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</si>
  <si>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</si>
  <si>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</si>
  <si>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</si>
  <si>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</si>
  <si>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</si>
  <si>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</si>
  <si>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</si>
  <si>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</si>
  <si>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</si>
  <si>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</si>
  <si>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</si>
  <si>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</si>
  <si>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</si>
  <si>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</si>
  <si>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</si>
  <si>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</si>
  <si>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</si>
  <si>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</si>
  <si>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</si>
  <si>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</si>
  <si>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</si>
  <si>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</si>
  <si>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</si>
  <si>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</si>
  <si>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</si>
  <si>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</si>
  <si>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</si>
  <si>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</si>
  <si>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</si>
  <si>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</si>
  <si>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</si>
  <si>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</si>
  <si>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</si>
  <si>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</si>
  <si>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</si>
  <si>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</si>
  <si>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</si>
  <si>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</si>
  <si>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</si>
  <si>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</si>
  <si>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</si>
  <si>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</si>
  <si>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</si>
  <si>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</si>
  <si>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</si>
  <si>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</si>
  <si>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</si>
  <si>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</si>
  <si>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</si>
  <si>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</si>
  <si>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</si>
  <si>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 xml:space="preserve">[effect:virus, target:unit_all, turn:-1, rate:1, val:0.08, animation:enemy_virus]    </t>
    <phoneticPr fontId="5"/>
  </si>
  <si>
    <t>[effect:panel_freeze, target:normal, color:block_blue, count:-1]</t>
    <phoneticPr fontId="5"/>
  </si>
  <si>
    <t>[effect:crash_condition, target:unit_all, turn:2, val:2, animation:enemy_crash_extend]</t>
    <phoneticPr fontId="5"/>
  </si>
  <si>
    <t>[effect:enhance_enemy, target:enemy_all, turn:1, status:attack, val:0.2, calc:mul, animation:enemy_enhance_attack],[effect:spread, val:0.25]</t>
    <phoneticPr fontId="5"/>
  </si>
  <si>
    <t>[effect:rush, count:8, val:0.2]</t>
    <phoneticPr fontId="5"/>
  </si>
  <si>
    <t xml:space="preserve">[effect:enhance_enemy, target:myself, turn:-1, status:attack, val:0.2, calc:mul, animation:enemy_enhance_attack]    </t>
    <phoneticPr fontId="5"/>
  </si>
  <si>
    <t>[effect:degrade_unit, target:unit_all, turn:1, status:attack, val:0.5, calc:mul],[effect:spread, val:0.25]</t>
    <phoneticPr fontId="5"/>
  </si>
  <si>
    <t>[effect:spread, val:0.3]</t>
    <phoneticPr fontId="5"/>
  </si>
  <si>
    <t>[effect:panel_freeze, target:normal, color:block_blue, count:-1],[effect:panel_freeze, target:normal, color:block_red, count:-1],[effect:panel_freeze, target:normal, color:block_green, count:-1],[effect:panel_freeze, target:normal, color:block_yellow, count:-1],[effect:spread, val:0.25]</t>
    <phoneticPr fontId="5"/>
  </si>
  <si>
    <t>[effect:damage_gravity, val:0.5, animation:fevergauge_down]</t>
    <phoneticPr fontId="5"/>
  </si>
  <si>
    <t>[effect:damage_gravity, val:0.5, animation:fevergauge_down],[effect:panel_freeze, target:normal, color:block_red, count:-1]</t>
    <phoneticPr fontId="5"/>
  </si>
  <si>
    <t xml:space="preserve">[effect:virus, target:unit_all, turn:5, rate:1, val:0.15, animation:enemy_virus]    </t>
    <phoneticPr fontId="5"/>
  </si>
  <si>
    <t>[effect:rush, count:20, val:0.1]</t>
    <phoneticPr fontId="5"/>
  </si>
  <si>
    <t>[effect:spread, val:0.15],[effect:spread, val:0.15]</t>
    <phoneticPr fontId="5"/>
  </si>
  <si>
    <t>[effect:heal, target:enemy_all, val:0.3, animation:enemy_heal],[effect:spread, val:0.25]</t>
    <phoneticPr fontId="5"/>
  </si>
  <si>
    <t xml:space="preserve">[effect:tolerance, target:myself, turn:-1, count:-1, tolerance_effect:all, animation:enemy_tolerance]    </t>
    <phoneticPr fontId="5"/>
  </si>
  <si>
    <t>old</t>
  </si>
  <si>
    <t>null</t>
    <phoneticPr fontId="5"/>
  </si>
  <si>
    <t>null</t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</si>
  <si>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</si>
  <si>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</si>
  <si>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</si>
  <si>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</si>
  <si>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</si>
  <si>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</si>
  <si>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</si>
  <si>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</si>
  <si>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 xml:space="preserve">[effect:enhance_enemy, target:enemy_yellow, turn:-1, status:defense, val:3000, calc:add, animation:enemy_enhance_defense]    </t>
    <phoneticPr fontId="5"/>
  </si>
  <si>
    <t xml:space="preserve">[effect:enhance_enemy, target:enemy_yellow, turn:-1, status:attack, val:0.5, calc:mul, animation:enemy_enhance_attack]    </t>
    <phoneticPr fontId="5"/>
  </si>
  <si>
    <t>熱風</t>
    <rPh sb="0" eb="2">
      <t>ネップウ</t>
    </rPh>
    <phoneticPr fontId="5"/>
  </si>
  <si>
    <t>後方支援</t>
    <rPh sb="0" eb="4">
      <t>コウホウシエン</t>
    </rPh>
    <phoneticPr fontId="5"/>
  </si>
  <si>
    <t>ほほ、秀吉殿に挑戦かね？</t>
    <rPh sb="3" eb="5">
      <t>ヒデヨシ</t>
    </rPh>
    <rPh sb="5" eb="6">
      <t>ドノ</t>
    </rPh>
    <rPh sb="7" eb="9">
      <t>チョウセン</t>
    </rPh>
    <phoneticPr fontId="5"/>
  </si>
  <si>
    <t>まずはお手並み拝見といこう</t>
    <phoneticPr fontId="5"/>
  </si>
  <si>
    <t>苦いかの？ほっほ！</t>
    <rPh sb="0" eb="1">
      <t>ニガイ</t>
    </rPh>
    <phoneticPr fontId="5"/>
  </si>
  <si>
    <t>多重結界</t>
    <rPh sb="0" eb="2">
      <t>タジュウケッカイ</t>
    </rPh>
    <rPh sb="2" eb="4">
      <t>ケッカイ</t>
    </rPh>
    <phoneticPr fontId="5"/>
  </si>
  <si>
    <t>結界</t>
    <rPh sb="0" eb="2">
      <t>ケッカイ</t>
    </rPh>
    <phoneticPr fontId="5"/>
  </si>
  <si>
    <t>ふむ…上出来じゃの！</t>
    <rPh sb="3" eb="6">
      <t>ジョウデキ</t>
    </rPh>
    <phoneticPr fontId="5"/>
  </si>
  <si>
    <t>妨害ソース</t>
    <rPh sb="0" eb="2">
      <t>ボウガイ</t>
    </rPh>
    <phoneticPr fontId="5"/>
  </si>
  <si>
    <t>弱化ソース</t>
    <rPh sb="0" eb="2">
      <t>ジャクカ</t>
    </rPh>
    <phoneticPr fontId="5"/>
  </si>
  <si>
    <t xml:space="preserve">[effect:enhance_enemy, target:myself, turn:1, status:attack, val:0.2, calc:mul, animation:enemy_enhance_attack]    </t>
    <phoneticPr fontId="5"/>
  </si>
  <si>
    <t>[effect:damage_gravity, val:0.4, animation:fevergauge_down]</t>
    <phoneticPr fontId="5"/>
  </si>
  <si>
    <t xml:space="preserve">[effect:enhance_enemy, target:myself, turn:-1, status:attack, val:0.3, calc:mul, animation:enemy_enhance_attack]    </t>
    <phoneticPr fontId="5"/>
  </si>
  <si>
    <t>ふぅん…なかなかやるわね…</t>
    <phoneticPr fontId="5"/>
  </si>
  <si>
    <t>なるほどね…でもまだ！</t>
    <phoneticPr fontId="5"/>
  </si>
  <si>
    <t>ねーねー！秀吉様に挑戦するの？</t>
    <rPh sb="5" eb="8">
      <t>ヒデヨシサマ</t>
    </rPh>
    <rPh sb="9" eb="11">
      <t>チョウセｎ</t>
    </rPh>
    <phoneticPr fontId="5"/>
  </si>
  <si>
    <t>やめときなよっ！超強いから！</t>
    <rPh sb="8" eb="9">
      <t>チョウ</t>
    </rPh>
    <rPh sb="9" eb="10">
      <t>ツヨイ</t>
    </rPh>
    <phoneticPr fontId="5"/>
  </si>
  <si>
    <t>ぶっ叩くわよー！</t>
    <phoneticPr fontId="5"/>
  </si>
  <si>
    <t>ほんとに行くの？そう…</t>
    <rPh sb="4" eb="5">
      <t>イク</t>
    </rPh>
    <phoneticPr fontId="5"/>
  </si>
  <si>
    <t>わたしを倒してから行きなっ！</t>
    <rPh sb="4" eb="5">
      <t>タオシテカラ</t>
    </rPh>
    <rPh sb="9" eb="10">
      <t>イキ</t>
    </rPh>
    <phoneticPr fontId="5"/>
  </si>
  <si>
    <t>これならどうかしら！</t>
    <phoneticPr fontId="5"/>
  </si>
  <si>
    <t>よぉ！お前強いんだって？</t>
    <rPh sb="5" eb="6">
      <t>ツヨイ</t>
    </rPh>
    <phoneticPr fontId="5"/>
  </si>
  <si>
    <t>[effect:spread, val:0.4]</t>
    <phoneticPr fontId="5"/>
  </si>
  <si>
    <t>天下一はオレだ！偉そうにすんなっ！</t>
    <rPh sb="0" eb="3">
      <t>テンカイチ</t>
    </rPh>
    <rPh sb="8" eb="9">
      <t>エラソウニ</t>
    </rPh>
    <phoneticPr fontId="5"/>
  </si>
  <si>
    <t>ま、ゆっくり楽しもうぜ！</t>
    <rPh sb="6" eb="7">
      <t>タノシモウヤ</t>
    </rPh>
    <phoneticPr fontId="5"/>
  </si>
  <si>
    <t>今だ！やっちまえ！</t>
    <rPh sb="0" eb="1">
      <t>イマ</t>
    </rPh>
    <phoneticPr fontId="5"/>
  </si>
  <si>
    <t>なんてな！スキあり！</t>
    <phoneticPr fontId="5"/>
  </si>
  <si>
    <t>じわじわ枯らしてやるよ！</t>
    <rPh sb="4" eb="5">
      <t>カラシテ</t>
    </rPh>
    <phoneticPr fontId="5"/>
  </si>
  <si>
    <t>物資奪取は基本、ってな！</t>
    <rPh sb="0" eb="2">
      <t>ブッシ</t>
    </rPh>
    <rPh sb="2" eb="4">
      <t>ダッシュ</t>
    </rPh>
    <rPh sb="5" eb="7">
      <t>キホｎ</t>
    </rPh>
    <phoneticPr fontId="5"/>
  </si>
  <si>
    <t>秘技・竜扇の舞！</t>
    <rPh sb="0" eb="2">
      <t>ヒギ</t>
    </rPh>
    <rPh sb="3" eb="4">
      <t>リュウ</t>
    </rPh>
    <rPh sb="4" eb="5">
      <t>オウギ</t>
    </rPh>
    <rPh sb="6" eb="7">
      <t>マイ</t>
    </rPh>
    <phoneticPr fontId="5"/>
  </si>
  <si>
    <t>オレの太刀を受けてみやがれ！</t>
    <rPh sb="3" eb="5">
      <t>タチ</t>
    </rPh>
    <rPh sb="6" eb="7">
      <t>ウケテ</t>
    </rPh>
    <phoneticPr fontId="5"/>
  </si>
  <si>
    <t>なかなかやるじゃねーの！</t>
    <phoneticPr fontId="5"/>
  </si>
  <si>
    <t>[effect:change_panel_ratio, turn:-1, block_type:heal, val:0.13, animation:block_incidence04],[effect:tolerance, target:myself, turn:-1, count:-1, tolerance_effect:all, animation:enemy_tolerance]</t>
    <phoneticPr fontId="5"/>
  </si>
  <si>
    <t>兵糧攻めって知ってっかー？</t>
    <rPh sb="0" eb="3">
      <t>ヒョウロウゼメ</t>
    </rPh>
    <rPh sb="6" eb="7">
      <t>シッテル</t>
    </rPh>
    <phoneticPr fontId="5"/>
  </si>
  <si>
    <t>[effect:damage_gravity, val:0.4, animation:fevergauge_down]</t>
    <phoneticPr fontId="5"/>
  </si>
  <si>
    <t xml:space="preserve">[effect:break_attack_fix, target:unit_all, val:500, lowest_val:1000, count:-1, color:red, block_color:block_red, block01:normal,ignore01:color_break, ignore02:crash, ignore03:crack_bomb]    </t>
    <phoneticPr fontId="5"/>
  </si>
  <si>
    <t>[effect:panel_freeze, target:normal, color:block_blue, count:-1],[effect:critical, val:1]</t>
    <phoneticPr fontId="5"/>
  </si>
  <si>
    <t>[effect:degrade_unit, target:unit_all, turn:1, status:heal, val:0.5, calc:mul, animation:degrade_unit_all_heal],[effect:critical, val:1]</t>
    <phoneticPr fontId="5"/>
  </si>
  <si>
    <t>[effect:rush, count:15, val:0.1]</t>
    <phoneticPr fontId="5"/>
  </si>
  <si>
    <t>[effect:degrade_unit, target:unit_all, turn:2, status:heal, val:0.5, calc:mul, animation:degrade_unit_all_heal]</t>
    <phoneticPr fontId="5"/>
  </si>
  <si>
    <t>[effect:spread, val:0.3],[effect:spread, val:0.3]</t>
    <phoneticPr fontId="5"/>
  </si>
  <si>
    <t>[effect:nothing]</t>
    <phoneticPr fontId="5"/>
  </si>
  <si>
    <t>[effect:rush, count:15, val:0.1]</t>
    <phoneticPr fontId="5"/>
  </si>
  <si>
    <t>[effect:panel_freeze, target:normal, color:block_blue, count:-1],[effect:critical, val:1]</t>
    <phoneticPr fontId="5"/>
  </si>
  <si>
    <t xml:space="preserve">[effect:critical, val:1.3],[effect:dis_panel, target:block_red, turn:-1, animation:enemy_dis_red]    </t>
    <phoneticPr fontId="5"/>
  </si>
  <si>
    <t>[effect:rush, count:15, val:0.15]</t>
    <phoneticPr fontId="5"/>
  </si>
  <si>
    <t>強襲ソース</t>
    <rPh sb="0" eb="2">
      <t>キョウシュウ</t>
    </rPh>
    <phoneticPr fontId="5"/>
  </si>
  <si>
    <t>爆炎</t>
    <rPh sb="0" eb="2">
      <t>バクエン</t>
    </rPh>
    <phoneticPr fontId="5"/>
  </si>
  <si>
    <t>突進</t>
    <rPh sb="0" eb="2">
      <t>トッシン</t>
    </rPh>
    <phoneticPr fontId="5"/>
  </si>
  <si>
    <t>抹茶データ</t>
    <rPh sb="0" eb="2">
      <t>マッチャ</t>
    </rPh>
    <phoneticPr fontId="5"/>
  </si>
  <si>
    <t>煎茶データ</t>
    <rPh sb="0" eb="2">
      <t>センチャ</t>
    </rPh>
    <phoneticPr fontId="5"/>
  </si>
  <si>
    <t>秀吉様…力を貸してっ！</t>
    <rPh sb="0" eb="3">
      <t>ヒデヨシサマ</t>
    </rPh>
    <rPh sb="4" eb="5">
      <t>チカラヲ</t>
    </rPh>
    <rPh sb="6" eb="7">
      <t>カシテ</t>
    </rPh>
    <phoneticPr fontId="5"/>
  </si>
  <si>
    <t>もう…力尽くで行くわよ！</t>
    <rPh sb="3" eb="5">
      <t>チカラズク</t>
    </rPh>
    <rPh sb="7" eb="8">
      <t>イク</t>
    </rPh>
    <phoneticPr fontId="5"/>
  </si>
  <si>
    <t>回転攻撃！いっけー！</t>
    <rPh sb="0" eb="2">
      <t>ダイカイテン</t>
    </rPh>
    <rPh sb="2" eb="4">
      <t>コウゲキ</t>
    </rPh>
    <phoneticPr fontId="5"/>
  </si>
  <si>
    <t>負けるわけにはいかないわ！</t>
    <rPh sb="0" eb="1">
      <t>マケルワケ</t>
    </rPh>
    <phoneticPr fontId="5"/>
  </si>
  <si>
    <t>二十回転！いっけー！！</t>
    <rPh sb="0" eb="2">
      <t>ニジュッカイテン</t>
    </rPh>
    <rPh sb="2" eb="4">
      <t>カイテン</t>
    </rPh>
    <phoneticPr fontId="5"/>
  </si>
  <si>
    <t>叩き潰すわ！！</t>
    <rPh sb="0" eb="1">
      <t>タタキツブス</t>
    </rPh>
    <phoneticPr fontId="5"/>
  </si>
  <si>
    <t>ぜんぶ破壊するわよ！！</t>
    <rPh sb="3" eb="5">
      <t>ハカイ</t>
    </rPh>
    <phoneticPr fontId="5"/>
  </si>
  <si>
    <t>内側から破壊してやるっ！</t>
    <rPh sb="0" eb="2">
      <t>ウチガワ</t>
    </rPh>
    <rPh sb="4" eb="6">
      <t>ハカイ</t>
    </rPh>
    <phoneticPr fontId="5"/>
  </si>
  <si>
    <t>ちくしょう…お前なんかに負けるかよ！</t>
    <rPh sb="12" eb="13">
      <t>マケル</t>
    </rPh>
    <phoneticPr fontId="5"/>
  </si>
  <si>
    <t>おっと！触らせないぜ！</t>
    <rPh sb="4" eb="5">
      <t>サワラセナイゼ</t>
    </rPh>
    <phoneticPr fontId="5"/>
  </si>
  <si>
    <t>もう一発いくぜ！</t>
    <phoneticPr fontId="5"/>
  </si>
  <si>
    <t>お前ら！行くぞ！！</t>
    <rPh sb="4" eb="5">
      <t>イクゼ</t>
    </rPh>
    <phoneticPr fontId="5"/>
  </si>
  <si>
    <t>まだまだやれるよなっ！</t>
    <phoneticPr fontId="5"/>
  </si>
  <si>
    <t>よーし！全軍突撃！</t>
    <rPh sb="4" eb="8">
      <t>ゼングントツゲキ</t>
    </rPh>
    <phoneticPr fontId="5"/>
  </si>
  <si>
    <t>ちくしょう…やっぱ強ぇな…</t>
    <rPh sb="9" eb="10">
      <t>ツヨイ</t>
    </rPh>
    <phoneticPr fontId="5"/>
  </si>
  <si>
    <t>信長サン…敵討ち…できなくて…すみま…せ…ん…</t>
    <rPh sb="0" eb="2">
      <t>ノブナガ</t>
    </rPh>
    <rPh sb="5" eb="7">
      <t>カタキウチ</t>
    </rPh>
    <phoneticPr fontId="5"/>
  </si>
  <si>
    <t>くっ…強すぎる…</t>
    <rPh sb="3" eb="4">
      <t>ツヨスギル</t>
    </rPh>
    <phoneticPr fontId="5"/>
  </si>
  <si>
    <t>ちくしょう…負けちったか…</t>
    <rPh sb="6" eb="7">
      <t>マケ</t>
    </rPh>
    <phoneticPr fontId="5"/>
  </si>
  <si>
    <t>カフカ…お前ならどこまでも羽ばたいていけるだろうよ…</t>
    <rPh sb="13" eb="14">
      <t>ハバタイテ</t>
    </rPh>
    <phoneticPr fontId="5"/>
  </si>
  <si>
    <t>くっ…そんな…マジかよ…</t>
    <phoneticPr fontId="5"/>
  </si>
  <si>
    <t>ぅ…オレが…天下を取るはずが…ぅぐ…っっっ…！</t>
    <rPh sb="6" eb="8">
      <t>テンカヲ</t>
    </rPh>
    <rPh sb="9" eb="10">
      <t>トル</t>
    </rPh>
    <phoneticPr fontId="5"/>
  </si>
  <si>
    <t>信長サン…見事に返り咲きましたね…流石っす…</t>
    <rPh sb="0" eb="2">
      <t>ノブナガ</t>
    </rPh>
    <rPh sb="5" eb="7">
      <t>ミゴトニ</t>
    </rPh>
    <rPh sb="8" eb="9">
      <t>カエリザキ</t>
    </rPh>
    <rPh sb="17" eb="19">
      <t>サスガ</t>
    </rPh>
    <phoneticPr fontId="5"/>
  </si>
  <si>
    <t>いくぜ！竜扇の舞！</t>
    <rPh sb="4" eb="6">
      <t>リュウ</t>
    </rPh>
    <rPh sb="7" eb="8">
      <t>マイ</t>
    </rPh>
    <phoneticPr fontId="5"/>
  </si>
  <si>
    <t>くっ…これならどうだ！</t>
    <phoneticPr fontId="5"/>
  </si>
  <si>
    <t>さぁ追い詰めたぜ！</t>
    <rPh sb="2" eb="3">
      <t>オイツメタ</t>
    </rPh>
    <phoneticPr fontId="5"/>
  </si>
  <si>
    <t>これでどうだっ！</t>
    <phoneticPr fontId="5"/>
  </si>
  <si>
    <t>秘技・竜扇乱舞！</t>
    <rPh sb="0" eb="2">
      <t>ヒギ</t>
    </rPh>
    <rPh sb="3" eb="5">
      <t>リュ</t>
    </rPh>
    <rPh sb="5" eb="7">
      <t>ランブ</t>
    </rPh>
    <phoneticPr fontId="5"/>
  </si>
  <si>
    <t>オレが…オレが天下を取るんだっ！</t>
    <rPh sb="7" eb="9">
      <t>テンカ</t>
    </rPh>
    <rPh sb="10" eb="11">
      <t>トルｎ</t>
    </rPh>
    <phoneticPr fontId="5"/>
  </si>
  <si>
    <t>こんなとこで負けてらんねーんだ！</t>
    <rPh sb="6" eb="7">
      <t>マケテランネー</t>
    </rPh>
    <phoneticPr fontId="5"/>
  </si>
  <si>
    <t>全力でぶつけるぜ…！</t>
    <rPh sb="0" eb="2">
      <t>ゼンリョク</t>
    </rPh>
    <phoneticPr fontId="5"/>
  </si>
  <si>
    <t>まだか…まだ届かないのか…！</t>
    <rPh sb="6" eb="7">
      <t>トドカナイ</t>
    </rPh>
    <phoneticPr fontId="5"/>
  </si>
  <si>
    <t>ちくしょう…あと一歩…！</t>
    <rPh sb="8" eb="10">
      <t>イッポ</t>
    </rPh>
    <phoneticPr fontId="5"/>
  </si>
  <si>
    <t>届け…届けぇええええええ！</t>
    <rPh sb="0" eb="1">
      <t>トドケ</t>
    </rPh>
    <rPh sb="3" eb="4">
      <t>トドケ</t>
    </rPh>
    <phoneticPr fontId="5"/>
  </si>
  <si>
    <t>勝つのはオレだ…！絶対に！</t>
    <rPh sb="0" eb="1">
      <t>カツノハ</t>
    </rPh>
    <rPh sb="9" eb="11">
      <t>ゼッタイニ</t>
    </rPh>
    <phoneticPr fontId="5"/>
  </si>
  <si>
    <t>いい加減にしやがれぇえええ！</t>
    <phoneticPr fontId="5"/>
  </si>
  <si>
    <t>信長サン！？オレの邪魔すんのか！？</t>
    <rPh sb="0" eb="2">
      <t>ノブナガ</t>
    </rPh>
    <rPh sb="9" eb="11">
      <t>ジャマ</t>
    </rPh>
    <phoneticPr fontId="5"/>
  </si>
  <si>
    <t>へぇ、お前が最強のセキュリティか…</t>
    <rPh sb="6" eb="8">
      <t>サイキョウノ</t>
    </rPh>
    <phoneticPr fontId="5"/>
  </si>
  <si>
    <t>パワーショット！</t>
    <phoneticPr fontId="5"/>
  </si>
  <si>
    <t>5ターンウィルス</t>
    <phoneticPr fontId="5"/>
  </si>
  <si>
    <t>解除するまでウィルス</t>
    <rPh sb="0" eb="2">
      <t>カイジョスルマデ</t>
    </rPh>
    <phoneticPr fontId="5"/>
  </si>
  <si>
    <t>千利休の攻撃力UP</t>
    <rPh sb="0" eb="3">
      <t>センノリキュウ</t>
    </rPh>
    <rPh sb="4" eb="7">
      <t>コウゲキリョク</t>
    </rPh>
    <phoneticPr fontId="52"/>
  </si>
  <si>
    <t>千利休の防御力UP</t>
    <rPh sb="0" eb="3">
      <t>センノリキュウ</t>
    </rPh>
    <rPh sb="4" eb="7">
      <t>ボウギョリョク</t>
    </rPh>
    <phoneticPr fontId="52"/>
  </si>
  <si>
    <t>(なし)</t>
    <phoneticPr fontId="5"/>
  </si>
  <si>
    <t>クリティカル！</t>
    <phoneticPr fontId="5"/>
  </si>
  <si>
    <t>1ターン敵全体の攻撃力UP+全体攻撃</t>
    <rPh sb="4" eb="7">
      <t>テキゼンタイ</t>
    </rPh>
    <rPh sb="10" eb="11">
      <t>リョク</t>
    </rPh>
    <phoneticPr fontId="5"/>
  </si>
  <si>
    <t>2ターンCパネル生成延長(効果大)</t>
    <rPh sb="13" eb="16">
      <t>コウカダイ</t>
    </rPh>
    <phoneticPr fontId="5"/>
  </si>
  <si>
    <t>赤・青・黄・緑パネルをプロテクト+全体攻撃</t>
    <rPh sb="0" eb="1">
      <t>アカ</t>
    </rPh>
    <rPh sb="2" eb="3">
      <t>アオ</t>
    </rPh>
    <rPh sb="4" eb="5">
      <t>キイロ</t>
    </rPh>
    <rPh sb="6" eb="7">
      <t>ミドリ</t>
    </rPh>
    <phoneticPr fontId="5"/>
  </si>
  <si>
    <t>1ターン全ユニットの攻撃力50%DOWN+全体攻撃</t>
    <rPh sb="12" eb="13">
      <t>リョク</t>
    </rPh>
    <phoneticPr fontId="5"/>
  </si>
  <si>
    <t>敵全体回復+全体攻撃</t>
    <rPh sb="0" eb="1">
      <t>テキ</t>
    </rPh>
    <phoneticPr fontId="5"/>
  </si>
  <si>
    <t>1ターン攻撃力UP</t>
    <phoneticPr fontId="5"/>
  </si>
  <si>
    <t>状態異常耐性</t>
    <phoneticPr fontId="5"/>
  </si>
  <si>
    <t>赤パネルを全て吸収し、赤属性の攻撃</t>
    <rPh sb="5" eb="6">
      <t>スベテ</t>
    </rPh>
    <rPh sb="7" eb="9">
      <t>キュウシュウ</t>
    </rPh>
    <rPh sb="11" eb="14">
      <t>アカゾクセイ</t>
    </rPh>
    <rPh sb="15" eb="17">
      <t>コウゲキ</t>
    </rPh>
    <phoneticPr fontId="5"/>
  </si>
  <si>
    <t>5ターンウィルス</t>
    <phoneticPr fontId="5"/>
  </si>
  <si>
    <t>全体攻撃</t>
    <rPh sb="0" eb="4">
      <t>ゼンタイコウゲキ</t>
    </rPh>
    <phoneticPr fontId="5"/>
  </si>
  <si>
    <t>ハートパネルのドロップ率DOWN+状態異常耐性</t>
    <phoneticPr fontId="5"/>
  </si>
  <si>
    <t>解除するまで赤パネル無効+クリティカル！</t>
    <rPh sb="0" eb="2">
      <t>カイジョスルマデ</t>
    </rPh>
    <rPh sb="6" eb="7">
      <t>アカパネルムコウ</t>
    </rPh>
    <phoneticPr fontId="5"/>
  </si>
  <si>
    <t>種族ヒーローに大ダメージの全体攻撃</t>
    <rPh sb="0" eb="2">
      <t>シュゾク</t>
    </rPh>
    <rPh sb="7" eb="8">
      <t>ダイダメージ</t>
    </rPh>
    <phoneticPr fontId="5"/>
  </si>
  <si>
    <t>全体攻撃</t>
    <phoneticPr fontId="5"/>
  </si>
  <si>
    <t xml:space="preserve">赤・黄パネルを吸収し、単体攻撃 </t>
    <phoneticPr fontId="5"/>
  </si>
  <si>
    <t>2回連続全体攻撃</t>
    <phoneticPr fontId="5"/>
  </si>
  <si>
    <t>青パネルをプロテクト+単体攻撃</t>
    <phoneticPr fontId="5"/>
  </si>
  <si>
    <t>3ターンタップ回数を2DOWN
【次のターン強力な全体攻撃！】</t>
    <rPh sb="17" eb="18">
      <t>ツギノターン</t>
    </rPh>
    <rPh sb="22" eb="24">
      <t>キョウリョクナ</t>
    </rPh>
    <rPh sb="25" eb="27">
      <t>ゼンタイ</t>
    </rPh>
    <rPh sb="27" eb="29">
      <t>レンゾクコウゲキ</t>
    </rPh>
    <phoneticPr fontId="5"/>
  </si>
  <si>
    <t>14回連続攻撃</t>
  </si>
  <si>
    <t>青パネルのドロップ率UP+逃走</t>
    <rPh sb="0" eb="1">
      <t>アオパネル</t>
    </rPh>
    <rPh sb="9" eb="10">
      <t>リツ</t>
    </rPh>
    <rPh sb="13" eb="15">
      <t>トウソウ</t>
    </rPh>
    <phoneticPr fontId="5"/>
  </si>
  <si>
    <t>クリティカル！</t>
    <phoneticPr fontId="5"/>
  </si>
  <si>
    <t>自身の攻撃頻度UP+クリティカル！</t>
    <rPh sb="0" eb="2">
      <t>ジシｎ</t>
    </rPh>
    <rPh sb="3" eb="7">
      <t>コウゲキヒンド</t>
    </rPh>
    <phoneticPr fontId="5"/>
  </si>
  <si>
    <t>full_member</t>
    <phoneticPr fontId="5"/>
  </si>
  <si>
    <t>1ターン敵全体の攻撃頻度UP+
3ターンタップ回数を2DOWN</t>
    <rPh sb="4" eb="7">
      <t>テキゼンタイ</t>
    </rPh>
    <phoneticPr fontId="5"/>
  </si>
  <si>
    <t>2ターン防御力UP+状態異常耐性</t>
  </si>
  <si>
    <t>15回連続攻撃</t>
  </si>
  <si>
    <t>8回連続攻撃</t>
  </si>
  <si>
    <t>20回連続攻撃</t>
  </si>
  <si>
    <t>次のターン強力な連続攻撃</t>
    <rPh sb="0" eb="1">
      <t>ツギノターン</t>
    </rPh>
    <rPh sb="5" eb="7">
      <t>キョウリョクナ</t>
    </rPh>
    <phoneticPr fontId="5"/>
  </si>
  <si>
    <t>攻撃力大UP</t>
    <rPh sb="0" eb="3">
      <t>コウゲキリョク</t>
    </rPh>
    <rPh sb="3" eb="4">
      <t>ダイ</t>
    </rPh>
    <phoneticPr fontId="5"/>
  </si>
  <si>
    <t>青パネルをプロテクト</t>
    <phoneticPr fontId="5"/>
  </si>
  <si>
    <t>残りHPの40%ダメージ！</t>
    <rPh sb="0" eb="1">
      <t>ノコリ</t>
    </rPh>
    <phoneticPr fontId="5"/>
  </si>
  <si>
    <t>残りHPの50%ダメージ！</t>
    <rPh sb="0" eb="1">
      <t>ノコリ</t>
    </rPh>
    <phoneticPr fontId="5"/>
  </si>
  <si>
    <t>状態異常耐性+残りHPの80%ダメージ！</t>
    <rPh sb="7" eb="8">
      <t>ノコリ</t>
    </rPh>
    <phoneticPr fontId="5"/>
  </si>
  <si>
    <t>パネルが確率でプロテクトしてドロップ+状態異常耐性</t>
    <rPh sb="4" eb="6">
      <t>カクリツ</t>
    </rPh>
    <rPh sb="19" eb="23">
      <t>ジョウタイイジョウ</t>
    </rPh>
    <rPh sb="23" eb="25">
      <t>タイセイ</t>
    </rPh>
    <phoneticPr fontId="5"/>
  </si>
  <si>
    <t>クリティカル+ランダムにパネルをプロテクト(最大10個)</t>
    <rPh sb="22" eb="24">
      <t>サイダイ</t>
    </rPh>
    <phoneticPr fontId="5"/>
  </si>
  <si>
    <t>3ターンウィルス+ランダムにパネルをプロテクト(最大10個)</t>
    <phoneticPr fontId="5"/>
  </si>
  <si>
    <t>攻撃力UP</t>
    <phoneticPr fontId="5"/>
  </si>
  <si>
    <t>攻撃力UP</t>
    <phoneticPr fontId="5"/>
  </si>
  <si>
    <t>赤パネルをプロテクト+残りHPの50%ダメージ！</t>
    <phoneticPr fontId="5"/>
  </si>
  <si>
    <t>2ターン全ユニットの回復力50%DOWN</t>
    <rPh sb="4" eb="5">
      <t>ゼンユニット</t>
    </rPh>
    <phoneticPr fontId="5"/>
  </si>
  <si>
    <t>1ターン全ユニットの回復力50%DOWN+単体攻撃</t>
    <phoneticPr fontId="5"/>
  </si>
  <si>
    <t>1ターン全ユニットの回復力50%DOWN+単体攻撃</t>
    <phoneticPr fontId="5"/>
  </si>
  <si>
    <t>ジェリーは一定ターン後に
千利休を強化するスキルを
使用します</t>
    <rPh sb="5" eb="7">
      <t>イッテイターンゴ</t>
    </rPh>
    <rPh sb="13" eb="16">
      <t>センノリキュウ</t>
    </rPh>
    <rPh sb="17" eb="19">
      <t>キョウカ</t>
    </rPh>
    <rPh sb="26" eb="28">
      <t>シヨウシマス</t>
    </rPh>
    <phoneticPr fontId="5"/>
  </si>
  <si>
    <t>フロア2の敵は一定ターン後に
クリティカル攻撃を行います</t>
    <rPh sb="5" eb="6">
      <t>テキハ</t>
    </rPh>
    <rPh sb="7" eb="9">
      <t>イッテイターンゴ</t>
    </rPh>
    <rPh sb="21" eb="23">
      <t>コウゲキ</t>
    </rPh>
    <rPh sb="24" eb="25">
      <t>オコナイマス</t>
    </rPh>
    <phoneticPr fontId="5"/>
  </si>
  <si>
    <t>秀吉は回復力DOWNやウィルスなど
厄介なスキルを多用します
すぐにスキルで解除できるよう
準備しておきましょう</t>
    <rPh sb="0" eb="2">
      <t>ヒデヨシ</t>
    </rPh>
    <rPh sb="3" eb="6">
      <t>カイフクリョク</t>
    </rPh>
    <rPh sb="18" eb="20">
      <t>ヤッカイｎ</t>
    </rPh>
    <rPh sb="25" eb="27">
      <t>タヨウ</t>
    </rPh>
    <rPh sb="38" eb="40">
      <t>カイジョ</t>
    </rPh>
    <rPh sb="46" eb="48">
      <t>ジュンビ</t>
    </rPh>
    <phoneticPr fontId="5"/>
  </si>
  <si>
    <t>秀吉の連続攻撃や全体攻撃は
とても強力です
防御力UPやダメージ軽減で防ぎましょう</t>
    <rPh sb="0" eb="2">
      <t>ヒデヨシ</t>
    </rPh>
    <rPh sb="3" eb="7">
      <t>レンゾクコウゲキ</t>
    </rPh>
    <rPh sb="8" eb="12">
      <t>ゼンタイコウゲキハ</t>
    </rPh>
    <rPh sb="17" eb="19">
      <t>キョウリョク</t>
    </rPh>
    <rPh sb="22" eb="24">
      <t>ボウギョ</t>
    </rPh>
    <rPh sb="24" eb="25">
      <t>リョク</t>
    </rPh>
    <rPh sb="35" eb="36">
      <t>フセギマショウ</t>
    </rPh>
    <phoneticPr fontId="5"/>
  </si>
  <si>
    <t>千利休</t>
    <rPh sb="0" eb="3">
      <t>センノリキュウ</t>
    </rPh>
    <phoneticPr fontId="5"/>
  </si>
  <si>
    <t>寧々</t>
    <rPh sb="0" eb="1">
      <t>ネネ</t>
    </rPh>
    <phoneticPr fontId="5"/>
  </si>
  <si>
    <t>秀吉は自分の実力不足を認めて
ALICEの全権統一を中断し
クラッカーとしての腕を磨くための
修行に向かったようです</t>
    <phoneticPr fontId="5"/>
  </si>
  <si>
    <t>アナタの力を認めた千利休は
奪い取ったAIを返還した後
秀吉達とともに行方をくらませました
これ以上の追跡は困難でしょう</t>
    <phoneticPr fontId="5"/>
  </si>
  <si>
    <t>寧々は秀吉の恋人ですが
向こう見ずな秀吉の世話役でもあるため
千利休とは苦労を分かち合っているようです</t>
    <phoneticPr fontId="5"/>
  </si>
  <si>
    <t>豊臣秀吉</t>
    <phoneticPr fontId="5"/>
  </si>
  <si>
    <t>null</t>
    <phoneticPr fontId="5"/>
  </si>
  <si>
    <t>null</t>
    <phoneticPr fontId="5"/>
  </si>
  <si>
    <t>null</t>
    <phoneticPr fontId="5"/>
  </si>
  <si>
    <t>[effect:change_panel_ratio, turn:-1, block_type:heal, val:0.13, animation:block_incidence04],[effect:tolerance, target:myself, turn:-1, count:-1, tolerance_effect:all, animation:enemy_tolerance],[effect:fix_speed, target:myself, turn:1]</t>
    <phoneticPr fontId="5"/>
  </si>
  <si>
    <t>[effect:damage_gravity, val:0.8, animation:fevergauge_down],[effect:tolerance, target:myself, turn:-1, count:-1, tolerance_effect:all, animation:enemy_tolerance],[effect:fix_speed, target:myself, turn:1]</t>
    <phoneticPr fontId="5"/>
  </si>
  <si>
    <t xml:space="preserve">[effect:virus, target:unit_all, turn:5, rate:1, val:0.05, animation:enemy_virus],[effect:enemy_message, val1:1.3, val2:1.8]    </t>
  </si>
  <si>
    <t xml:space="preserve">[effect:critical, val:1.3],[effect:enemy_message, val1:1.3, val2:1.8]    </t>
  </si>
  <si>
    <t xml:space="preserve">[effect:fix_speed, target:enemy_animal, turn:2],[effect:fix_speed, target:myself, turn:1],[effect:fix_speed, target:enemy_unknown, turn:1],[effect:enemy_message, val1:1, val2:0]    </t>
  </si>
  <si>
    <t xml:space="preserve">[effect:freq_turn, target:enemy_all, turn:1, val:1, animation:enemy_freq_turn],[effect:degrade_unit, target:unit_all, turn:3, status:action, val:2, calc:add, animation:enemy_tap_down],[effect:enemy_message, val1:1, val2:2.3]    </t>
  </si>
  <si>
    <t xml:space="preserve">[effect:enhance_enemy, target:myself, turn:2, status:defense, val:4000, calc:add, animation:enemy_enhance_defense],[effect:tolerance, target:myself, turn:-1, count:-1, tolerance_effect:all, animation:enemy_tolerance],[effect:enemy_message, val1:1.3, val2:1.8]    </t>
  </si>
  <si>
    <t xml:space="preserve">[effect:virus, target:unit_all, turn:3, rate:1, val:0.05, animation:enemy_virus],[effect:panel_freeze, target:normal, count:10],[effect:enemy_message, val1:1, val2:2.3]    </t>
  </si>
  <si>
    <t xml:space="preserve">[effect:damage_anti_tribe, target:unit_all, tribe:hero, val1:1, val2:0.25],[effect:enemy_message, val1:1.3, val2:1.8]    </t>
  </si>
  <si>
    <t xml:space="preserve">[effect:critical, val:1.3],[effect:panel_freeze, target:normal, count:10],[effect:enemy_message, val1:1.3, val2:2.2]    </t>
  </si>
  <si>
    <t xml:space="preserve">[effect:break_attack_fix, target:unit_one, val:600, lowest_val:2000, count:-1, color:red, block01:block_yellow, block02:block_red],[effect:enemy_message, val1:1.3, val2:1.8]    </t>
  </si>
  <si>
    <t xml:space="preserve">[effect:virus, target:unit_all, turn:-1, rate:1, val:0.1, animation:enemy_virus],[effect:enemy_message, val1:1.3, val2:1.8]    </t>
  </si>
  <si>
    <t xml:space="preserve">[effect:degrade_unit, target:unit_all, turn:1, status:heal, val:0.5, calc:mul, animation:degrade_unit_all_heal],[effect:critical, val:1],[effect:enemy_message, val1:1.3, val2:1.8]    </t>
  </si>
  <si>
    <t xml:space="preserve">[effect:degrade_unit, target:unit_all, turn:3, status:action, val:2, calc:add, animation:enemy_tap_down],[effect:enemy_message, val1:1, val2:2.3]    </t>
  </si>
  <si>
    <t xml:space="preserve">[effect:drop_freeze, turn:-1, block_type:normal, rate:0.3, animation:drop_protect],[effect:tolerance, target:myself, turn:-1, count:-1, tolerance_effect:all, animation:enemy_tolerance],[effect:fix_speed, target:myself, turn:1],[effect:enemy_message, val1:1.4, val2:2.2]    </t>
  </si>
  <si>
    <t xml:space="preserve">[effect:rush, count:14, val:0.3],[effect:enemy_message, val1:1.3, val2:1.8]    </t>
  </si>
  <si>
    <t xml:space="preserve">[effect:enhance_enemy, target:myself, turn:-1, status:attack, val:0.5, calc:mul, animation:enemy_enhance_attack],[effect:enemy_message, val1:1.3, val2:1.8]    </t>
  </si>
  <si>
    <t xml:space="preserve">[effect:enemy_message, val1:2, val2:2.5]    </t>
  </si>
  <si>
    <t xml:space="preserve">[effect:change_panel_ratio, turn:-1, block_type:blue, val:0.4, animation:block_incidence04],[effect:suicide, target:myself, val:1, dead_type:escape]    </t>
    <phoneticPr fontId="5"/>
  </si>
  <si>
    <t>[effect:spread, val:0.3]</t>
    <phoneticPr fontId="5"/>
  </si>
  <si>
    <t>[effect:critical, val:3.4]</t>
    <phoneticPr fontId="5"/>
  </si>
  <si>
    <t>[effect:critical, val:3.4],[effect:freq_turn, target:myself, turn:-1, val:1, animation:enemy_freq_turn]</t>
    <phoneticPr fontId="5"/>
  </si>
  <si>
    <t>[effect:critical, val:3.4]</t>
    <phoneticPr fontId="5"/>
  </si>
  <si>
    <t>[effect:critical, val:3.4],[effect:freq_turn, target:myself, turn:-1, val:1, animation:enemy_freq_turn]</t>
    <phoneticPr fontId="5"/>
  </si>
  <si>
    <t>2ターン全ユニットの攻撃力50%DOWN+
残りHPの50%ダメージ！</t>
    <rPh sb="4" eb="5">
      <t>ゼンユニットノ</t>
    </rPh>
    <rPh sb="22" eb="23">
      <t>ノコリ</t>
    </rPh>
    <phoneticPr fontId="5"/>
  </si>
  <si>
    <t>[effect:change_panel_ratio, turn:-1, block_type:heal, val:0.13, animation:block_incidence04],[effect:tolerance, target:myself, turn:-1, count:-1, tolerance_effect:all, animation:enemy_tolerance]</t>
    <phoneticPr fontId="5"/>
  </si>
  <si>
    <t xml:space="preserve">[effect:enemy_message, val1:2, val2:2.5]    </t>
    <phoneticPr fontId="5"/>
  </si>
  <si>
    <t xml:space="preserve">[effect:degrade_unit, target:unit_all, turn:2, status:attack, val:0.5, calc:mul],[effect:damage_gravity, val:0.5, animation:fevergauge_down],[effect:enemy_message, val1:1, val2:2.3]    </t>
    <phoneticPr fontId="5"/>
  </si>
  <si>
    <t>クリティカル！</t>
    <phoneticPr fontId="5"/>
  </si>
  <si>
    <t xml:space="preserve">[effect:critical, val:1.5],[effect:enemy_message, val1:1.4, val2:1.8]    </t>
    <phoneticPr fontId="5"/>
  </si>
  <si>
    <t xml:space="preserve">[effect:spread, val:0.35],[effect:enemy_message, val1:1.3, val2:1.8]    </t>
    <phoneticPr fontId="5"/>
  </si>
  <si>
    <t>寧々の行動はターン毎に決まっています
回復のタイミングに注意しましょう</t>
    <rPh sb="0" eb="1">
      <t>ネネ</t>
    </rPh>
    <rPh sb="3" eb="5">
      <t>コウドウ</t>
    </rPh>
    <rPh sb="11" eb="12">
      <t>キマッテ</t>
    </rPh>
    <rPh sb="19" eb="21">
      <t>カイフク</t>
    </rPh>
    <rPh sb="28" eb="30">
      <t>チュウイ</t>
    </rPh>
    <phoneticPr fontId="5"/>
  </si>
  <si>
    <t xml:space="preserve">[effect:damage_gravity, val:0.5, animation:fevergauge_down],[effect:enemy_message, val1:1.3, val2:2.8]    </t>
    <phoneticPr fontId="5"/>
  </si>
  <si>
    <t xml:space="preserve">[effect:break_attack_fix, target:unit_all, val:225, lowest_val:2000, count:-1, color:red, block01:block_all, ignore01:block_blue, ignore02:crash, ignore03:crack_bomb],[effect:enemy_message, val1:1, val2:2.3]    </t>
    <phoneticPr fontId="5"/>
  </si>
  <si>
    <t>青パネル・Cパネル・ボムパネル以外を全て吸収し、全体攻撃</t>
    <phoneticPr fontId="5"/>
  </si>
  <si>
    <t>残りHPの50%ダメージ！
【次のターン青パネル・Cパネル・ボムパネル以外吸収攻撃】</t>
    <rPh sb="0" eb="1">
      <t>ノコリ</t>
    </rPh>
    <rPh sb="15" eb="16">
      <t>ツギノターｎ</t>
    </rPh>
    <rPh sb="20" eb="21">
      <t>アオパネル</t>
    </rPh>
    <rPh sb="35" eb="37">
      <t>イガイ</t>
    </rPh>
    <rPh sb="37" eb="39">
      <t>キュウシュウ</t>
    </rPh>
    <rPh sb="39" eb="41">
      <t>コウゲキ</t>
    </rPh>
    <phoneticPr fontId="5"/>
  </si>
  <si>
    <t>bit</t>
  </si>
  <si>
    <t>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</si>
</sst>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6"/>
      <name val="MS PGothic"/>
      <family val="3"/>
      <charset val="128"/>
    </font>
    <font>
      <sz val="12"/>
      <color theme="1"/>
      <name val="Times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53" fillId="0" borderId="7" xfId="0" applyFont="1" applyBorder="1"/>
    <xf numFmtId="0" fontId="53" fillId="0" borderId="7" xfId="0" applyFont="1" applyBorder="1" applyAlignment="1">
      <alignment horizontal="left"/>
    </xf>
    <xf numFmtId="0" fontId="16" fillId="0" borderId="23" xfId="0" applyFont="1" applyBorder="1" applyAlignment="1">
      <alignment vertical="center" wrapText="1"/>
    </xf>
    <xf numFmtId="38" fontId="16" fillId="0" borderId="7" xfId="628" applyFont="1" applyFill="1" applyBorder="1" applyAlignment="1">
      <alignment wrapText="1"/>
    </xf>
    <xf numFmtId="22" fontId="53" fillId="0" borderId="7" xfId="0" applyNumberFormat="1" applyFont="1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7" sqref="A17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265</v>
      </c>
      <c r="B2" s="57" t="s">
        <v>105</v>
      </c>
      <c r="C2" s="63">
        <v>50012</v>
      </c>
      <c r="D2" s="57" t="s">
        <v>106</v>
      </c>
      <c r="E2" s="56" t="str">
        <f>B2&amp;C2&amp;D2</f>
        <v>floors_50012.tmp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265</v>
      </c>
      <c r="B3" s="57" t="s">
        <v>108</v>
      </c>
      <c r="C3" s="63">
        <f>C$2</f>
        <v>50012</v>
      </c>
      <c r="D3" s="57" t="s">
        <v>106</v>
      </c>
      <c r="E3" s="56" t="str">
        <f>B3&amp;C3&amp;D3</f>
        <v>enemy_habitats_50012.tmp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174</v>
      </c>
    </row>
    <row r="4" spans="1:30" x14ac:dyDescent="0.15">
      <c r="A4" s="61" t="s">
        <v>265</v>
      </c>
      <c r="B4" s="57" t="s">
        <v>110</v>
      </c>
      <c r="C4" s="63">
        <f t="shared" ref="C4:C13" si="0">C$2</f>
        <v>50012</v>
      </c>
      <c r="D4" s="57" t="s">
        <v>106</v>
      </c>
      <c r="E4" s="56" t="str">
        <f>B4&amp;C4&amp;D4</f>
        <v>enemy_habitat_S_50012.tmp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265</v>
      </c>
      <c r="B5" s="57" t="s">
        <v>112</v>
      </c>
      <c r="C5" s="63">
        <f t="shared" si="0"/>
        <v>50012</v>
      </c>
      <c r="D5" s="57" t="s">
        <v>106</v>
      </c>
      <c r="E5" s="56" t="str">
        <f>B5&amp;C5&amp;D5</f>
        <v>enemy_skill_sets_50012.tmp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265</v>
      </c>
      <c r="B6" s="57" t="s">
        <v>114</v>
      </c>
      <c r="C6" s="63">
        <f t="shared" si="0"/>
        <v>50012</v>
      </c>
      <c r="D6" s="57" t="s">
        <v>115</v>
      </c>
      <c r="E6" s="56" t="str">
        <f t="shared" ref="E6:E10" si="1">B6&amp;C6&amp;D6</f>
        <v>enemy_skills_tmp_50012.tmp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265</v>
      </c>
      <c r="B7" s="57" t="s">
        <v>116</v>
      </c>
      <c r="C7" s="63">
        <f t="shared" si="0"/>
        <v>50012</v>
      </c>
      <c r="D7" s="57" t="s">
        <v>106</v>
      </c>
      <c r="E7" s="56" t="str">
        <f>B7&amp;C7&amp;D7</f>
        <v>enemy_skills_i18n_50012.tmp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265</v>
      </c>
      <c r="B8" s="57" t="s">
        <v>118</v>
      </c>
      <c r="C8" s="63">
        <f t="shared" si="0"/>
        <v>50012</v>
      </c>
      <c r="D8" s="57" t="s">
        <v>119</v>
      </c>
      <c r="E8" s="56" t="str">
        <f t="shared" si="1"/>
        <v>enemy_skill_triggers_50012.tmp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265</v>
      </c>
      <c r="B9" s="68" t="s">
        <v>173</v>
      </c>
      <c r="C9" s="63">
        <f t="shared" si="0"/>
        <v>50012</v>
      </c>
      <c r="D9" s="68" t="s">
        <v>167</v>
      </c>
      <c r="E9" s="69" t="str">
        <f t="shared" si="1"/>
        <v>stage_bug_bonuses_50012.tmp</v>
      </c>
      <c r="F9" s="68" t="s">
        <v>168</v>
      </c>
      <c r="G9" s="65" t="s">
        <v>149</v>
      </c>
      <c r="H9" s="65" t="s">
        <v>169</v>
      </c>
      <c r="I9" s="65" t="s">
        <v>170</v>
      </c>
      <c r="J9" s="67" t="s">
        <v>171</v>
      </c>
      <c r="K9" s="65" t="s">
        <v>172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265</v>
      </c>
      <c r="B10" s="68" t="s">
        <v>197</v>
      </c>
      <c r="C10" s="63">
        <f>C$2</f>
        <v>50012</v>
      </c>
      <c r="D10" s="68" t="s">
        <v>176</v>
      </c>
      <c r="E10" s="69" t="str">
        <f t="shared" si="1"/>
        <v>stage_hints_data_c_50012.tmp</v>
      </c>
      <c r="F10" s="68" t="s">
        <v>205</v>
      </c>
      <c r="G10" s="74" t="s">
        <v>177</v>
      </c>
      <c r="H10" s="74" t="s">
        <v>169</v>
      </c>
      <c r="I10" s="75" t="s">
        <v>178</v>
      </c>
      <c r="J10" s="67" t="s">
        <v>179</v>
      </c>
      <c r="K10" s="67" t="s">
        <v>180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6" customFormat="1" x14ac:dyDescent="0.15">
      <c r="A11" s="61" t="s">
        <v>265</v>
      </c>
      <c r="B11" s="68" t="s">
        <v>198</v>
      </c>
      <c r="C11" s="63">
        <f t="shared" si="0"/>
        <v>50012</v>
      </c>
      <c r="D11" s="68" t="s">
        <v>167</v>
      </c>
      <c r="E11" s="69" t="str">
        <f t="shared" ref="E11:E13" si="2">B11&amp;C11&amp;D11</f>
        <v>stage_hints_data_f_50012.tmp</v>
      </c>
      <c r="F11" s="68" t="s">
        <v>206</v>
      </c>
      <c r="G11" s="74" t="s">
        <v>177</v>
      </c>
      <c r="H11" s="74" t="s">
        <v>169</v>
      </c>
      <c r="I11" s="75" t="s">
        <v>178</v>
      </c>
      <c r="J11" s="67" t="s">
        <v>179</v>
      </c>
      <c r="K11" s="67" t="s">
        <v>180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6" customFormat="1" x14ac:dyDescent="0.15">
      <c r="A12" s="61" t="s">
        <v>265</v>
      </c>
      <c r="B12" s="68" t="s">
        <v>199</v>
      </c>
      <c r="C12" s="63">
        <f t="shared" si="0"/>
        <v>50012</v>
      </c>
      <c r="D12" s="68" t="s">
        <v>167</v>
      </c>
      <c r="E12" s="69" t="str">
        <f t="shared" si="2"/>
        <v>stage_hints_i18n_50012.tmp</v>
      </c>
      <c r="F12" s="68" t="s">
        <v>207</v>
      </c>
      <c r="G12" s="75" t="s">
        <v>200</v>
      </c>
      <c r="H12" s="94" t="s">
        <v>201</v>
      </c>
      <c r="I12" s="74" t="s">
        <v>202</v>
      </c>
      <c r="J12" s="102" t="s">
        <v>203</v>
      </c>
      <c r="K12" s="67" t="s">
        <v>204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6" customFormat="1" x14ac:dyDescent="0.15">
      <c r="A13" s="61" t="s">
        <v>265</v>
      </c>
      <c r="B13" s="68" t="s">
        <v>246</v>
      </c>
      <c r="C13" s="63">
        <f t="shared" si="0"/>
        <v>50012</v>
      </c>
      <c r="D13" s="68" t="s">
        <v>227</v>
      </c>
      <c r="E13" s="69" t="str">
        <f t="shared" si="2"/>
        <v>stage_bonuses_50012.tmp</v>
      </c>
      <c r="F13" s="68" t="s">
        <v>226</v>
      </c>
      <c r="G13" s="74" t="s">
        <v>228</v>
      </c>
      <c r="H13" s="74" t="s">
        <v>229</v>
      </c>
      <c r="I13" s="74" t="s">
        <v>230</v>
      </c>
      <c r="J13" s="74" t="s">
        <v>231</v>
      </c>
      <c r="K13" s="74" t="s">
        <v>232</v>
      </c>
      <c r="L13" s="74" t="s">
        <v>233</v>
      </c>
      <c r="M13" s="74" t="s">
        <v>234</v>
      </c>
      <c r="N13" s="74" t="s">
        <v>235</v>
      </c>
      <c r="O13" s="74" t="s">
        <v>236</v>
      </c>
      <c r="P13" s="74" t="s">
        <v>237</v>
      </c>
      <c r="Q13" s="74" t="s">
        <v>238</v>
      </c>
      <c r="R13" s="74" t="s">
        <v>239</v>
      </c>
      <c r="S13" s="74" t="s">
        <v>240</v>
      </c>
      <c r="T13" s="74" t="s">
        <v>241</v>
      </c>
      <c r="U13" s="74" t="s">
        <v>242</v>
      </c>
      <c r="V13" s="74" t="s">
        <v>243</v>
      </c>
      <c r="W13" s="74" t="s">
        <v>244</v>
      </c>
      <c r="X13" s="74" t="s">
        <v>245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D10" sqref="D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50012_1-1</v>
      </c>
      <c r="B2" s="16" t="str">
        <f>IF(COUNTIF(enemy_habitats!$H:$H,A2),"OK","NG")</f>
        <v>OK</v>
      </c>
      <c r="C2" s="7">
        <v>50012</v>
      </c>
      <c r="D2" s="11" t="str">
        <f ca="1">VLOOKUP($C2,OFFSET([2]quests!$A$1,0,0,COUNTA([2]quests!$A:$A),MATCH(D$1,[2]quests!$1:$1,0)-MATCH($C$1,[2]quests!$1:$1,0)+1),MATCH(D$1,[2]quests!$1:$1,0)-MATCH($C$1,[2]quests!$1:$1,0)+1,FALSE)</f>
        <v>豊臣秀吉襲来！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超降臨11</v>
      </c>
      <c r="F2" s="21">
        <v>1</v>
      </c>
      <c r="G2" s="23" t="str">
        <f>C2&amp;"_"&amp;F2</f>
        <v>50012_1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【超ウィザード級】豊臣秀吉襲来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50012_1-2</v>
      </c>
      <c r="B3" s="16" t="str">
        <f>IF(COUNTIF(enemy_habitats!$H:$H,A3),"OK","NG")</f>
        <v>OK</v>
      </c>
      <c r="C3" s="7">
        <v>50012</v>
      </c>
      <c r="D3" s="11" t="str">
        <f ca="1">VLOOKUP($C3,OFFSET([2]quests!$A$1,0,0,COUNTA([2]quests!$A:$A),MATCH(D$1,[2]quests!$1:$1,0)-MATCH($C$1,[2]quests!$1:$1,0)+1),MATCH(D$1,[2]quests!$1:$1,0)-MATCH($C$1,[2]quests!$1:$1,0)+1,FALSE)</f>
        <v>豊臣秀吉襲来！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超降臨11</v>
      </c>
      <c r="F3" s="21">
        <v>1</v>
      </c>
      <c r="G3" s="23" t="str">
        <f t="shared" ref="G3:G5" si="1">C3&amp;"_"&amp;F3</f>
        <v>50012_1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【超ウィザード級】豊臣秀吉襲来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50012_1-3</v>
      </c>
      <c r="B4" s="16" t="str">
        <f>IF(COUNTIF(enemy_habitats!$H:$H,A4),"OK","NG")</f>
        <v>OK</v>
      </c>
      <c r="C4" s="7">
        <v>50012</v>
      </c>
      <c r="D4" s="11" t="str">
        <f ca="1">VLOOKUP($C4,OFFSET([2]quests!$A$1,0,0,COUNTA([2]quests!$A:$A),MATCH(D$1,[2]quests!$1:$1,0)-MATCH($C$1,[2]quests!$1:$1,0)+1),MATCH(D$1,[2]quests!$1:$1,0)-MATCH($C$1,[2]quests!$1:$1,0)+1,FALSE)</f>
        <v>豊臣秀吉襲来！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超降臨11</v>
      </c>
      <c r="F4" s="21">
        <v>1</v>
      </c>
      <c r="G4" s="23" t="str">
        <f t="shared" si="1"/>
        <v>50012_1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【超ウィザード級】豊臣秀吉襲来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50012_1-4</v>
      </c>
      <c r="B5" s="16" t="str">
        <f>IF(COUNTIF(enemy_habitats!$H:$H,A5),"OK","NG")</f>
        <v>OK</v>
      </c>
      <c r="C5" s="7">
        <v>50012</v>
      </c>
      <c r="D5" s="11" t="str">
        <f ca="1">VLOOKUP($C5,OFFSET([2]quests!$A$1,0,0,COUNTA([2]quests!$A:$A),MATCH(D$1,[2]quests!$1:$1,0)-MATCH($C$1,[2]quests!$1:$1,0)+1),MATCH(D$1,[2]quests!$1:$1,0)-MATCH($C$1,[2]quests!$1:$1,0)+1,FALSE)</f>
        <v>豊臣秀吉襲来！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超降臨11</v>
      </c>
      <c r="F5" s="21">
        <v>1</v>
      </c>
      <c r="G5" s="23" t="str">
        <f t="shared" si="1"/>
        <v>50012_1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【超ウィザード級】豊臣秀吉襲来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0"/>
  <sheetViews>
    <sheetView showGridLines="0" tabSelected="1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J11" sqref="AJ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5.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247</v>
      </c>
      <c r="U1" s="26" t="s">
        <v>50</v>
      </c>
      <c r="V1" s="103" t="s">
        <v>248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175</v>
      </c>
    </row>
    <row r="2" spans="1:42" ht="21" customHeight="1" x14ac:dyDescent="0.15">
      <c r="A2" s="16" t="str">
        <f t="shared" ref="A2:A10" si="0">B2&amp;"_"&amp;C2&amp;"-"&amp;G2&amp;"/"&amp;L2&amp;"&lt;lv"&amp;R2&amp;"&gt;s"&amp;AC2</f>
        <v>50012_1-1/1236&lt;lv90&gt;s1</v>
      </c>
      <c r="B2" s="22">
        <v>50012</v>
      </c>
      <c r="C2" s="21">
        <v>1</v>
      </c>
      <c r="D2" s="2" t="str">
        <f t="shared" ref="D2:D10" si="1">B2&amp;"_"&amp;C2</f>
        <v>50012_1</v>
      </c>
      <c r="E2" s="4" t="str">
        <f ca="1">VLOOKUP($B2,OFFSET([2]quests!$A$1,0,0,COUNTA([2]quests!$A:$A),MATCH(E$1,[2]quests!$1:$1,0)-MATCH($B$1,[2]quests!$1:$1,0)+1),MATCH(E$1,[2]quests!$1:$1,0)-MATCH($B$1,[2]quests!$1:$1,0)+1,FALSE)</f>
        <v>豊臣秀吉襲来！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【超ウィザード級】豊臣秀吉襲来</v>
      </c>
      <c r="G2" s="21">
        <v>1</v>
      </c>
      <c r="H2" s="15" t="str">
        <f t="shared" ref="H2:H10" si="2">B2&amp;"_"&amp;C2&amp;"-"&amp;G2</f>
        <v>50012_1-1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1236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千利休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90</v>
      </c>
      <c r="S2" s="25">
        <v>0.5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58285.5</v>
      </c>
      <c r="U2" s="25">
        <v>0.3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2811.2999999999997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5ターンウィルス</v>
      </c>
      <c r="Y2" s="62">
        <v>50012001</v>
      </c>
      <c r="Z2" s="6">
        <v>1</v>
      </c>
      <c r="AA2" s="6">
        <v>100</v>
      </c>
      <c r="AB2" s="6">
        <v>1</v>
      </c>
      <c r="AC2" s="17">
        <v>1</v>
      </c>
      <c r="AD2" s="24">
        <f t="shared" ref="AD2:AD10" si="3">L2</f>
        <v>1236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千利休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10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50012_1-1/1&lt;lv90&gt;s2</v>
      </c>
      <c r="B3" s="22">
        <v>50012</v>
      </c>
      <c r="C3" s="21">
        <v>1</v>
      </c>
      <c r="D3" s="2" t="str">
        <f t="shared" si="1"/>
        <v>50012_1</v>
      </c>
      <c r="E3" s="4" t="str">
        <f ca="1">VLOOKUP($B3,OFFSET([2]quests!$A$1,0,0,COUNTA([2]quests!$A:$A),MATCH(E$1,[2]quests!$1:$1,0)-MATCH($B$1,[2]quests!$1:$1,0)+1),MATCH(E$1,[2]quests!$1:$1,0)-MATCH($B$1,[2]quests!$1:$1,0)+1,FALSE)</f>
        <v>豊臣秀吉襲来！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【超ウィザード級】豊臣秀吉襲来</v>
      </c>
      <c r="G3" s="21">
        <v>1</v>
      </c>
      <c r="H3" s="15" t="str">
        <f t="shared" si="2"/>
        <v>50012_1-1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266</v>
      </c>
      <c r="L3" s="20">
        <v>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90</v>
      </c>
      <c r="S3" s="25">
        <v>2.8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51240</v>
      </c>
      <c r="U3" s="25">
        <v>0.5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3351.5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千利休の攻撃力UP</v>
      </c>
      <c r="Y3" s="62">
        <v>50012002</v>
      </c>
      <c r="Z3" s="6">
        <v>1</v>
      </c>
      <c r="AA3" s="6">
        <v>100</v>
      </c>
      <c r="AB3" s="6">
        <v>2</v>
      </c>
      <c r="AC3" s="17">
        <v>2</v>
      </c>
      <c r="AD3" s="24">
        <f t="shared" si="3"/>
        <v>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4">
        <f t="shared" ca="1" si="4"/>
        <v>1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50012_1-1/2&lt;lv90&gt;s2</v>
      </c>
      <c r="B4" s="22">
        <v>50012</v>
      </c>
      <c r="C4" s="21">
        <v>1</v>
      </c>
      <c r="D4" s="2" t="str">
        <f t="shared" si="1"/>
        <v>50012_1</v>
      </c>
      <c r="E4" s="4" t="str">
        <f ca="1">VLOOKUP($B4,OFFSET([2]quests!$A$1,0,0,COUNTA([2]quests!$A:$A),MATCH(E$1,[2]quests!$1:$1,0)-MATCH($B$1,[2]quests!$1:$1,0)+1),MATCH(E$1,[2]quests!$1:$1,0)-MATCH($B$1,[2]quests!$1:$1,0)+1,FALSE)</f>
        <v>豊臣秀吉襲来！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【超ウィザード級】豊臣秀吉襲来</v>
      </c>
      <c r="G4" s="21">
        <v>1</v>
      </c>
      <c r="H4" s="15" t="str">
        <f t="shared" si="2"/>
        <v>50012_1-1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266</v>
      </c>
      <c r="L4" s="20">
        <v>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イレギュラー・ジェリー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90</v>
      </c>
      <c r="S4" s="25">
        <v>2.8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51240</v>
      </c>
      <c r="U4" s="25">
        <v>0.5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3724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千利休の防御力UP</v>
      </c>
      <c r="Y4" s="62">
        <v>50012003</v>
      </c>
      <c r="Z4" s="6">
        <v>1</v>
      </c>
      <c r="AA4" s="6">
        <v>100</v>
      </c>
      <c r="AB4" s="6">
        <v>2</v>
      </c>
      <c r="AC4" s="17">
        <v>2</v>
      </c>
      <c r="AD4" s="24">
        <f t="shared" si="3"/>
        <v>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イレギュラー・ジェリー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" s="7">
        <v>1</v>
      </c>
      <c r="AI4" s="24">
        <f t="shared" ca="1" si="4"/>
        <v>2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50012_1-2/49&lt;lv99&gt;s2</v>
      </c>
      <c r="B5" s="22">
        <v>50012</v>
      </c>
      <c r="C5" s="21">
        <v>1</v>
      </c>
      <c r="D5" s="2" t="str">
        <f t="shared" si="1"/>
        <v>50012_1</v>
      </c>
      <c r="E5" s="4" t="str">
        <f ca="1">VLOOKUP($B5,OFFSET([2]quests!$A$1,0,0,COUNTA([2]quests!$A:$A),MATCH(E$1,[2]quests!$1:$1,0)-MATCH($B$1,[2]quests!$1:$1,0)+1),MATCH(E$1,[2]quests!$1:$1,0)-MATCH($B$1,[2]quests!$1:$1,0)+1,FALSE)</f>
        <v>豊臣秀吉襲来！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【超ウィザード級】豊臣秀吉襲来</v>
      </c>
      <c r="G5" s="21">
        <v>2</v>
      </c>
      <c r="H5" s="15" t="str">
        <f t="shared" si="2"/>
        <v>50012_1-2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266</v>
      </c>
      <c r="L5" s="20">
        <v>49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ヨシタカ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99</v>
      </c>
      <c r="S5" s="25">
        <v>8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219168</v>
      </c>
      <c r="U5" s="25">
        <v>1.6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8281.6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(なし)</v>
      </c>
      <c r="Y5" s="62">
        <v>50012004</v>
      </c>
      <c r="Z5" s="6">
        <v>1</v>
      </c>
      <c r="AA5" s="6">
        <v>100</v>
      </c>
      <c r="AB5" s="6">
        <v>2</v>
      </c>
      <c r="AC5" s="17">
        <v>2</v>
      </c>
      <c r="AD5" s="24">
        <f t="shared" si="3"/>
        <v>49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ヨシタカ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4">
        <f t="shared" ca="1" si="4"/>
        <v>2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50012_1-2/360&lt;lv99&gt;s2</v>
      </c>
      <c r="B6" s="22">
        <v>50012</v>
      </c>
      <c r="C6" s="21">
        <v>1</v>
      </c>
      <c r="D6" s="2" t="str">
        <f t="shared" si="1"/>
        <v>50012_1</v>
      </c>
      <c r="E6" s="4" t="str">
        <f ca="1">VLOOKUP($B6,OFFSET([2]quests!$A$1,0,0,COUNTA([2]quests!$A:$A),MATCH(E$1,[2]quests!$1:$1,0)-MATCH($B$1,[2]quests!$1:$1,0)+1),MATCH(E$1,[2]quests!$1:$1,0)-MATCH($B$1,[2]quests!$1:$1,0)+1,FALSE)</f>
        <v>豊臣秀吉襲来！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【超ウィザード級】豊臣秀吉襲来</v>
      </c>
      <c r="G6" s="21">
        <v>2</v>
      </c>
      <c r="H6" s="15" t="str">
        <f t="shared" si="2"/>
        <v>50012_1-2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266</v>
      </c>
      <c r="L6" s="20">
        <v>360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ガンテツ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99</v>
      </c>
      <c r="S6" s="25">
        <v>8</v>
      </c>
      <c r="T6" s="10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233160</v>
      </c>
      <c r="U6" s="25">
        <v>1.5</v>
      </c>
      <c r="V6" s="10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8626.5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2ターンCパネル生成延長(効果大)</v>
      </c>
      <c r="Y6" s="62">
        <v>50012005</v>
      </c>
      <c r="Z6" s="6">
        <v>1</v>
      </c>
      <c r="AA6" s="6">
        <v>100</v>
      </c>
      <c r="AB6" s="6">
        <v>1</v>
      </c>
      <c r="AC6" s="17">
        <v>2</v>
      </c>
      <c r="AD6" s="24">
        <f t="shared" si="3"/>
        <v>360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ガンテツ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7">
        <v>1</v>
      </c>
      <c r="AI6" s="24">
        <f t="shared" ca="1" si="4"/>
        <v>2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50012_1-2/370&lt;lv99&gt;s2</v>
      </c>
      <c r="B7" s="22">
        <v>50012</v>
      </c>
      <c r="C7" s="21">
        <v>1</v>
      </c>
      <c r="D7" s="2" t="str">
        <f t="shared" si="1"/>
        <v>50012_1</v>
      </c>
      <c r="E7" s="4" t="str">
        <f ca="1">VLOOKUP($B7,OFFSET([2]quests!$A$1,0,0,COUNTA([2]quests!$A:$A),MATCH(E$1,[2]quests!$1:$1,0)-MATCH($B$1,[2]quests!$1:$1,0)+1),MATCH(E$1,[2]quests!$1:$1,0)-MATCH($B$1,[2]quests!$1:$1,0)+1,FALSE)</f>
        <v>豊臣秀吉襲来！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【超ウィザード級】豊臣秀吉襲来</v>
      </c>
      <c r="G7" s="21">
        <v>2</v>
      </c>
      <c r="H7" s="15" t="str">
        <f t="shared" si="2"/>
        <v>50012_1-2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266</v>
      </c>
      <c r="L7" s="20">
        <v>370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タイチ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99</v>
      </c>
      <c r="S7" s="25">
        <v>10</v>
      </c>
      <c r="T7" s="10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201000</v>
      </c>
      <c r="U7" s="25">
        <v>1.2</v>
      </c>
      <c r="V7" s="10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9816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青パネルをプロテクト</v>
      </c>
      <c r="Y7" s="62">
        <v>50012006</v>
      </c>
      <c r="Z7" s="6">
        <v>1</v>
      </c>
      <c r="AA7" s="6">
        <v>100</v>
      </c>
      <c r="AB7" s="6">
        <v>2</v>
      </c>
      <c r="AC7" s="17">
        <v>2</v>
      </c>
      <c r="AD7" s="24">
        <f t="shared" si="3"/>
        <v>370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7">
        <v>1</v>
      </c>
      <c r="AI7" s="24">
        <f t="shared" ca="1" si="4"/>
        <v>2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50012_1-2/65&lt;lv99&gt;s2</v>
      </c>
      <c r="B8" s="22">
        <v>50012</v>
      </c>
      <c r="C8" s="21">
        <v>1</v>
      </c>
      <c r="D8" s="2" t="str">
        <f t="shared" si="1"/>
        <v>50012_1</v>
      </c>
      <c r="E8" s="4" t="str">
        <f ca="1">VLOOKUP($B8,OFFSET([2]quests!$A$1,0,0,COUNTA([2]quests!$A:$A),MATCH(E$1,[2]quests!$1:$1,0)-MATCH($B$1,[2]quests!$1:$1,0)+1),MATCH(E$1,[2]quests!$1:$1,0)-MATCH($B$1,[2]quests!$1:$1,0)+1,FALSE)</f>
        <v>豊臣秀吉襲来！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【超ウィザード級】豊臣秀吉襲来</v>
      </c>
      <c r="G8" s="21">
        <v>2</v>
      </c>
      <c r="H8" s="15" t="str">
        <f t="shared" si="2"/>
        <v>50012_1-2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266</v>
      </c>
      <c r="L8" s="20">
        <v>65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ファイアフォックス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99</v>
      </c>
      <c r="S8" s="25">
        <v>10</v>
      </c>
      <c r="T8" s="104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201000</v>
      </c>
      <c r="U8" s="25">
        <v>1.1000000000000001</v>
      </c>
      <c r="V8" s="104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9897.8000000000011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2ターン全ユニットの回復力50%DOWN</v>
      </c>
      <c r="Y8" s="62">
        <v>50012007</v>
      </c>
      <c r="Z8" s="6">
        <v>1</v>
      </c>
      <c r="AA8" s="6">
        <v>100</v>
      </c>
      <c r="AB8" s="6">
        <v>2</v>
      </c>
      <c r="AC8" s="17">
        <v>2</v>
      </c>
      <c r="AD8" s="24">
        <f t="shared" si="3"/>
        <v>65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t="shared" ca="1" si="4"/>
        <v>2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50012_1-3/1248&lt;lv95&gt;s1</v>
      </c>
      <c r="B9" s="22">
        <v>50012</v>
      </c>
      <c r="C9" s="21">
        <v>1</v>
      </c>
      <c r="D9" s="2" t="str">
        <f t="shared" si="1"/>
        <v>50012_1</v>
      </c>
      <c r="E9" s="4" t="str">
        <f ca="1">VLOOKUP($B9,OFFSET([2]quests!$A$1,0,0,COUNTA([2]quests!$A:$A),MATCH(E$1,[2]quests!$1:$1,0)-MATCH($B$1,[2]quests!$1:$1,0)+1),MATCH(E$1,[2]quests!$1:$1,0)-MATCH($B$1,[2]quests!$1:$1,0)+1,FALSE)</f>
        <v>豊臣秀吉襲来！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【超ウィザード級】豊臣秀吉襲来</v>
      </c>
      <c r="G9" s="21">
        <v>3</v>
      </c>
      <c r="H9" s="15" t="str">
        <f t="shared" si="2"/>
        <v>50012_1-3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1248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寧々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95</v>
      </c>
      <c r="S9" s="25">
        <v>8</v>
      </c>
      <c r="T9" s="10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754704</v>
      </c>
      <c r="U9" s="25">
        <v>1.1000000000000001</v>
      </c>
      <c r="V9" s="10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8145.5000000000009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2ターン防御力UP+状態異常耐性</v>
      </c>
      <c r="Y9" s="62">
        <v>50012008</v>
      </c>
      <c r="Z9" s="6">
        <v>1</v>
      </c>
      <c r="AA9" s="6">
        <v>100</v>
      </c>
      <c r="AB9" s="6">
        <v>1</v>
      </c>
      <c r="AC9" s="17">
        <v>1</v>
      </c>
      <c r="AD9" s="24">
        <f t="shared" si="3"/>
        <v>1248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寧々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7">
        <v>1</v>
      </c>
      <c r="AI9" s="24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0"/>
        <v>50012_1-4/1242&lt;lv90&gt;s1</v>
      </c>
      <c r="B10" s="22">
        <v>50012</v>
      </c>
      <c r="C10" s="21">
        <v>1</v>
      </c>
      <c r="D10" s="2" t="str">
        <f t="shared" si="1"/>
        <v>50012_1</v>
      </c>
      <c r="E10" s="4" t="str">
        <f ca="1">VLOOKUP($B10,OFFSET([2]quests!$A$1,0,0,COUNTA([2]quests!$A:$A),MATCH(E$1,[2]quests!$1:$1,0)-MATCH($B$1,[2]quests!$1:$1,0)+1),MATCH(E$1,[2]quests!$1:$1,0)-MATCH($B$1,[2]quests!$1:$1,0)+1,FALSE)</f>
        <v>豊臣秀吉襲来！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【超ウィザード級】豊臣秀吉襲来</v>
      </c>
      <c r="G10" s="21">
        <v>4</v>
      </c>
      <c r="H10" s="15" t="str">
        <f t="shared" si="2"/>
        <v>50012_1-4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3</v>
      </c>
      <c r="L10" s="20">
        <v>1242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豊臣秀吉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90</v>
      </c>
      <c r="S10" s="25">
        <v>8</v>
      </c>
      <c r="T10" s="10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1169736</v>
      </c>
      <c r="U10" s="25">
        <v>1</v>
      </c>
      <c r="V10" s="10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10090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ハートパネルのドロップ率DOWN+状態異常耐性</v>
      </c>
      <c r="Y10" s="62">
        <v>50012010</v>
      </c>
      <c r="Z10" s="6">
        <v>1</v>
      </c>
      <c r="AA10" s="6">
        <v>100</v>
      </c>
      <c r="AB10" s="6">
        <v>1</v>
      </c>
      <c r="AC10" s="17">
        <v>1</v>
      </c>
      <c r="AD10" s="24">
        <f t="shared" si="3"/>
        <v>1242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豊臣秀吉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10" s="7">
        <v>1</v>
      </c>
      <c r="AI10" s="24">
        <f t="shared" ca="1" si="4"/>
        <v>5</v>
      </c>
      <c r="AJ10" s="8">
        <v>85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Y5" sqref="Y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247</v>
      </c>
      <c r="V1" s="26" t="s">
        <v>50</v>
      </c>
      <c r="W1" s="103" t="s">
        <v>248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 t="shared" ref="A2:A4" si="0">B2&amp;"_"&amp;C2&amp;"-"&amp;G2&amp;"/"&amp;M2&amp;"&lt;lv"&amp;S2&amp;"&gt;sq"&amp;K2&amp;"st"&amp;L2</f>
        <v>50012_1-1/1236&lt;lv1&gt;sq1st2</v>
      </c>
      <c r="B2" s="22">
        <v>50012</v>
      </c>
      <c r="C2" s="21">
        <v>1</v>
      </c>
      <c r="D2" s="2" t="str">
        <f>B2&amp;"_"&amp;C2</f>
        <v>50012_1</v>
      </c>
      <c r="E2" s="4" t="str">
        <f ca="1">VLOOKUP($B2,OFFSET([2]quests!$A$1,0,0,COUNTA([2]quests!$A:$A),MATCH(E$1,[2]quests!$1:$1,0)-MATCH($B$1,[2]quests!$1:$1,0)+1),MATCH(E$1,[2]quests!$1:$1,0)-MATCH($B$1,[2]quests!$1:$1,0)+1,FALSE)</f>
        <v>豊臣秀吉襲来！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【超ウィザード級】豊臣秀吉襲来</v>
      </c>
      <c r="G2" s="21">
        <v>1</v>
      </c>
      <c r="H2" s="15" t="str">
        <f>B2&amp;"_"&amp;C2&amp;"-"&amp;G2</f>
        <v>50012_1-1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1236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千利休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1</v>
      </c>
      <c r="T2" s="25">
        <v>0.1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318.5</v>
      </c>
      <c r="V2" s="25">
        <v>0.1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25.6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7">
        <v>50012013</v>
      </c>
      <c r="AA2" s="71">
        <v>1</v>
      </c>
    </row>
    <row r="3" spans="1:27" ht="21" customHeight="1" x14ac:dyDescent="0.15">
      <c r="A3" s="16" t="str">
        <f t="shared" si="0"/>
        <v>50012_1-3/1248&lt;lv95&gt;sq2st2</v>
      </c>
      <c r="B3" s="22">
        <v>50012</v>
      </c>
      <c r="C3" s="21">
        <v>1</v>
      </c>
      <c r="D3" s="2" t="str">
        <f t="shared" ref="D3:D4" si="1">B3&amp;"_"&amp;C3</f>
        <v>50012_1</v>
      </c>
      <c r="E3" s="4" t="str">
        <f ca="1">VLOOKUP($B3,OFFSET([2]quests!$A$1,0,0,COUNTA([2]quests!$A:$A),MATCH(E$1,[2]quests!$1:$1,0)-MATCH($B$1,[2]quests!$1:$1,0)+1),MATCH(E$1,[2]quests!$1:$1,0)-MATCH($B$1,[2]quests!$1:$1,0)+1,FALSE)</f>
        <v>豊臣秀吉襲来！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【超ウィザード級】豊臣秀吉襲来</v>
      </c>
      <c r="G3" s="21">
        <v>3</v>
      </c>
      <c r="H3" s="15" t="str">
        <f t="shared" ref="H3:H4" si="2">B3&amp;"_"&amp;C3&amp;"-"&amp;G3</f>
        <v>50012_1-3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1248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寧々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95</v>
      </c>
      <c r="T3" s="25">
        <v>8</v>
      </c>
      <c r="U3" s="104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754704</v>
      </c>
      <c r="V3" s="25">
        <v>1.1000000000000001</v>
      </c>
      <c r="W3" s="104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8145.5000000000009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7">
        <v>50012009</v>
      </c>
      <c r="AA3" s="71">
        <v>1</v>
      </c>
    </row>
    <row r="4" spans="1:27" ht="21" customHeight="1" x14ac:dyDescent="0.15">
      <c r="A4" s="16" t="str">
        <f t="shared" si="0"/>
        <v>50012_1-4/1242&lt;lv90&gt;sq3st2</v>
      </c>
      <c r="B4" s="22">
        <v>50012</v>
      </c>
      <c r="C4" s="21">
        <v>1</v>
      </c>
      <c r="D4" s="2" t="str">
        <f t="shared" si="1"/>
        <v>50012_1</v>
      </c>
      <c r="E4" s="4" t="str">
        <f ca="1">VLOOKUP($B4,OFFSET([2]quests!$A$1,0,0,COUNTA([2]quests!$A:$A),MATCH(E$1,[2]quests!$1:$1,0)-MATCH($B$1,[2]quests!$1:$1,0)+1),MATCH(E$1,[2]quests!$1:$1,0)-MATCH($B$1,[2]quests!$1:$1,0)+1,FALSE)</f>
        <v>豊臣秀吉襲来！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【超ウィザード級】豊臣秀吉襲来</v>
      </c>
      <c r="G4" s="21">
        <v>4</v>
      </c>
      <c r="H4" s="15" t="str">
        <f t="shared" si="2"/>
        <v>50012_1-4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1242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豊臣秀吉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90</v>
      </c>
      <c r="T4" s="25">
        <v>8</v>
      </c>
      <c r="U4" s="104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1169736</v>
      </c>
      <c r="V4" s="25">
        <v>1</v>
      </c>
      <c r="W4" s="104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10090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7">
        <v>50012011</v>
      </c>
      <c r="AA4" s="71">
        <v>1</v>
      </c>
    </row>
    <row r="5" spans="1:27" ht="21" customHeight="1" x14ac:dyDescent="0.15">
      <c r="A5" s="16" t="str">
        <f t="shared" ref="A5" si="3">B5&amp;"_"&amp;C5&amp;"-"&amp;G5&amp;"/"&amp;M5&amp;"&lt;lv"&amp;S5&amp;"&gt;sq"&amp;K5&amp;"st"&amp;L5</f>
        <v>50012_1-4/1243&lt;lv90&gt;sq3st3</v>
      </c>
      <c r="B5" s="22">
        <v>50012</v>
      </c>
      <c r="C5" s="21">
        <v>1</v>
      </c>
      <c r="D5" s="2" t="str">
        <f t="shared" ref="D5" si="4">B5&amp;"_"&amp;C5</f>
        <v>50012_1</v>
      </c>
      <c r="E5" s="4" t="str">
        <f ca="1">VLOOKUP($B5,OFFSET([2]quests!$A$1,0,0,COUNTA([2]quests!$A:$A),MATCH(E$1,[2]quests!$1:$1,0)-MATCH($B$1,[2]quests!$1:$1,0)+1),MATCH(E$1,[2]quests!$1:$1,0)-MATCH($B$1,[2]quests!$1:$1,0)+1,FALSE)</f>
        <v>豊臣秀吉襲来！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【超ウィザード級】豊臣秀吉襲来</v>
      </c>
      <c r="G5" s="21">
        <v>4</v>
      </c>
      <c r="H5" s="15" t="str">
        <f t="shared" ref="H5" si="5">B5&amp;"_"&amp;C5&amp;"-"&amp;G5</f>
        <v>50012_1-4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1243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新世覇の昇竜 豊臣秀吉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90</v>
      </c>
      <c r="T5" s="25">
        <v>8</v>
      </c>
      <c r="U5" s="104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1169736</v>
      </c>
      <c r="V5" s="25">
        <v>1</v>
      </c>
      <c r="W5" s="104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10090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7">
        <v>50012012</v>
      </c>
      <c r="AA5" s="7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5"/>
  <sheetViews>
    <sheetView showGridLines="0" workbookViewId="0">
      <pane xSplit="5" ySplit="1" topLeftCell="F49" activePane="bottomRight" state="frozen"/>
      <selection pane="topRight"/>
      <selection pane="bottomLeft"/>
      <selection pane="bottomRight" activeCell="H70" sqref="H70"/>
    </sheetView>
  </sheetViews>
  <sheetFormatPr baseColWidth="12" defaultColWidth="12.83203125" defaultRowHeight="21" customHeight="1" outlineLevelCol="1" x14ac:dyDescent="0.15"/>
  <cols>
    <col min="1" max="1" width="15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50012001_50012001</v>
      </c>
      <c r="B2" s="47">
        <v>50012001</v>
      </c>
      <c r="C2" s="47">
        <v>50012001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ほほ、秀吉殿に挑戦かね？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2" s="47">
        <v>500121001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67" si="1">B3&amp;"_"&amp;C3</f>
        <v>50012001_50012002</v>
      </c>
      <c r="B3" s="47">
        <v>50012001</v>
      </c>
      <c r="C3" s="47">
        <v>50012002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まずはお手並み拝見といこう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7">
        <v>500121002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50012001_50012003</v>
      </c>
      <c r="B4" s="47">
        <v>50012001</v>
      </c>
      <c r="C4" s="47">
        <v>50012003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苦いかの？ほっほ！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4" s="47">
        <v>500121003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>B5&amp;"_"&amp;C5</f>
        <v>50012013_50012065</v>
      </c>
      <c r="B5" s="47">
        <v>50012013</v>
      </c>
      <c r="C5" s="47">
        <v>50012065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ふむ…上出来じゃの！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青パネルのドロップ率UP+逃走</v>
      </c>
      <c r="F5" s="47">
        <v>500121065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50012002_50012004</v>
      </c>
      <c r="B6" s="47">
        <v>50012002</v>
      </c>
      <c r="C6" s="47">
        <v>50012004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抹茶データ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千利休の攻撃力UP</v>
      </c>
      <c r="F6" s="47">
        <v>500121004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50012003_50012005</v>
      </c>
      <c r="B7" s="47">
        <v>50012003</v>
      </c>
      <c r="C7" s="47">
        <v>50012005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煎茶データ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千利休の防御力UP</v>
      </c>
      <c r="F7" s="47">
        <v>500121005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50012004_50012006</v>
      </c>
      <c r="B8" s="47">
        <v>50012004</v>
      </c>
      <c r="C8" s="47">
        <v>50012006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よーし！全軍突撃！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(なし)</v>
      </c>
      <c r="F8" s="47">
        <v>500121006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50012004_50012007</v>
      </c>
      <c r="B9" s="47">
        <v>50012004</v>
      </c>
      <c r="C9" s="47">
        <v>50012007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お前ら！行くぞ！！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1ターン敵全体の攻撃頻度UP+_x000D_3ターンタップ回数を2DOWN</v>
      </c>
      <c r="F9" s="47">
        <v>500121007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" si="2">B10&amp;"_"&amp;C10</f>
        <v>50012004_50012008</v>
      </c>
      <c r="B10" s="47">
        <v>50012004</v>
      </c>
      <c r="C10" s="47">
        <v>50012008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まだまだやれるよなっ！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1ターン敵全体の攻撃力UP+全体攻撃</v>
      </c>
      <c r="F10" s="47">
        <v>500121008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50012004_50012067</v>
      </c>
      <c r="B11" s="47">
        <v>50012004</v>
      </c>
      <c r="C11" s="47">
        <v>50012067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パワーショット！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" s="47">
        <v>500121068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50012005_50012009</v>
      </c>
      <c r="B12" s="47">
        <v>50012005</v>
      </c>
      <c r="C12" s="47">
        <v>50012009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妨害ソース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2ターンCパネル生成延長(効果大)</v>
      </c>
      <c r="F12" s="47">
        <v>500121009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" si="3">B13&amp;"_"&amp;C13</f>
        <v>50012005_50012010</v>
      </c>
      <c r="B13" s="47">
        <v>50012005</v>
      </c>
      <c r="C13" s="47">
        <v>50012010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弱化ソース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1ターン全ユニットの攻撃力50%DOWN+全体攻撃</v>
      </c>
      <c r="F13" s="47">
        <v>500121010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50012005_50012068</v>
      </c>
      <c r="B14" s="47">
        <v>50012005</v>
      </c>
      <c r="C14" s="47">
        <v>50012068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強襲ソース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自身の攻撃頻度UP+クリティカル！</v>
      </c>
      <c r="F14" s="47">
        <v>500121067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50012006_50012011</v>
      </c>
      <c r="B15" s="47">
        <v>50012006</v>
      </c>
      <c r="C15" s="47">
        <v>50012011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結界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青パネルをプロテクト</v>
      </c>
      <c r="F15" s="47">
        <v>500121011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" si="4">B16&amp;"_"&amp;C16</f>
        <v>50012006_50012012</v>
      </c>
      <c r="B16" s="47">
        <v>50012006</v>
      </c>
      <c r="C16" s="47">
        <v>50012012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多重結界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赤・青・黄・緑パネルをプロテクト+全体攻撃</v>
      </c>
      <c r="F16" s="47">
        <v>500121012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50012006_50012069</v>
      </c>
      <c r="B17" s="47">
        <v>50012006</v>
      </c>
      <c r="C17" s="47">
        <v>50012069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突進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7" s="47">
        <v>500121068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50012007_50012013</v>
      </c>
      <c r="B18" s="47">
        <v>50012007</v>
      </c>
      <c r="C18" s="47">
        <v>50012013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熱風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2ターン全ユニットの回復力50%DOWN</v>
      </c>
      <c r="F18" s="47">
        <v>500121013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" si="5">B19&amp;"_"&amp;C19</f>
        <v>50012007_50012014</v>
      </c>
      <c r="B19" s="47">
        <v>50012007</v>
      </c>
      <c r="C19" s="47">
        <v>50012014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後方支援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敵全体回復+全体攻撃</v>
      </c>
      <c r="F19" s="47">
        <v>500121014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50012007_50012070</v>
      </c>
      <c r="B20" s="47">
        <v>50012007</v>
      </c>
      <c r="C20" s="47">
        <v>50012070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爆炎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自身の攻撃頻度UP+クリティカル！</v>
      </c>
      <c r="F20" s="47">
        <v>500121067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50012008_50012015</v>
      </c>
      <c r="B21" s="47">
        <v>50012008</v>
      </c>
      <c r="C21" s="47">
        <v>50012015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ねーねー！秀吉様に挑戦するの？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2ターン防御力UP+状態異常耐性</v>
      </c>
      <c r="F21" s="47">
        <v>500121015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50012008_50012016</v>
      </c>
      <c r="B22" s="47">
        <v>50012008</v>
      </c>
      <c r="C22" s="47">
        <v>50012016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やめときなよっ！超強いから！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残りHPの50%ダメージ！</v>
      </c>
      <c r="F22" s="47">
        <v>500121016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50012008_50012017</v>
      </c>
      <c r="B23" s="47">
        <v>50012008</v>
      </c>
      <c r="C23" s="47">
        <v>50012017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ほんとに行くの？そう…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1ターン攻撃力UP</v>
      </c>
      <c r="F23" s="47">
        <v>500121017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50012008_50012018</v>
      </c>
      <c r="B24" s="47">
        <v>50012008</v>
      </c>
      <c r="C24" s="47">
        <v>50012018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わたしを倒してから行きなっ！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15回連続攻撃</v>
      </c>
      <c r="F24" s="47">
        <v>500121018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50012008_50012019</v>
      </c>
      <c r="B25" s="47">
        <v>50012008</v>
      </c>
      <c r="C25" s="47">
        <v>50012019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ぶっ叩くわよー！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残りHPの40%ダメージ！</v>
      </c>
      <c r="F25" s="47">
        <v>500121019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50012008_50012020</v>
      </c>
      <c r="B26" s="47">
        <v>50012008</v>
      </c>
      <c r="C26" s="47">
        <v>50012020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回転攻撃！いっけー！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26" s="47">
        <v>500121020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50012008_50012021</v>
      </c>
      <c r="B27" s="47">
        <v>50012008</v>
      </c>
      <c r="C27" s="47">
        <v>50012021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ふぅん…なかなかやるわね…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攻撃力UP</v>
      </c>
      <c r="F27" s="47">
        <v>500121021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50012008_50012022</v>
      </c>
      <c r="B28" s="47">
        <v>50012008</v>
      </c>
      <c r="C28" s="47">
        <v>50012022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これならどうかしら！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15回連続攻撃</v>
      </c>
      <c r="F28" s="47">
        <v>500121022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50012009_50012025</v>
      </c>
      <c r="B29" s="47">
        <v>50012009</v>
      </c>
      <c r="C29" s="47">
        <v>50012025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なるほどね…でもまだ！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9" s="47">
        <v>500121025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50012009_50012026</v>
      </c>
      <c r="B30" s="47">
        <v>50012009</v>
      </c>
      <c r="C30" s="47">
        <v>50012026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負けるわけにはいかないわ！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赤パネルをプロテクト+残りHPの50%ダメージ！</v>
      </c>
      <c r="F30" s="47">
        <v>500121026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50012009_50012027</v>
      </c>
      <c r="B31" s="47">
        <v>50012009</v>
      </c>
      <c r="C31" s="47">
        <v>50012027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秀吉様…力を貸してっ！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赤パネルを全て吸収し、赤属性の攻撃</v>
      </c>
      <c r="F31" s="47">
        <v>500121027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50012009_50012028</v>
      </c>
      <c r="B32" s="47">
        <v>50012009</v>
      </c>
      <c r="C32" s="47">
        <v>50012028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内側から破壊してやるっ！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32" s="47">
        <v>500121028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50012009_50012029</v>
      </c>
      <c r="B33" s="47">
        <v>50012009</v>
      </c>
      <c r="C33" s="47">
        <v>50012029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叩き潰すわ！！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残りHPの40%ダメージ！</v>
      </c>
      <c r="F33" s="47">
        <v>500121029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50012009_50012030</v>
      </c>
      <c r="B34" s="47">
        <v>50012009</v>
      </c>
      <c r="C34" s="47">
        <v>50012030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ぜんぶ破壊するわよ！！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4" s="47">
        <v>500121030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"/>
        <v>50012009_50012031</v>
      </c>
      <c r="B35" s="47">
        <v>50012009</v>
      </c>
      <c r="C35" s="47">
        <v>50012031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もう…力尽くで行くわよ！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攻撃力UP</v>
      </c>
      <c r="F35" s="47">
        <v>500121031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"/>
        <v>50012009_50012032</v>
      </c>
      <c r="B36" s="47">
        <v>50012009</v>
      </c>
      <c r="C36" s="47">
        <v>50012032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二十回転！いっけー！！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20回連続攻撃</v>
      </c>
      <c r="F36" s="47">
        <v>500121032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"/>
        <v>50012010_50012072</v>
      </c>
      <c r="B37" s="47">
        <v>50012010</v>
      </c>
      <c r="C37" s="47">
        <v>50012072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信長サン！？オレの邪魔すんのか！？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ハートパネルのドロップ率DOWN+状態異常耐性</v>
      </c>
      <c r="F37" s="47">
        <v>500121072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726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1"/>
        <v>50012010_50012073</v>
      </c>
      <c r="B38" s="47">
        <v>50012010</v>
      </c>
      <c r="C38" s="47">
        <v>50012073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へぇ、お前が最強のセキュリティか…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ハートパネルのドロップ率DOWN+状態異常耐性</v>
      </c>
      <c r="F38" s="47">
        <v>500121075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297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573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"/>
        <v>50012010_50012035</v>
      </c>
      <c r="B39" s="47">
        <v>50012010</v>
      </c>
      <c r="C39" s="47">
        <v>50012035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よぉ！お前強いんだって？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ハートパネルのドロップ率DOWN+状態異常耐性</v>
      </c>
      <c r="F39" s="47">
        <v>500121035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"/>
        <v>50012010_50012036</v>
      </c>
      <c r="B40" s="47">
        <v>50012010</v>
      </c>
      <c r="C40" s="47">
        <v>50012036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ま、ゆっくり楽しもうぜ！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3ターンウィルス+ランダムにパネルをプロテクト(最大10個)</v>
      </c>
      <c r="F40" s="47">
        <v>500121036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"/>
        <v>50012010_50012037</v>
      </c>
      <c r="B41" s="47">
        <v>50012010</v>
      </c>
      <c r="C41" s="47">
        <v>50012037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なんてな！スキあり！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解除するまで赤パネル無効+クリティカル！</v>
      </c>
      <c r="F41" s="47">
        <v>500121037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"/>
        <v>50012010_50012038</v>
      </c>
      <c r="B42" s="47">
        <v>50012010</v>
      </c>
      <c r="C42" s="47">
        <v>50012038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天下一はオレだ！偉そうにすんなっ！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種族ヒーローに大ダメージの全体攻撃</v>
      </c>
      <c r="F42" s="47">
        <v>500121038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1"/>
        <v>50012010_50012039</v>
      </c>
      <c r="B43" s="47">
        <v>50012010</v>
      </c>
      <c r="C43" s="47">
        <v>50012039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オレの太刀を受けてみやがれ！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クリティカル+ランダムにパネルをプロテクト(最大10個)</v>
      </c>
      <c r="F43" s="47">
        <v>500121039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"/>
        <v>50012010_50012040</v>
      </c>
      <c r="B44" s="47">
        <v>50012010</v>
      </c>
      <c r="C44" s="47">
        <v>50012040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今だ！やっちまえ！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4" s="47">
        <v>500121040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"/>
        <v>50012010_50012041</v>
      </c>
      <c r="B45" s="47">
        <v>50012010</v>
      </c>
      <c r="C45" s="47">
        <v>50012041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物資奪取は基本、ってな！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 xml:space="preserve">赤・黄パネルを吸収し、単体攻撃 </v>
      </c>
      <c r="F45" s="47">
        <v>500121041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"/>
        <v>50012010_50012042</v>
      </c>
      <c r="B46" s="47">
        <v>50012010</v>
      </c>
      <c r="C46" s="47">
        <v>50012042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じわじわ枯らしてやるよ！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46" s="47">
        <v>500121042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"/>
        <v>50012010_50012043</v>
      </c>
      <c r="B47" s="47">
        <v>50012010</v>
      </c>
      <c r="C47" s="47">
        <v>50012043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秘技・竜扇の舞！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47" s="47">
        <v>500121043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47" s="47"/>
      <c r="Q47" s="47"/>
      <c r="R47" s="47"/>
    </row>
    <row r="48" spans="1:18" ht="21" customHeight="1" x14ac:dyDescent="0.15">
      <c r="A48" s="39" t="str">
        <f t="shared" si="1"/>
        <v>50012011_50012044</v>
      </c>
      <c r="B48" s="47">
        <v>50012011</v>
      </c>
      <c r="C48" s="47">
        <v>50012044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なかなかやるじゃねーの！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</v>
      </c>
      <c r="F48" s="47">
        <v>500121044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"/>
        <v>50012011_50012045</v>
      </c>
      <c r="B49" s="47">
        <v>50012011</v>
      </c>
      <c r="C49" s="47">
        <v>50012045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兵糧攻めって知ってっかー？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1ターン全ユニットの回復力50%DOWN+単体攻撃</v>
      </c>
      <c r="F49" s="47">
        <v>500121045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"/>
        <v>50012011_50012046</v>
      </c>
      <c r="B50" s="47">
        <v>50012011</v>
      </c>
      <c r="C50" s="47">
        <v>50012046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おっと！触らせないぜ！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青パネルをプロテクト+単体攻撃</v>
      </c>
      <c r="F50" s="47">
        <v>500121046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"/>
        <v>50012011_50012047</v>
      </c>
      <c r="B51" s="47">
        <v>50012011</v>
      </c>
      <c r="C51" s="47">
        <v>50012047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もう一発いくぜ！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1ターン全ユニットの回復力50%DOWN+単体攻撃</v>
      </c>
      <c r="F51" s="47">
        <v>500121047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"/>
        <v>50012011_50012048</v>
      </c>
      <c r="B52" s="47">
        <v>50012011</v>
      </c>
      <c r="C52" s="47">
        <v>50012048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これでどうだっ！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青パネルをプロテクト+単体攻撃</v>
      </c>
      <c r="F52" s="47">
        <v>500121048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"/>
        <v>50012011_50012049</v>
      </c>
      <c r="B53" s="47">
        <v>50012011</v>
      </c>
      <c r="C53" s="47">
        <v>50012049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さぁ追い詰めたぜ！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3ターンタップ回数を2DOWN_x000D_【次のターン強力な全体攻撃！】</v>
      </c>
      <c r="F53" s="47">
        <v>500121049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"/>
        <v>50012011_50012050</v>
      </c>
      <c r="B54" s="47">
        <v>50012011</v>
      </c>
      <c r="C54" s="47">
        <v>50012050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いくぜ！竜扇の舞！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54" s="47">
        <v>500121050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"/>
        <v>50012011_50012051</v>
      </c>
      <c r="B55" s="47">
        <v>50012011</v>
      </c>
      <c r="C55" s="47">
        <v>50012051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秘技・竜扇乱舞！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15回連続攻撃</v>
      </c>
      <c r="F55" s="47">
        <v>500121051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55" s="47"/>
      <c r="Q55" s="47"/>
      <c r="R55" s="47"/>
    </row>
    <row r="56" spans="1:18" ht="21" customHeight="1" x14ac:dyDescent="0.15">
      <c r="A56" s="39" t="str">
        <f t="shared" si="1"/>
        <v>50012011_50012052</v>
      </c>
      <c r="B56" s="47">
        <v>50012011</v>
      </c>
      <c r="C56" s="47">
        <v>50012052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くっ…これならどうだ！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2ターン全ユニットの攻撃力50%DOWN+_x000D_残りHPの50%ダメージ！</v>
      </c>
      <c r="F56" s="47">
        <v>500121052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"/>
        <v>50012012_50012053</v>
      </c>
      <c r="B57" s="47">
        <v>50012012</v>
      </c>
      <c r="C57" s="47">
        <v>50012053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ちくしょう…お前なんかに負けるかよ！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パネルが確率でプロテクトしてドロップ+状態異常耐性</v>
      </c>
      <c r="F57" s="47">
        <v>500121053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"/>
        <v>50012012_50012054</v>
      </c>
      <c r="B58" s="47">
        <v>50012012</v>
      </c>
      <c r="C58" s="47">
        <v>50012054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オレが…オレが天下を取るんだっ！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8" s="47">
        <v>500121054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"/>
        <v>50012012_50012055</v>
      </c>
      <c r="B59" s="47">
        <v>50012012</v>
      </c>
      <c r="C59" s="47">
        <v>50012055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こんなとこで負けてらんねーんだ！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残りHPの50%ダメージ！_x000D_【次のターン青パネル・Cパネル・ボムパネル以外吸収攻撃】</v>
      </c>
      <c r="F59" s="47">
        <v>500121055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"/>
        <v>50012012_50012056</v>
      </c>
      <c r="B60" s="47">
        <v>50012012</v>
      </c>
      <c r="C60" s="47">
        <v>50012056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全力でぶつけるぜ…！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青パネル・Cパネル・ボムパネル以外を全て吸収し、全体攻撃</v>
      </c>
      <c r="F60" s="47">
        <v>500121056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"/>
        <v>50012012_50012057</v>
      </c>
      <c r="B61" s="47">
        <v>50012012</v>
      </c>
      <c r="C61" s="47">
        <v>50012057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まだか…まだ届かないのか…！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1" s="47">
        <v>500121057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"/>
        <v>50012012_50012058</v>
      </c>
      <c r="B62" s="47">
        <v>50012012</v>
      </c>
      <c r="C62" s="47">
        <v>50012058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ちくしょう…あと一歩…！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次のターン強力な連続攻撃</v>
      </c>
      <c r="F62" s="47">
        <v>500121058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"/>
        <v>50012012_50012059</v>
      </c>
      <c r="B63" s="47">
        <v>50012012</v>
      </c>
      <c r="C63" s="47">
        <v>50012059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届け…届けぇええええええ！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14回連続攻撃</v>
      </c>
      <c r="F63" s="47">
        <v>500121059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"/>
        <v>50012012_50012060</v>
      </c>
      <c r="B64" s="47">
        <v>50012012</v>
      </c>
      <c r="C64" s="47">
        <v>50012060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勝つのはオレだ…！絶対に！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64" s="47">
        <v>500121060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"/>
        <v>50012012_50012061</v>
      </c>
      <c r="B65" s="47">
        <v>50012012</v>
      </c>
      <c r="C65" s="47">
        <v>50012061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いい加減にしやがれぇえええ！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5" s="47">
        <v>500121061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65" s="47"/>
      <c r="Q65" s="47"/>
      <c r="R65" s="47"/>
    </row>
    <row r="66" spans="1:18" ht="21" customHeight="1" x14ac:dyDescent="0.15">
      <c r="A66" s="39" t="str">
        <f t="shared" si="1"/>
        <v>50012012_50012071</v>
      </c>
      <c r="B66" s="47">
        <v>50012012</v>
      </c>
      <c r="C66" s="47">
        <v>50012071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くっ…そんな…マジかよ…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ぅ…オレが…天下を取るはずが…ぅぐ…っっっ…！</v>
      </c>
      <c r="F66" s="47">
        <v>500121079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"/>
        <v>50012012_50012064</v>
      </c>
      <c r="B67" s="47">
        <v>50012012</v>
      </c>
      <c r="C67" s="47">
        <v>50012064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ちくしょう…負けちったか…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カフカ…お前ならどこまでも羽ばたいていけるだろうよ…</v>
      </c>
      <c r="F67" s="47">
        <v>500121080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1222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ref="A68:A74" si="6">B68&amp;"_"&amp;C68</f>
        <v>50012012_50012064</v>
      </c>
      <c r="B68" s="47">
        <v>50012012</v>
      </c>
      <c r="C68" s="47">
        <v>50012064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ちくしょう…負けちったか…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カフカ…お前ならどこまでも羽ばたいていけるだろうよ…</v>
      </c>
      <c r="F68" s="47">
        <v>500121081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1223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6"/>
        <v>50012012_50012062</v>
      </c>
      <c r="B69" s="47">
        <v>50012012</v>
      </c>
      <c r="C69" s="47">
        <v>50012062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ちくしょう…やっぱ強ぇな…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信長サン…見事に返り咲きましたね…流石っす…</v>
      </c>
      <c r="F69" s="47">
        <v>500121082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726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6"/>
        <v>50012012_50012062</v>
      </c>
      <c r="B70" s="47">
        <v>50012012</v>
      </c>
      <c r="C70" s="47">
        <v>50012062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ちくしょう…やっぱ強ぇな…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信長サン…見事に返り咲きましたね…流石っす…</v>
      </c>
      <c r="F70" s="47">
        <v>500121083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727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6"/>
        <v>50012012_50012062</v>
      </c>
      <c r="B71" s="47">
        <v>50012012</v>
      </c>
      <c r="C71" s="47">
        <v>50012062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ちくしょう…やっぱ強ぇな…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信長サン…見事に返り咲きましたね…流石っす…</v>
      </c>
      <c r="F71" s="47">
        <v>500121084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1273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6"/>
        <v>50012012_50012063</v>
      </c>
      <c r="B72" s="47">
        <v>50012012</v>
      </c>
      <c r="C72" s="47">
        <v>50012063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くっ…強すぎる…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信長サン…敵討ち…できなくて…すみま…せ…ん…</v>
      </c>
      <c r="F72" s="47">
        <v>500121085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573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6"/>
        <v>50012012_50012063</v>
      </c>
      <c r="B73" s="47">
        <v>50012012</v>
      </c>
      <c r="C73" s="47">
        <v>50012063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くっ…強すぎる…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信長サン…敵討ち…できなくて…すみま…せ…ん…</v>
      </c>
      <c r="F73" s="47">
        <v>500121086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574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6"/>
        <v>50012012_50012063</v>
      </c>
      <c r="B74" s="47">
        <v>50012012</v>
      </c>
      <c r="C74" s="47">
        <v>50012063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くっ…強すぎる…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信長サン…敵討ち…できなくて…すみま…せ…ん…</v>
      </c>
      <c r="F74" s="47">
        <v>500121087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801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ref="A75" si="7">B75&amp;"_"&amp;C75</f>
        <v>50012012_50012063</v>
      </c>
      <c r="B75" s="47">
        <v>50012012</v>
      </c>
      <c r="C75" s="47">
        <v>50012063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くっ…強すぎる…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信長サン…敵討ち…できなくて…すみま…せ…ん…</v>
      </c>
      <c r="F75" s="47">
        <v>500121088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203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1180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9"/>
  <sheetViews>
    <sheetView showGridLines="0" zoomScale="124" zoomScaleNormal="124" zoomScalePageLayoutView="124" workbookViewId="0">
      <pane ySplit="1" topLeftCell="A45" activePane="bottomLeft" state="frozenSplit"/>
      <selection pane="bottomLeft" activeCell="B61" sqref="B61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3.33203125" style="49" customWidth="1"/>
    <col min="5" max="5" width="22.164062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50012001</v>
      </c>
      <c r="B2" s="47" t="s">
        <v>431</v>
      </c>
      <c r="C2" s="50">
        <v>3</v>
      </c>
      <c r="D2" s="50" t="s">
        <v>126</v>
      </c>
      <c r="E2" s="51" t="s">
        <v>280</v>
      </c>
      <c r="F2" s="51" t="s">
        <v>367</v>
      </c>
      <c r="G2" s="64" t="str">
        <f>IFERROR(LEFT(B2,FIND("],",B2)),B2)</f>
        <v>[effect:virus, target:unit_all, turn:5, rate:1, val:0.05, animation:enemy_virus]</v>
      </c>
      <c r="H2" s="64">
        <f>FIND("effect:",G2)+7</f>
        <v>9</v>
      </c>
      <c r="I2" s="64">
        <f>IFERROR(FIND(",",G2),LEN(G2))</f>
        <v>14</v>
      </c>
      <c r="J2" s="64">
        <f>FIND("target:",G2)+7</f>
        <v>23</v>
      </c>
      <c r="K2" s="64">
        <f>FIND(",",G2,I2+1)</f>
        <v>31</v>
      </c>
      <c r="L2" s="64" t="str">
        <f>IFERROR(VLOOKUP(MID(G2,J2,K2-J2),[6]skilldef!$C:$D,2,FALSE),"-") &amp; " / " &amp; IFERROR(VLOOKUP(MID(G2,H2,I2-H2),[6]skilldef!$A:$B,2,FALSE),"-")</f>
        <v>味方全体に / ウィルス</v>
      </c>
      <c r="M2" s="64" t="str">
        <f>IFERROR(RIGHT(B2,LEN(B2)-FIND("],",B2)-1),"none")</f>
        <v xml:space="preserve">[effect:enemy_message, val1:1.3, val2:1.8]    </v>
      </c>
      <c r="N2" s="48" t="str">
        <f>IFERROR(LEFT(M2,FIND("],",M2)+S12),M2)</f>
        <v xml:space="preserve">[effect:enemy_message, val1:1.3, val2:1.8]    </v>
      </c>
      <c r="O2" s="64">
        <f>FIND("effect:",N2)+7</f>
        <v>9</v>
      </c>
      <c r="P2" s="64">
        <f>IFERROR(FIND(",",N2),LEN(N2))</f>
        <v>22</v>
      </c>
      <c r="Q2" s="64" t="e">
        <f>FIND("target:",N2)+7</f>
        <v>#VALUE!</v>
      </c>
      <c r="R2" s="64">
        <f>FIND(",",N2,P2+1)</f>
        <v>32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50012002</v>
      </c>
      <c r="B3" s="47" t="s">
        <v>432</v>
      </c>
      <c r="C3" s="50">
        <v>3</v>
      </c>
      <c r="D3" s="50" t="s">
        <v>126</v>
      </c>
      <c r="E3" s="51" t="s">
        <v>281</v>
      </c>
      <c r="F3" s="51" t="s">
        <v>372</v>
      </c>
      <c r="G3" s="64" t="str">
        <f t="shared" ref="G3:G27" si="0">IFERROR(LEFT(B3,FIND("],",B3)),B3)</f>
        <v>[effect:critical, val:1.3]</v>
      </c>
      <c r="H3" s="64">
        <f t="shared" ref="H3:H58" si="1">FIND("effect:",G3)+7</f>
        <v>9</v>
      </c>
      <c r="I3" s="64">
        <f t="shared" ref="I3:I27" si="2">IFERROR(FIND(",",G3),LEN(G3))</f>
        <v>17</v>
      </c>
      <c r="J3" s="64" t="e">
        <f t="shared" ref="J3:J27" si="3">FIND("target:",G3)+7</f>
        <v>#VALUE!</v>
      </c>
      <c r="K3" s="64" t="e">
        <f t="shared" ref="K3:K27" si="4">FIND(",",G3,I3+1)</f>
        <v>#VALUE!</v>
      </c>
      <c r="L3" s="64" t="str">
        <f>IFERROR(VLOOKUP(MID(G3,J3,K3-J3),[6]skilldef!$C:$D,2,FALSE),"-") &amp; " / " &amp; IFERROR(VLOOKUP(MID(G3,H3,I3-H3),[6]skilldef!$A:$B,2,FALSE),"-")</f>
        <v>- / 大攻撃</v>
      </c>
      <c r="M3" s="64" t="str">
        <f t="shared" ref="M3:M27" si="5">IFERROR(RIGHT(B3,LEN(B3)-FIND("],",B3)-1),"none")</f>
        <v xml:space="preserve">[effect:enemy_message, val1:1.3, val2:1.8]    </v>
      </c>
      <c r="N3" s="48" t="str">
        <f t="shared" ref="N3:N13" si="6">IFERROR(LEFT(M3,FIND("],",M3)+S13),M3)</f>
        <v xml:space="preserve">[effect:enemy_message, val1:1.3, val2:1.8]    </v>
      </c>
      <c r="O3" s="64">
        <f t="shared" ref="O3:O58" si="7">FIND("effect:",N3)+7</f>
        <v>9</v>
      </c>
      <c r="P3" s="64">
        <f t="shared" ref="P3:P27" si="8">IFERROR(FIND(",",N3),LEN(N3))</f>
        <v>22</v>
      </c>
      <c r="Q3" s="64" t="e">
        <f t="shared" ref="Q3:Q27" si="9">FIND("target:",N3)+7</f>
        <v>#VALUE!</v>
      </c>
      <c r="R3" s="64">
        <f t="shared" ref="R3:R27" si="10">FIND(",",N3,P3+1)</f>
        <v>32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ref="T3:T27" si="11">IFERROR(RIGHT(M3,LEN(M3)-FIND("],",M3)-1),"none")</f>
        <v>none</v>
      </c>
      <c r="U3" s="64" t="e">
        <f t="shared" ref="U3:U58" si="12">FIND("effect:",T3)+7</f>
        <v>#VALUE!</v>
      </c>
      <c r="V3" s="64">
        <f t="shared" ref="V3:V27" si="13">IFERROR(FIND(",",T3),LEN(T3))</f>
        <v>4</v>
      </c>
      <c r="W3" s="64" t="e">
        <f t="shared" ref="W3:W27" si="14">FIND("target:",T3)+7</f>
        <v>#VALUE!</v>
      </c>
      <c r="X3" s="64" t="e">
        <f t="shared" ref="X3:X27" si="15">FIND(",",T3,V3+1)</f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50012003</v>
      </c>
      <c r="B4" s="47" t="s">
        <v>249</v>
      </c>
      <c r="C4" s="50">
        <v>3</v>
      </c>
      <c r="D4" s="50" t="s">
        <v>126</v>
      </c>
      <c r="E4" s="51" t="s">
        <v>282</v>
      </c>
      <c r="F4" s="51" t="s">
        <v>368</v>
      </c>
      <c r="G4" s="64" t="str">
        <f t="shared" si="0"/>
        <v xml:space="preserve">[effect:virus, target:unit_all, turn:-1, rate:1, val:0.08, animation:enemy_virus]    </v>
      </c>
      <c r="H4" s="64">
        <f t="shared" si="1"/>
        <v>9</v>
      </c>
      <c r="I4" s="64">
        <f t="shared" si="2"/>
        <v>14</v>
      </c>
      <c r="J4" s="64">
        <f t="shared" si="3"/>
        <v>23</v>
      </c>
      <c r="K4" s="64">
        <f t="shared" si="4"/>
        <v>31</v>
      </c>
      <c r="L4" s="64" t="str">
        <f>IFERROR(VLOOKUP(MID(G4,J4,K4-J4),[6]skilldef!$C:$D,2,FALSE),"-") &amp; " / " &amp; IFERROR(VLOOKUP(MID(G4,H4,I4-H4),[6]skilldef!$A:$B,2,FALSE),"-")</f>
        <v>味方全体に / ウィルス</v>
      </c>
      <c r="M4" s="64" t="str">
        <f t="shared" si="5"/>
        <v>none</v>
      </c>
      <c r="N4" s="48" t="str">
        <f t="shared" si="6"/>
        <v>none</v>
      </c>
      <c r="O4" s="64" t="e">
        <f t="shared" si="7"/>
        <v>#VALUE!</v>
      </c>
      <c r="P4" s="64">
        <f t="shared" si="8"/>
        <v>4</v>
      </c>
      <c r="Q4" s="64" t="e">
        <f t="shared" si="9"/>
        <v>#VALUE!</v>
      </c>
      <c r="R4" s="64" t="e">
        <f t="shared" si="10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50012004</v>
      </c>
      <c r="B5" s="47" t="s">
        <v>277</v>
      </c>
      <c r="C5" s="50">
        <v>3</v>
      </c>
      <c r="D5" s="50" t="s">
        <v>126</v>
      </c>
      <c r="E5" s="51" t="s">
        <v>327</v>
      </c>
      <c r="F5" s="108" t="s">
        <v>369</v>
      </c>
      <c r="G5" s="64" t="str">
        <f t="shared" si="0"/>
        <v xml:space="preserve">[effect:enhance_enemy, target:enemy_yellow, turn:-1, status:attack, val:0.5, calc:mul, animation:enemy_enhance_attack]    </v>
      </c>
      <c r="H5" s="64">
        <f t="shared" si="1"/>
        <v>9</v>
      </c>
      <c r="I5" s="64">
        <f t="shared" si="2"/>
        <v>22</v>
      </c>
      <c r="J5" s="64">
        <f t="shared" si="3"/>
        <v>31</v>
      </c>
      <c r="K5" s="64">
        <f t="shared" si="4"/>
        <v>43</v>
      </c>
      <c r="L5" s="64" t="str">
        <f>IFERROR(VLOOKUP(MID(G5,J5,K5-J5),[6]skilldef!$C:$D,2,FALSE),"-") &amp; " / " &amp; IFERROR(VLOOKUP(MID(G5,H5,I5-H5),[6]skilldef!$A:$B,2,FALSE),"-")</f>
        <v>黄の敵に / ステータス強化</v>
      </c>
      <c r="M5" s="64" t="str">
        <f t="shared" si="5"/>
        <v>none</v>
      </c>
      <c r="N5" s="48" t="str">
        <f t="shared" si="6"/>
        <v>none</v>
      </c>
      <c r="O5" s="64" t="e">
        <f t="shared" si="7"/>
        <v>#VALUE!</v>
      </c>
      <c r="P5" s="64">
        <f t="shared" si="8"/>
        <v>4</v>
      </c>
      <c r="Q5" s="64" t="e">
        <f t="shared" si="9"/>
        <v>#VALUE!</v>
      </c>
      <c r="R5" s="64" t="e">
        <f t="shared" si="10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4" t="e">
        <f t="shared" si="12"/>
        <v>#VALUE!</v>
      </c>
      <c r="V5" s="64">
        <f t="shared" si="13"/>
        <v>4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50012005</v>
      </c>
      <c r="B6" s="47" t="s">
        <v>276</v>
      </c>
      <c r="C6" s="50">
        <v>3</v>
      </c>
      <c r="D6" s="50" t="s">
        <v>126</v>
      </c>
      <c r="E6" s="51" t="s">
        <v>328</v>
      </c>
      <c r="F6" s="108" t="s">
        <v>370</v>
      </c>
      <c r="G6" s="64" t="str">
        <f t="shared" si="0"/>
        <v xml:space="preserve">[effect:enhance_enemy, target:enemy_yellow, turn:-1, status:defense, val:3000, calc:add, animation:enemy_enhance_defense]    </v>
      </c>
      <c r="H6" s="64">
        <f t="shared" si="1"/>
        <v>9</v>
      </c>
      <c r="I6" s="64">
        <f t="shared" si="2"/>
        <v>22</v>
      </c>
      <c r="J6" s="64">
        <f t="shared" si="3"/>
        <v>31</v>
      </c>
      <c r="K6" s="64">
        <f t="shared" si="4"/>
        <v>43</v>
      </c>
      <c r="L6" s="64" t="str">
        <f>IFERROR(VLOOKUP(MID(G6,J6,K6-J6),[6]skilldef!$C:$D,2,FALSE),"-") &amp; " / " &amp; IFERROR(VLOOKUP(MID(G6,H6,I6-H6),[6]skilldef!$A:$B,2,FALSE),"-")</f>
        <v>黄の敵に / ステータス強化</v>
      </c>
      <c r="M6" s="64" t="str">
        <f t="shared" si="5"/>
        <v>none</v>
      </c>
      <c r="N6" s="48" t="str">
        <f t="shared" si="6"/>
        <v>none</v>
      </c>
      <c r="O6" s="64" t="e">
        <f t="shared" si="7"/>
        <v>#VALUE!</v>
      </c>
      <c r="P6" s="64">
        <f t="shared" si="8"/>
        <v>4</v>
      </c>
      <c r="Q6" s="64" t="e">
        <f t="shared" si="9"/>
        <v>#VALUE!</v>
      </c>
      <c r="R6" s="64" t="e">
        <f t="shared" si="10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50012006</v>
      </c>
      <c r="B7" s="47" t="s">
        <v>433</v>
      </c>
      <c r="C7" s="50">
        <v>3</v>
      </c>
      <c r="D7" s="50" t="s">
        <v>126</v>
      </c>
      <c r="E7" s="51" t="s">
        <v>342</v>
      </c>
      <c r="F7" s="49" t="s">
        <v>371</v>
      </c>
      <c r="G7" s="64" t="str">
        <f t="shared" si="0"/>
        <v>[effect:fix_speed, target:enemy_animal, turn:2]</v>
      </c>
      <c r="H7" s="64">
        <f t="shared" si="1"/>
        <v>9</v>
      </c>
      <c r="I7" s="64">
        <f t="shared" si="2"/>
        <v>18</v>
      </c>
      <c r="J7" s="64">
        <f t="shared" si="3"/>
        <v>27</v>
      </c>
      <c r="K7" s="64">
        <f t="shared" si="4"/>
        <v>39</v>
      </c>
      <c r="L7" s="64" t="str">
        <f>IFERROR(VLOOKUP(MID(G7,J7,K7-J7),[6]skilldef!$C:$D,2,FALSE),"-") &amp; " / " &amp; IFERROR(VLOOKUP(MID(G7,H7,I7-H7),[6]skilldef!$A:$B,2,FALSE),"-")</f>
        <v>- / 行動値設定</v>
      </c>
      <c r="M7" s="64" t="str">
        <f t="shared" si="5"/>
        <v xml:space="preserve">[effect:fix_speed, target:myself, turn:1],[effect:fix_speed, target:enemy_unknown, turn:1],[effect:enemy_message, val1:1, val2:0]    </v>
      </c>
      <c r="N7" s="48" t="str">
        <f t="shared" si="6"/>
        <v xml:space="preserve">[effect:fix_speed, target:myself, turn:1],[effect:fix_speed, target:enemy_unknown, turn:1],[effect:enemy_message, val1:1, val2:0]    </v>
      </c>
      <c r="O7" s="64">
        <f t="shared" si="7"/>
        <v>9</v>
      </c>
      <c r="P7" s="64">
        <f t="shared" si="8"/>
        <v>18</v>
      </c>
      <c r="Q7" s="64">
        <f t="shared" si="9"/>
        <v>27</v>
      </c>
      <c r="R7" s="64">
        <f t="shared" si="10"/>
        <v>33</v>
      </c>
      <c r="S7" s="64" t="str">
        <f>IFERROR(VLOOKUP(MID(N7,Q7,R7-Q7),[6]skilldef!$C:$D,2,FALSE),"-") &amp; " / " &amp; IFERROR(VLOOKUP(MID(N7,O7,P7-O7),[6]skilldef!$A:$B,2,FALSE),"-")</f>
        <v>自分自身に / 行動値設定</v>
      </c>
      <c r="T7" s="48" t="str">
        <f t="shared" si="11"/>
        <v xml:space="preserve">[effect:fix_speed, target:enemy_unknown, turn:1],[effect:enemy_message, val1:1, val2:0]    </v>
      </c>
      <c r="U7" s="64">
        <f t="shared" si="12"/>
        <v>9</v>
      </c>
      <c r="V7" s="64">
        <f t="shared" si="13"/>
        <v>18</v>
      </c>
      <c r="W7" s="64">
        <f t="shared" si="14"/>
        <v>27</v>
      </c>
      <c r="X7" s="64">
        <f t="shared" si="15"/>
        <v>40</v>
      </c>
      <c r="Y7" s="64" t="str">
        <f>IFERROR(VLOOKUP(MID(T7,W7,X7-W7),[6]skilldef!$C:$D,2,FALSE),"-") &amp; " / " &amp; IFERROR(VLOOKUP(MID(T7,U7,V7-U7),[6]skilldef!$A:$B,2,FALSE),"-")</f>
        <v>- / 行動値設定</v>
      </c>
      <c r="Z7" s="50"/>
      <c r="AA7" s="52"/>
      <c r="AB7" s="50"/>
    </row>
    <row r="8" spans="1:28" ht="21" customHeight="1" x14ac:dyDescent="0.15">
      <c r="A8" s="47">
        <v>50012007</v>
      </c>
      <c r="B8" s="47" t="s">
        <v>434</v>
      </c>
      <c r="C8" s="50">
        <v>3</v>
      </c>
      <c r="D8" s="50" t="s">
        <v>126</v>
      </c>
      <c r="E8" s="51" t="s">
        <v>340</v>
      </c>
      <c r="F8" s="51" t="s">
        <v>396</v>
      </c>
      <c r="G8" s="64" t="str">
        <f t="shared" si="0"/>
        <v>[effect:freq_turn, target:enemy_all, turn:1, val:1, animation:enemy_freq_turn]</v>
      </c>
      <c r="H8" s="64">
        <f t="shared" si="1"/>
        <v>9</v>
      </c>
      <c r="I8" s="64">
        <f t="shared" si="2"/>
        <v>18</v>
      </c>
      <c r="J8" s="64">
        <f t="shared" si="3"/>
        <v>27</v>
      </c>
      <c r="K8" s="64">
        <f t="shared" si="4"/>
        <v>36</v>
      </c>
      <c r="L8" s="64" t="str">
        <f>IFERROR(VLOOKUP(MID(G8,J8,K8-J8),[6]skilldef!$C:$D,2,FALSE),"-") &amp; " / " &amp; IFERROR(VLOOKUP(MID(G8,H8,I8-H8),[6]skilldef!$A:$B,2,FALSE),"-")</f>
        <v>敵全体に / 攻撃頻度がUP</v>
      </c>
      <c r="M8" s="64" t="str">
        <f t="shared" si="5"/>
        <v xml:space="preserve">[effect:degrade_unit, target:unit_all, turn:3, status:action, val:2, calc:add, animation:enemy_tap_down],[effect:enemy_message, val1:1, val2:2.3]    </v>
      </c>
      <c r="N8" s="48" t="str">
        <f t="shared" si="6"/>
        <v xml:space="preserve">[effect:degrade_unit, target:unit_all, turn:3, status:action, val:2, calc:add, animation:enemy_tap_down],[effect:enemy_message, val1:1, val2:2.3]    </v>
      </c>
      <c r="O8" s="64">
        <f t="shared" si="7"/>
        <v>9</v>
      </c>
      <c r="P8" s="64">
        <f t="shared" si="8"/>
        <v>21</v>
      </c>
      <c r="Q8" s="64">
        <f t="shared" si="9"/>
        <v>30</v>
      </c>
      <c r="R8" s="64">
        <f t="shared" si="10"/>
        <v>38</v>
      </c>
      <c r="S8" s="64" t="str">
        <f>IFERROR(VLOOKUP(MID(N8,Q8,R8-Q8),[6]skilldef!$C:$D,2,FALSE),"-") &amp; " / " &amp; IFERROR(VLOOKUP(MID(N8,O8,P8-O8),[6]skilldef!$A:$B,2,FALSE),"-")</f>
        <v>味方全体に / ステータスDOWN</v>
      </c>
      <c r="T8" s="48" t="str">
        <f t="shared" si="11"/>
        <v xml:space="preserve">[effect:enemy_message, val1:1, val2:2.3]    </v>
      </c>
      <c r="U8" s="64">
        <f t="shared" si="12"/>
        <v>9</v>
      </c>
      <c r="V8" s="64">
        <f t="shared" si="13"/>
        <v>22</v>
      </c>
      <c r="W8" s="64" t="e">
        <f t="shared" si="14"/>
        <v>#VALUE!</v>
      </c>
      <c r="X8" s="64">
        <f t="shared" si="15"/>
        <v>30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50012008</v>
      </c>
      <c r="B9" s="47" t="s">
        <v>252</v>
      </c>
      <c r="C9" s="50">
        <v>3</v>
      </c>
      <c r="D9" s="50" t="s">
        <v>126</v>
      </c>
      <c r="E9" s="51" t="s">
        <v>341</v>
      </c>
      <c r="F9" s="51" t="s">
        <v>373</v>
      </c>
      <c r="G9" s="64" t="str">
        <f t="shared" si="0"/>
        <v>[effect:enhance_enemy, target:enemy_all, turn:1, status:attack, val:0.2, calc:mul, animation:enemy_enhance_attack]</v>
      </c>
      <c r="H9" s="64">
        <f t="shared" si="1"/>
        <v>9</v>
      </c>
      <c r="I9" s="64">
        <f t="shared" si="2"/>
        <v>22</v>
      </c>
      <c r="J9" s="64">
        <f t="shared" si="3"/>
        <v>31</v>
      </c>
      <c r="K9" s="64">
        <f t="shared" si="4"/>
        <v>40</v>
      </c>
      <c r="L9" s="64" t="str">
        <f>IFERROR(VLOOKUP(MID(G9,J9,K9-J9),[6]skilldef!$C:$D,2,FALSE),"-") &amp; " / " &amp; IFERROR(VLOOKUP(MID(G9,H9,I9-H9),[6]skilldef!$A:$B,2,FALSE),"-")</f>
        <v>敵全体に / ステータス強化</v>
      </c>
      <c r="M9" s="64" t="str">
        <f t="shared" si="5"/>
        <v>[effect:spread, val:0.25]</v>
      </c>
      <c r="N9" s="48" t="str">
        <f t="shared" si="6"/>
        <v>[effect:spread, val:0.25]</v>
      </c>
      <c r="O9" s="64">
        <f t="shared" si="7"/>
        <v>9</v>
      </c>
      <c r="P9" s="64">
        <f t="shared" si="8"/>
        <v>15</v>
      </c>
      <c r="Q9" s="64" t="e">
        <f t="shared" si="9"/>
        <v>#VALUE!</v>
      </c>
      <c r="R9" s="64" t="e">
        <f t="shared" si="10"/>
        <v>#VALUE!</v>
      </c>
      <c r="S9" s="64" t="str">
        <f>IFERROR(VLOOKUP(MID(N9,Q9,R9-Q9),[6]skilldef!$C:$D,2,FALSE),"-") &amp; " / " &amp; IFERROR(VLOOKUP(MID(N9,O9,P9-O9),[6]skilldef!$A:$B,2,FALSE),"-")</f>
        <v>- / 全体攻撃</v>
      </c>
      <c r="T9" s="48" t="str">
        <f t="shared" si="11"/>
        <v>none</v>
      </c>
      <c r="U9" s="64" t="e">
        <f t="shared" si="12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50012009</v>
      </c>
      <c r="B10" s="47" t="s">
        <v>251</v>
      </c>
      <c r="C10" s="50">
        <v>3</v>
      </c>
      <c r="D10" s="50" t="s">
        <v>126</v>
      </c>
      <c r="E10" s="51" t="s">
        <v>286</v>
      </c>
      <c r="F10" s="51" t="s">
        <v>374</v>
      </c>
      <c r="G10" s="64" t="str">
        <f t="shared" si="0"/>
        <v>[effect:crash_condition, target:unit_all, turn:2, val:2, animation:enemy_crash_extend]</v>
      </c>
      <c r="H10" s="64">
        <f t="shared" si="1"/>
        <v>9</v>
      </c>
      <c r="I10" s="64">
        <f t="shared" si="2"/>
        <v>24</v>
      </c>
      <c r="J10" s="64">
        <f t="shared" si="3"/>
        <v>33</v>
      </c>
      <c r="K10" s="64">
        <f t="shared" si="4"/>
        <v>41</v>
      </c>
      <c r="L10" s="64" t="str">
        <f>IFERROR(VLOOKUP(MID(G10,J10,K10-J10),[6]skilldef!$C:$D,2,FALSE),"-") &amp; " / " &amp; IFERROR(VLOOKUP(MID(G10,H10,I10-H10),[6]skilldef!$A:$B,2,FALSE),"-")</f>
        <v>味方全体に / -</v>
      </c>
      <c r="M10" s="64" t="str">
        <f t="shared" si="5"/>
        <v>none</v>
      </c>
      <c r="N10" s="48" t="str">
        <f t="shared" si="6"/>
        <v>none</v>
      </c>
      <c r="O10" s="64" t="e">
        <f t="shared" si="7"/>
        <v>#VALUE!</v>
      </c>
      <c r="P10" s="64">
        <f t="shared" si="8"/>
        <v>4</v>
      </c>
      <c r="Q10" s="64" t="e">
        <f t="shared" si="9"/>
        <v>#VALUE!</v>
      </c>
      <c r="R10" s="64" t="e">
        <f t="shared" si="10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4" t="e">
        <f t="shared" si="12"/>
        <v>#VALUE!</v>
      </c>
      <c r="V10" s="64">
        <f t="shared" si="13"/>
        <v>4</v>
      </c>
      <c r="W10" s="64" t="e">
        <f t="shared" si="14"/>
        <v>#VALUE!</v>
      </c>
      <c r="X10" s="64" t="e">
        <f t="shared" si="15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50012010</v>
      </c>
      <c r="B11" s="47" t="s">
        <v>255</v>
      </c>
      <c r="C11" s="50">
        <v>3</v>
      </c>
      <c r="D11" s="50" t="s">
        <v>126</v>
      </c>
      <c r="E11" s="51" t="s">
        <v>287</v>
      </c>
      <c r="F11" s="51" t="s">
        <v>376</v>
      </c>
      <c r="G11" s="64" t="str">
        <f t="shared" si="0"/>
        <v>[effect:degrade_unit, target:unit_all, turn:1, status:attack, val:0.5, calc:mul]</v>
      </c>
      <c r="H11" s="64">
        <f t="shared" si="1"/>
        <v>9</v>
      </c>
      <c r="I11" s="64">
        <f t="shared" si="2"/>
        <v>21</v>
      </c>
      <c r="J11" s="64">
        <f t="shared" si="3"/>
        <v>30</v>
      </c>
      <c r="K11" s="64">
        <f t="shared" si="4"/>
        <v>38</v>
      </c>
      <c r="L11" s="64" t="str">
        <f>IFERROR(VLOOKUP(MID(G11,J11,K11-J11),[6]skilldef!$C:$D,2,FALSE),"-") &amp; " / " &amp; IFERROR(VLOOKUP(MID(G11,H11,I11-H11),[6]skilldef!$A:$B,2,FALSE),"-")</f>
        <v>味方全体に / ステータスDOWN</v>
      </c>
      <c r="M11" s="64" t="str">
        <f t="shared" si="5"/>
        <v>[effect:spread, val:0.25]</v>
      </c>
      <c r="N11" s="48" t="str">
        <f t="shared" si="6"/>
        <v>[effect:spread, val:0.25]</v>
      </c>
      <c r="O11" s="64">
        <f t="shared" si="7"/>
        <v>9</v>
      </c>
      <c r="P11" s="64">
        <f t="shared" si="8"/>
        <v>15</v>
      </c>
      <c r="Q11" s="64" t="e">
        <f t="shared" si="9"/>
        <v>#VALUE!</v>
      </c>
      <c r="R11" s="64" t="e">
        <f t="shared" si="10"/>
        <v>#VALUE!</v>
      </c>
      <c r="S11" s="64" t="str">
        <f>IFERROR(VLOOKUP(MID(N11,Q11,R11-Q11),[6]skilldef!$C:$D,2,FALSE),"-") &amp; " / " &amp; IFERROR(VLOOKUP(MID(N11,O11,P11-O11),[6]skilldef!$A:$B,2,FALSE),"-")</f>
        <v>- / 全体攻撃</v>
      </c>
      <c r="T11" s="48" t="str">
        <f t="shared" si="11"/>
        <v>none</v>
      </c>
      <c r="U11" s="64" t="e">
        <f t="shared" si="12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50012011</v>
      </c>
      <c r="B12" s="47" t="s">
        <v>250</v>
      </c>
      <c r="C12" s="50">
        <v>3</v>
      </c>
      <c r="D12" s="50" t="s">
        <v>126</v>
      </c>
      <c r="E12" s="51" t="s">
        <v>284</v>
      </c>
      <c r="F12" s="51" t="s">
        <v>403</v>
      </c>
      <c r="G12" s="64" t="str">
        <f t="shared" si="0"/>
        <v>[effect:panel_freeze, target:normal, color:block_blue, count:-1]</v>
      </c>
      <c r="H12" s="64">
        <f t="shared" si="1"/>
        <v>9</v>
      </c>
      <c r="I12" s="64">
        <f t="shared" si="2"/>
        <v>21</v>
      </c>
      <c r="J12" s="64">
        <f t="shared" si="3"/>
        <v>30</v>
      </c>
      <c r="K12" s="64">
        <f t="shared" si="4"/>
        <v>36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5"/>
        <v>none</v>
      </c>
      <c r="N12" s="48" t="str">
        <f t="shared" si="6"/>
        <v>none</v>
      </c>
      <c r="O12" s="64" t="e">
        <f t="shared" si="7"/>
        <v>#VALUE!</v>
      </c>
      <c r="P12" s="64">
        <f t="shared" si="8"/>
        <v>4</v>
      </c>
      <c r="Q12" s="64" t="e">
        <f t="shared" si="9"/>
        <v>#VALUE!</v>
      </c>
      <c r="R12" s="64" t="e">
        <f t="shared" si="10"/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4" t="e">
        <f t="shared" si="12"/>
        <v>#VALUE!</v>
      </c>
      <c r="V12" s="64">
        <f t="shared" si="13"/>
        <v>4</v>
      </c>
      <c r="W12" s="64" t="e">
        <f t="shared" si="14"/>
        <v>#VALUE!</v>
      </c>
      <c r="X12" s="64" t="e">
        <f t="shared" si="15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50012012</v>
      </c>
      <c r="B13" s="47" t="s">
        <v>257</v>
      </c>
      <c r="C13" s="50">
        <v>3</v>
      </c>
      <c r="D13" s="50" t="s">
        <v>126</v>
      </c>
      <c r="E13" s="51" t="s">
        <v>283</v>
      </c>
      <c r="F13" s="51" t="s">
        <v>375</v>
      </c>
      <c r="G13" s="64" t="str">
        <f t="shared" si="0"/>
        <v>[effect:panel_freeze, target:normal, color:block_blue, count:-1]</v>
      </c>
      <c r="H13" s="64">
        <f t="shared" si="1"/>
        <v>9</v>
      </c>
      <c r="I13" s="64">
        <f t="shared" si="2"/>
        <v>21</v>
      </c>
      <c r="J13" s="64">
        <f t="shared" si="3"/>
        <v>30</v>
      </c>
      <c r="K13" s="64">
        <f t="shared" si="4"/>
        <v>36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5"/>
        <v>[effect:panel_freeze, target:normal, color:block_red, count:-1],[effect:panel_freeze, target:normal, color:block_green, count:-1],[effect:panel_freeze, target:normal, color:block_yellow, count:-1],[effect:spread, val:0.25]</v>
      </c>
      <c r="N13" s="48" t="str">
        <f t="shared" si="6"/>
        <v>[effect:panel_freeze, target:normal, color:block_red, count:-1],[effect:panel_freeze, target:normal, color:block_green, count:-1],[effect:panel_freeze, target:normal, color:block_yellow, count:-1],[effect:spread, val:0.25]</v>
      </c>
      <c r="O13" s="64">
        <f t="shared" si="7"/>
        <v>9</v>
      </c>
      <c r="P13" s="64">
        <f t="shared" si="8"/>
        <v>21</v>
      </c>
      <c r="Q13" s="64">
        <f t="shared" si="9"/>
        <v>30</v>
      </c>
      <c r="R13" s="64">
        <f t="shared" si="10"/>
        <v>36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[effect:panel_freeze, target:normal, color:block_green, count:-1],[effect:panel_freeze, target:normal, color:block_yellow, count:-1],[effect:spread, val:0.25]</v>
      </c>
      <c r="U13" s="64">
        <f t="shared" si="12"/>
        <v>9</v>
      </c>
      <c r="V13" s="64">
        <f t="shared" si="13"/>
        <v>21</v>
      </c>
      <c r="W13" s="64">
        <f t="shared" si="14"/>
        <v>30</v>
      </c>
      <c r="X13" s="64">
        <f t="shared" si="15"/>
        <v>36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50012013</v>
      </c>
      <c r="B14" s="47" t="s">
        <v>317</v>
      </c>
      <c r="C14" s="50">
        <v>3</v>
      </c>
      <c r="D14" s="50" t="s">
        <v>126</v>
      </c>
      <c r="E14" s="51" t="s">
        <v>278</v>
      </c>
      <c r="F14" s="51" t="s">
        <v>413</v>
      </c>
      <c r="G14" s="64" t="str">
        <f t="shared" si="0"/>
        <v>[effect:degrade_unit, target:unit_all, turn:2, status:heal, val:0.5, calc:mul, animation:degrade_unit_all_heal]</v>
      </c>
      <c r="H14" s="64">
        <f t="shared" si="1"/>
        <v>9</v>
      </c>
      <c r="I14" s="64">
        <f t="shared" si="2"/>
        <v>21</v>
      </c>
      <c r="J14" s="64">
        <f t="shared" si="3"/>
        <v>30</v>
      </c>
      <c r="K14" s="64">
        <f t="shared" si="4"/>
        <v>38</v>
      </c>
      <c r="L14" s="64" t="str">
        <f>IFERROR(VLOOKUP(MID(G14,J14,K14-J14),[6]skilldef!$C:$D,2,FALSE),"-") &amp; " / " &amp; IFERROR(VLOOKUP(MID(G14,H14,I14-H14),[6]skilldef!$A:$B,2,FALSE),"-")</f>
        <v>味方全体に / ステータスDOWN</v>
      </c>
      <c r="M14" s="64" t="str">
        <f t="shared" si="5"/>
        <v>none</v>
      </c>
      <c r="N14" s="48" t="str">
        <f>IFERROR(LEFT(M14,FIND("],",M14)+#REF!),M14)</f>
        <v>none</v>
      </c>
      <c r="O14" s="64" t="e">
        <f t="shared" si="7"/>
        <v>#VALUE!</v>
      </c>
      <c r="P14" s="64">
        <f t="shared" si="8"/>
        <v>4</v>
      </c>
      <c r="Q14" s="64" t="e">
        <f t="shared" si="9"/>
        <v>#VALUE!</v>
      </c>
      <c r="R14" s="64" t="e">
        <f t="shared" si="10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4" t="e">
        <f t="shared" si="12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50012014</v>
      </c>
      <c r="B15" s="47" t="s">
        <v>263</v>
      </c>
      <c r="C15" s="50">
        <v>3</v>
      </c>
      <c r="D15" s="50" t="s">
        <v>126</v>
      </c>
      <c r="E15" s="51" t="s">
        <v>279</v>
      </c>
      <c r="F15" s="51" t="s">
        <v>377</v>
      </c>
      <c r="G15" s="64" t="str">
        <f t="shared" si="0"/>
        <v>[effect:heal, target:enemy_all, val:0.3, animation:enemy_heal]</v>
      </c>
      <c r="H15" s="64">
        <f t="shared" si="1"/>
        <v>9</v>
      </c>
      <c r="I15" s="64">
        <f t="shared" si="2"/>
        <v>13</v>
      </c>
      <c r="J15" s="64">
        <f t="shared" si="3"/>
        <v>22</v>
      </c>
      <c r="K15" s="64">
        <f t="shared" si="4"/>
        <v>31</v>
      </c>
      <c r="L15" s="64" t="str">
        <f>IFERROR(VLOOKUP(MID(G15,J15,K15-J15),[6]skilldef!$C:$D,2,FALSE),"-") &amp; " / " &amp; IFERROR(VLOOKUP(MID(G15,H15,I15-H15),[6]skilldef!$A:$B,2,FALSE),"-")</f>
        <v>敵全体に / 回復</v>
      </c>
      <c r="M15" s="64" t="str">
        <f t="shared" si="5"/>
        <v>[effect:spread, val:0.25]</v>
      </c>
      <c r="N15" s="48" t="str">
        <f>IFERROR(LEFT(M15,FIND("],",M15)+#REF!),M15)</f>
        <v>[effect:spread, val:0.25]</v>
      </c>
      <c r="O15" s="64">
        <f t="shared" si="7"/>
        <v>9</v>
      </c>
      <c r="P15" s="64">
        <f t="shared" si="8"/>
        <v>15</v>
      </c>
      <c r="Q15" s="64" t="e">
        <f t="shared" si="9"/>
        <v>#VALUE!</v>
      </c>
      <c r="R15" s="64" t="e">
        <f t="shared" si="10"/>
        <v>#VALUE!</v>
      </c>
      <c r="S15" s="64" t="str">
        <f>IFERROR(VLOOKUP(MID(N15,Q15,R15-Q15),[6]skilldef!$C:$D,2,FALSE),"-") &amp; " / " &amp; IFERROR(VLOOKUP(MID(N15,O15,P15-O15),[6]skilldef!$A:$B,2,FALSE),"-")</f>
        <v>- / 全体攻撃</v>
      </c>
      <c r="T15" s="48" t="str">
        <f t="shared" si="11"/>
        <v>none</v>
      </c>
      <c r="U15" s="64" t="e">
        <f t="shared" si="12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50012015</v>
      </c>
      <c r="B16" s="47" t="s">
        <v>435</v>
      </c>
      <c r="C16" s="50">
        <v>3</v>
      </c>
      <c r="D16" s="50" t="s">
        <v>126</v>
      </c>
      <c r="E16" s="51" t="s">
        <v>293</v>
      </c>
      <c r="F16" s="51" t="s">
        <v>397</v>
      </c>
      <c r="G16" s="64" t="str">
        <f t="shared" si="0"/>
        <v>[effect:enhance_enemy, target:myself, turn:2, status:defense, val:4000, calc:add, animation:enemy_enhance_defense]</v>
      </c>
      <c r="H16" s="64">
        <f t="shared" si="1"/>
        <v>9</v>
      </c>
      <c r="I16" s="64">
        <f t="shared" si="2"/>
        <v>22</v>
      </c>
      <c r="J16" s="64">
        <f t="shared" si="3"/>
        <v>31</v>
      </c>
      <c r="K16" s="64">
        <f t="shared" si="4"/>
        <v>37</v>
      </c>
      <c r="L16" s="64" t="str">
        <f>IFERROR(VLOOKUP(MID(G16,J16,K16-J16),[6]skilldef!$C:$D,2,FALSE),"-") &amp; " / " &amp; IFERROR(VLOOKUP(MID(G16,H16,I16-H16),[6]skilldef!$A:$B,2,FALSE),"-")</f>
        <v>自分自身に / ステータス強化</v>
      </c>
      <c r="M16" s="64" t="str">
        <f t="shared" si="5"/>
        <v xml:space="preserve">[effect:tolerance, target:myself, turn:-1, count:-1, tolerance_effect:all, animation:enemy_tolerance],[effect:enemy_message, val1:1.3, val2:1.8]    </v>
      </c>
      <c r="N16" s="48" t="str">
        <f t="shared" ref="N16:N31" si="16">IFERROR(LEFT(M16,FIND("],",M16)+S24),M16)</f>
        <v xml:space="preserve">[effect:tolerance, target:myself, turn:-1, count:-1, tolerance_effect:all, animation:enemy_tolerance],[effect:enemy_message, val1:1.3, val2:1.8]    </v>
      </c>
      <c r="O16" s="64">
        <f t="shared" si="7"/>
        <v>9</v>
      </c>
      <c r="P16" s="64">
        <f t="shared" si="8"/>
        <v>18</v>
      </c>
      <c r="Q16" s="64">
        <f t="shared" si="9"/>
        <v>27</v>
      </c>
      <c r="R16" s="64">
        <f t="shared" si="10"/>
        <v>33</v>
      </c>
      <c r="S16" s="64" t="str">
        <f>IFERROR(VLOOKUP(MID(N16,Q16,R16-Q16),[6]skilldef!$C:$D,2,FALSE),"-") &amp; " / " &amp; IFERROR(VLOOKUP(MID(N16,O16,P16-O16),[6]skilldef!$A:$B,2,FALSE),"-")</f>
        <v>自分自身に / 状態異常耐性</v>
      </c>
      <c r="T16" s="48" t="str">
        <f t="shared" si="11"/>
        <v xml:space="preserve">[effect:enemy_message, val1:1.3, val2:1.8]    </v>
      </c>
      <c r="U16" s="64">
        <f t="shared" si="12"/>
        <v>9</v>
      </c>
      <c r="V16" s="64">
        <f t="shared" si="13"/>
        <v>22</v>
      </c>
      <c r="W16" s="64" t="e">
        <f t="shared" si="14"/>
        <v>#VALUE!</v>
      </c>
      <c r="X16" s="64">
        <f t="shared" si="15"/>
        <v>32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50012016</v>
      </c>
      <c r="B17" s="47" t="s">
        <v>258</v>
      </c>
      <c r="C17" s="50">
        <v>3</v>
      </c>
      <c r="D17" s="50" t="s">
        <v>126</v>
      </c>
      <c r="E17" s="51" t="s">
        <v>294</v>
      </c>
      <c r="F17" s="51" t="s">
        <v>405</v>
      </c>
      <c r="G17" s="64" t="str">
        <f t="shared" si="0"/>
        <v>[effect:damage_gravity, val:0.5, animation:fevergauge_down]</v>
      </c>
      <c r="H17" s="64">
        <f t="shared" si="1"/>
        <v>9</v>
      </c>
      <c r="I17" s="64">
        <f t="shared" si="2"/>
        <v>23</v>
      </c>
      <c r="J17" s="64" t="e">
        <f t="shared" si="3"/>
        <v>#VALUE!</v>
      </c>
      <c r="K17" s="64">
        <f t="shared" si="4"/>
        <v>32</v>
      </c>
      <c r="L17" s="64" t="str">
        <f>IFERROR(VLOOKUP(MID(G17,J17,K17-J17),[6]skilldef!$C:$D,2,FALSE),"-") &amp; " / " &amp; IFERROR(VLOOKUP(MID(G17,H17,I17-H17),[6]skilldef!$A:$B,2,FALSE),"-")</f>
        <v>- / 割合ダメージ</v>
      </c>
      <c r="M17" s="64" t="str">
        <f t="shared" si="5"/>
        <v>none</v>
      </c>
      <c r="N17" s="48" t="str">
        <f t="shared" si="16"/>
        <v>none</v>
      </c>
      <c r="O17" s="64" t="e">
        <f t="shared" si="7"/>
        <v>#VALUE!</v>
      </c>
      <c r="P17" s="64">
        <f t="shared" si="8"/>
        <v>4</v>
      </c>
      <c r="Q17" s="64" t="e">
        <f t="shared" si="9"/>
        <v>#VALUE!</v>
      </c>
      <c r="R17" s="64" t="e">
        <f t="shared" si="10"/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50012017</v>
      </c>
      <c r="B18" s="47" t="s">
        <v>288</v>
      </c>
      <c r="C18" s="50">
        <v>3</v>
      </c>
      <c r="D18" s="50" t="s">
        <v>126</v>
      </c>
      <c r="E18" s="51" t="s">
        <v>296</v>
      </c>
      <c r="F18" s="51" t="s">
        <v>378</v>
      </c>
      <c r="G18" s="64" t="str">
        <f t="shared" si="0"/>
        <v xml:space="preserve">[effect:enhance_enemy, target:myself, turn:1, status:attack, val:0.2, calc:mul, animation:enemy_enhance_attack]    </v>
      </c>
      <c r="H18" s="64">
        <f t="shared" si="1"/>
        <v>9</v>
      </c>
      <c r="I18" s="64">
        <f t="shared" si="2"/>
        <v>22</v>
      </c>
      <c r="J18" s="64">
        <f t="shared" si="3"/>
        <v>31</v>
      </c>
      <c r="K18" s="64">
        <f t="shared" si="4"/>
        <v>37</v>
      </c>
      <c r="L18" s="64" t="str">
        <f>IFERROR(VLOOKUP(MID(G18,J18,K18-J18),[6]skilldef!$C:$D,2,FALSE),"-") &amp; " / " &amp; IFERROR(VLOOKUP(MID(G18,H18,I18-H18),[6]skilldef!$A:$B,2,FALSE),"-")</f>
        <v>自分自身に / ステータス強化</v>
      </c>
      <c r="M18" s="64" t="str">
        <f t="shared" si="5"/>
        <v>none</v>
      </c>
      <c r="N18" s="48" t="str">
        <f t="shared" si="16"/>
        <v>none</v>
      </c>
      <c r="O18" s="64" t="e">
        <f t="shared" si="7"/>
        <v>#VALUE!</v>
      </c>
      <c r="P18" s="64">
        <f t="shared" si="8"/>
        <v>4</v>
      </c>
      <c r="Q18" s="64" t="e">
        <f t="shared" si="9"/>
        <v>#VALUE!</v>
      </c>
      <c r="R18" s="64" t="e">
        <f t="shared" si="10"/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4" t="e">
        <f t="shared" si="12"/>
        <v>#VALUE!</v>
      </c>
      <c r="V18" s="64">
        <f t="shared" si="13"/>
        <v>4</v>
      </c>
      <c r="W18" s="64" t="e">
        <f t="shared" si="14"/>
        <v>#VALUE!</v>
      </c>
      <c r="X18" s="64" t="e">
        <f t="shared" si="15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50012018</v>
      </c>
      <c r="B19" s="47" t="s">
        <v>323</v>
      </c>
      <c r="C19" s="50">
        <v>3</v>
      </c>
      <c r="D19" s="50" t="s">
        <v>126</v>
      </c>
      <c r="E19" s="51" t="s">
        <v>297</v>
      </c>
      <c r="F19" s="51" t="s">
        <v>398</v>
      </c>
      <c r="G19" s="64" t="str">
        <f t="shared" si="0"/>
        <v>[effect:rush, count:15, val:0.15]</v>
      </c>
      <c r="H19" s="64">
        <f t="shared" si="1"/>
        <v>9</v>
      </c>
      <c r="I19" s="64">
        <f t="shared" si="2"/>
        <v>13</v>
      </c>
      <c r="J19" s="64" t="e">
        <f t="shared" si="3"/>
        <v>#VALUE!</v>
      </c>
      <c r="K19" s="64">
        <f t="shared" si="4"/>
        <v>23</v>
      </c>
      <c r="L19" s="64" t="str">
        <f>IFERROR(VLOOKUP(MID(G19,J19,K19-J19),[6]skilldef!$C:$D,2,FALSE),"-") &amp; " / " &amp; IFERROR(VLOOKUP(MID(G19,H19,I19-H19),[6]skilldef!$A:$B,2,FALSE),"-")</f>
        <v>- / 連続攻撃</v>
      </c>
      <c r="M19" s="64" t="str">
        <f t="shared" si="5"/>
        <v>none</v>
      </c>
      <c r="N19" s="48" t="str">
        <f t="shared" si="16"/>
        <v>none</v>
      </c>
      <c r="O19" s="64" t="e">
        <f t="shared" si="7"/>
        <v>#VALUE!</v>
      </c>
      <c r="P19" s="64">
        <f t="shared" si="8"/>
        <v>4</v>
      </c>
      <c r="Q19" s="64" t="e">
        <f t="shared" si="9"/>
        <v>#VALUE!</v>
      </c>
      <c r="R19" s="64" t="e">
        <f t="shared" si="10"/>
        <v>#VALUE!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4" t="e">
        <f t="shared" si="12"/>
        <v>#VALUE!</v>
      </c>
      <c r="V19" s="64">
        <f t="shared" si="13"/>
        <v>4</v>
      </c>
      <c r="W19" s="64" t="e">
        <f t="shared" si="14"/>
        <v>#VALUE!</v>
      </c>
      <c r="X19" s="64" t="e">
        <f t="shared" si="15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50012019</v>
      </c>
      <c r="B20" s="47" t="s">
        <v>289</v>
      </c>
      <c r="C20" s="50">
        <v>3</v>
      </c>
      <c r="D20" s="50" t="s">
        <v>126</v>
      </c>
      <c r="E20" s="51" t="s">
        <v>295</v>
      </c>
      <c r="F20" s="51" t="s">
        <v>404</v>
      </c>
      <c r="G20" s="64" t="str">
        <f t="shared" si="0"/>
        <v>[effect:damage_gravity, val:0.4, animation:fevergauge_down]</v>
      </c>
      <c r="H20" s="64">
        <f t="shared" si="1"/>
        <v>9</v>
      </c>
      <c r="I20" s="64">
        <f t="shared" si="2"/>
        <v>23</v>
      </c>
      <c r="J20" s="64" t="e">
        <f t="shared" si="3"/>
        <v>#VALUE!</v>
      </c>
      <c r="K20" s="64">
        <f t="shared" si="4"/>
        <v>32</v>
      </c>
      <c r="L20" s="64" t="str">
        <f>IFERROR(VLOOKUP(MID(G20,J20,K20-J20),[6]skilldef!$C:$D,2,FALSE),"-") &amp; " / " &amp; IFERROR(VLOOKUP(MID(G20,H20,I20-H20),[6]skilldef!$A:$B,2,FALSE),"-")</f>
        <v>- / 割合ダメージ</v>
      </c>
      <c r="M20" s="64" t="str">
        <f t="shared" si="5"/>
        <v>none</v>
      </c>
      <c r="N20" s="48" t="str">
        <f t="shared" si="16"/>
        <v>none</v>
      </c>
      <c r="O20" s="64" t="e">
        <f t="shared" si="7"/>
        <v>#VALUE!</v>
      </c>
      <c r="P20" s="64">
        <f t="shared" si="8"/>
        <v>4</v>
      </c>
      <c r="Q20" s="64" t="e">
        <f t="shared" si="9"/>
        <v>#VALUE!</v>
      </c>
      <c r="R20" s="64" t="e">
        <f t="shared" si="10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4" t="e">
        <f t="shared" si="12"/>
        <v>#VALUE!</v>
      </c>
      <c r="V20" s="64">
        <f t="shared" si="13"/>
        <v>4</v>
      </c>
      <c r="W20" s="64" t="e">
        <f t="shared" si="14"/>
        <v>#VALUE!</v>
      </c>
      <c r="X20" s="64" t="e">
        <f t="shared" si="15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50012020</v>
      </c>
      <c r="B21" s="47" t="s">
        <v>253</v>
      </c>
      <c r="C21" s="50">
        <v>3</v>
      </c>
      <c r="D21" s="50" t="s">
        <v>126</v>
      </c>
      <c r="E21" s="51" t="s">
        <v>331</v>
      </c>
      <c r="F21" s="51" t="s">
        <v>399</v>
      </c>
      <c r="G21" s="64" t="str">
        <f t="shared" si="0"/>
        <v>[effect:rush, count:8, val:0.2]</v>
      </c>
      <c r="H21" s="64">
        <f t="shared" si="1"/>
        <v>9</v>
      </c>
      <c r="I21" s="64">
        <f t="shared" si="2"/>
        <v>13</v>
      </c>
      <c r="J21" s="64" t="e">
        <f t="shared" si="3"/>
        <v>#VALUE!</v>
      </c>
      <c r="K21" s="64">
        <f t="shared" si="4"/>
        <v>22</v>
      </c>
      <c r="L21" s="64" t="str">
        <f>IFERROR(VLOOKUP(MID(G21,J21,K21-J21),[6]skilldef!$C:$D,2,FALSE),"-") &amp; " / " &amp; IFERROR(VLOOKUP(MID(G21,H21,I21-H21),[6]skilldef!$A:$B,2,FALSE),"-")</f>
        <v>- / 連続攻撃</v>
      </c>
      <c r="M21" s="64" t="str">
        <f t="shared" si="5"/>
        <v>none</v>
      </c>
      <c r="N21" s="48" t="str">
        <f t="shared" si="16"/>
        <v>none</v>
      </c>
      <c r="O21" s="64" t="e">
        <f t="shared" si="7"/>
        <v>#VALUE!</v>
      </c>
      <c r="P21" s="64">
        <f t="shared" si="8"/>
        <v>4</v>
      </c>
      <c r="Q21" s="64" t="e">
        <f t="shared" si="9"/>
        <v>#VALUE!</v>
      </c>
      <c r="R21" s="64" t="e">
        <f t="shared" si="10"/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4" t="e">
        <f t="shared" si="12"/>
        <v>#VALUE!</v>
      </c>
      <c r="V21" s="64">
        <f t="shared" si="13"/>
        <v>4</v>
      </c>
      <c r="W21" s="64" t="e">
        <f t="shared" si="14"/>
        <v>#VALUE!</v>
      </c>
      <c r="X21" s="64" t="e">
        <f t="shared" si="15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50012021</v>
      </c>
      <c r="B22" s="47" t="s">
        <v>290</v>
      </c>
      <c r="C22" s="50">
        <v>3</v>
      </c>
      <c r="D22" s="50" t="s">
        <v>126</v>
      </c>
      <c r="E22" s="51" t="s">
        <v>291</v>
      </c>
      <c r="F22" s="51" t="s">
        <v>411</v>
      </c>
      <c r="G22" s="64" t="str">
        <f t="shared" si="0"/>
        <v xml:space="preserve">[effect:enhance_enemy, target:myself, turn:-1, status:attack, val:0.3, calc:mul, animation:enemy_enhance_attack]    </v>
      </c>
      <c r="H22" s="64">
        <f t="shared" si="1"/>
        <v>9</v>
      </c>
      <c r="I22" s="64">
        <f t="shared" si="2"/>
        <v>22</v>
      </c>
      <c r="J22" s="64">
        <f t="shared" si="3"/>
        <v>31</v>
      </c>
      <c r="K22" s="64">
        <f t="shared" si="4"/>
        <v>37</v>
      </c>
      <c r="L22" s="64" t="str">
        <f>IFERROR(VLOOKUP(MID(G22,J22,K22-J22),[6]skilldef!$C:$D,2,FALSE),"-") &amp; " / " &amp; IFERROR(VLOOKUP(MID(G22,H22,I22-H22),[6]skilldef!$A:$B,2,FALSE),"-")</f>
        <v>自分自身に / ステータス強化</v>
      </c>
      <c r="M22" s="64" t="str">
        <f t="shared" si="5"/>
        <v>none</v>
      </c>
      <c r="N22" s="48" t="str">
        <f t="shared" si="16"/>
        <v>none</v>
      </c>
      <c r="O22" s="64" t="e">
        <f t="shared" si="7"/>
        <v>#VALUE!</v>
      </c>
      <c r="P22" s="64">
        <f t="shared" si="8"/>
        <v>4</v>
      </c>
      <c r="Q22" s="64" t="e">
        <f t="shared" si="9"/>
        <v>#VALUE!</v>
      </c>
      <c r="R22" s="64" t="e">
        <f t="shared" si="10"/>
        <v>#VALUE!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4" t="e">
        <f t="shared" si="12"/>
        <v>#VALUE!</v>
      </c>
      <c r="V22" s="64">
        <f t="shared" si="13"/>
        <v>4</v>
      </c>
      <c r="W22" s="64" t="e">
        <f t="shared" si="14"/>
        <v>#VALUE!</v>
      </c>
      <c r="X22" s="64" t="e">
        <f t="shared" si="15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50012022</v>
      </c>
      <c r="B23" s="47" t="s">
        <v>320</v>
      </c>
      <c r="C23" s="50">
        <v>3</v>
      </c>
      <c r="D23" s="50" t="s">
        <v>126</v>
      </c>
      <c r="E23" s="51" t="s">
        <v>298</v>
      </c>
      <c r="F23" s="51" t="s">
        <v>398</v>
      </c>
      <c r="G23" s="64" t="str">
        <f t="shared" si="0"/>
        <v>[effect:rush, count:15, val:0.1]</v>
      </c>
      <c r="H23" s="64">
        <f t="shared" si="1"/>
        <v>9</v>
      </c>
      <c r="I23" s="64">
        <f t="shared" si="2"/>
        <v>13</v>
      </c>
      <c r="J23" s="64" t="e">
        <f t="shared" si="3"/>
        <v>#VALUE!</v>
      </c>
      <c r="K23" s="64">
        <f t="shared" si="4"/>
        <v>23</v>
      </c>
      <c r="L23" s="64" t="str">
        <f>IFERROR(VLOOKUP(MID(G23,J23,K23-J23),[6]skilldef!$C:$D,2,FALSE),"-") &amp; " / " &amp; IFERROR(VLOOKUP(MID(G23,H23,I23-H23),[6]skilldef!$A:$B,2,FALSE),"-")</f>
        <v>- / 連続攻撃</v>
      </c>
      <c r="M23" s="64" t="str">
        <f t="shared" si="5"/>
        <v>none</v>
      </c>
      <c r="N23" s="48" t="str">
        <f t="shared" si="16"/>
        <v>none</v>
      </c>
      <c r="O23" s="64" t="e">
        <f t="shared" si="7"/>
        <v>#VALUE!</v>
      </c>
      <c r="P23" s="64">
        <f t="shared" si="8"/>
        <v>4</v>
      </c>
      <c r="Q23" s="64" t="e">
        <f t="shared" si="9"/>
        <v>#VALUE!</v>
      </c>
      <c r="R23" s="64" t="e">
        <f t="shared" si="10"/>
        <v>#VALUE!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4" t="e">
        <f t="shared" si="12"/>
        <v>#VALUE!</v>
      </c>
      <c r="V23" s="64">
        <f t="shared" si="13"/>
        <v>4</v>
      </c>
      <c r="W23" s="64" t="e">
        <f t="shared" si="14"/>
        <v>#VALUE!</v>
      </c>
      <c r="X23" s="64" t="e">
        <f t="shared" si="15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50012025</v>
      </c>
      <c r="B24" s="47" t="s">
        <v>264</v>
      </c>
      <c r="C24" s="50">
        <v>3</v>
      </c>
      <c r="D24" s="50" t="s">
        <v>126</v>
      </c>
      <c r="E24" s="51" t="s">
        <v>292</v>
      </c>
      <c r="F24" s="51" t="s">
        <v>379</v>
      </c>
      <c r="G24" s="64" t="str">
        <f t="shared" si="0"/>
        <v xml:space="preserve">[effect:tolerance, target:myself, turn:-1, count:-1, tolerance_effect:all, animation:enemy_tolerance]    </v>
      </c>
      <c r="H24" s="64">
        <f t="shared" si="1"/>
        <v>9</v>
      </c>
      <c r="I24" s="64">
        <f t="shared" si="2"/>
        <v>18</v>
      </c>
      <c r="J24" s="64">
        <f t="shared" si="3"/>
        <v>27</v>
      </c>
      <c r="K24" s="64">
        <f t="shared" si="4"/>
        <v>33</v>
      </c>
      <c r="L24" s="64" t="str">
        <f>IFERROR(VLOOKUP(MID(G24,J24,K24-J24),[6]skilldef!$C:$D,2,FALSE),"-") &amp; " / " &amp; IFERROR(VLOOKUP(MID(G24,H24,I24-H24),[6]skilldef!$A:$B,2,FALSE),"-")</f>
        <v>自分自身に / 状態異常耐性</v>
      </c>
      <c r="M24" s="64" t="str">
        <f t="shared" si="5"/>
        <v>none</v>
      </c>
      <c r="N24" s="48" t="str">
        <f t="shared" si="16"/>
        <v>none</v>
      </c>
      <c r="O24" s="64" t="e">
        <f t="shared" si="7"/>
        <v>#VALUE!</v>
      </c>
      <c r="P24" s="64">
        <f t="shared" si="8"/>
        <v>4</v>
      </c>
      <c r="Q24" s="64" t="e">
        <f t="shared" si="9"/>
        <v>#VALUE!</v>
      </c>
      <c r="R24" s="64" t="e">
        <f t="shared" si="10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4" t="e">
        <f t="shared" si="12"/>
        <v>#VALUE!</v>
      </c>
      <c r="V24" s="64">
        <f t="shared" si="13"/>
        <v>4</v>
      </c>
      <c r="W24" s="64" t="e">
        <f t="shared" si="14"/>
        <v>#VALUE!</v>
      </c>
      <c r="X24" s="64" t="e">
        <f t="shared" si="15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50012026</v>
      </c>
      <c r="B25" s="47" t="s">
        <v>259</v>
      </c>
      <c r="C25" s="50">
        <v>3</v>
      </c>
      <c r="D25" s="50" t="s">
        <v>126</v>
      </c>
      <c r="E25" s="51" t="s">
        <v>332</v>
      </c>
      <c r="F25" s="51" t="s">
        <v>412</v>
      </c>
      <c r="G25" s="64" t="str">
        <f t="shared" si="0"/>
        <v>[effect:damage_gravity, val:0.5, animation:fevergauge_down]</v>
      </c>
      <c r="H25" s="64">
        <f t="shared" si="1"/>
        <v>9</v>
      </c>
      <c r="I25" s="64">
        <f t="shared" si="2"/>
        <v>23</v>
      </c>
      <c r="J25" s="64" t="e">
        <f t="shared" si="3"/>
        <v>#VALUE!</v>
      </c>
      <c r="K25" s="64">
        <f t="shared" si="4"/>
        <v>32</v>
      </c>
      <c r="L25" s="64" t="str">
        <f>IFERROR(VLOOKUP(MID(G25,J25,K25-J25),[6]skilldef!$C:$D,2,FALSE),"-") &amp; " / " &amp; IFERROR(VLOOKUP(MID(G25,H25,I25-H25),[6]skilldef!$A:$B,2,FALSE),"-")</f>
        <v>- / 割合ダメージ</v>
      </c>
      <c r="M25" s="64" t="str">
        <f t="shared" si="5"/>
        <v>[effect:panel_freeze, target:normal, color:block_red, count:-1]</v>
      </c>
      <c r="N25" s="48" t="str">
        <f t="shared" si="16"/>
        <v>[effect:panel_freeze, target:normal, color:block_red, count:-1]</v>
      </c>
      <c r="O25" s="64">
        <f t="shared" si="7"/>
        <v>9</v>
      </c>
      <c r="P25" s="64">
        <f t="shared" si="8"/>
        <v>21</v>
      </c>
      <c r="Q25" s="64">
        <f t="shared" si="9"/>
        <v>30</v>
      </c>
      <c r="R25" s="64">
        <f t="shared" si="10"/>
        <v>36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4" t="e">
        <f t="shared" si="12"/>
        <v>#VALUE!</v>
      </c>
      <c r="V25" s="64">
        <f t="shared" si="13"/>
        <v>4</v>
      </c>
      <c r="W25" s="64" t="e">
        <f t="shared" si="14"/>
        <v>#VALUE!</v>
      </c>
      <c r="X25" s="64" t="e">
        <f t="shared" si="15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50012027</v>
      </c>
      <c r="B26" s="47" t="s">
        <v>313</v>
      </c>
      <c r="C26" s="50">
        <v>3</v>
      </c>
      <c r="D26" s="50" t="s">
        <v>126</v>
      </c>
      <c r="E26" s="51" t="s">
        <v>329</v>
      </c>
      <c r="F26" s="51" t="s">
        <v>380</v>
      </c>
      <c r="G26" s="64" t="str">
        <f t="shared" si="0"/>
        <v xml:space="preserve">[effect:break_attack_fix, target:unit_all, val:500, lowest_val:1000, count:-1, color:red, block_color:block_red, block01:normal,ignore01:color_break, ignore02:crash, ignore03:crack_bomb]    </v>
      </c>
      <c r="H26" s="64">
        <f t="shared" si="1"/>
        <v>9</v>
      </c>
      <c r="I26" s="64">
        <f t="shared" si="2"/>
        <v>25</v>
      </c>
      <c r="J26" s="64">
        <f t="shared" si="3"/>
        <v>34</v>
      </c>
      <c r="K26" s="64">
        <f t="shared" si="4"/>
        <v>42</v>
      </c>
      <c r="L26" s="64" t="str">
        <f>IFERROR(VLOOKUP(MID(G26,J26,K26-J26),[6]skilldef!$C:$D,2,FALSE),"-") &amp; " / " &amp; IFERROR(VLOOKUP(MID(G26,H26,I26-H26),[6]skilldef!$A:$B,2,FALSE),"-")</f>
        <v>味方全体に / -</v>
      </c>
      <c r="M26" s="64" t="str">
        <f t="shared" si="5"/>
        <v>none</v>
      </c>
      <c r="N26" s="48" t="str">
        <f t="shared" si="16"/>
        <v>none</v>
      </c>
      <c r="O26" s="64" t="e">
        <f t="shared" si="7"/>
        <v>#VALUE!</v>
      </c>
      <c r="P26" s="64">
        <f t="shared" si="8"/>
        <v>4</v>
      </c>
      <c r="Q26" s="64" t="e">
        <f t="shared" si="9"/>
        <v>#VALUE!</v>
      </c>
      <c r="R26" s="64" t="e">
        <f t="shared" si="10"/>
        <v>#VALUE!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4" t="e">
        <f t="shared" si="12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50012028</v>
      </c>
      <c r="B27" s="47" t="s">
        <v>260</v>
      </c>
      <c r="C27" s="50">
        <v>3</v>
      </c>
      <c r="D27" s="50" t="s">
        <v>126</v>
      </c>
      <c r="E27" s="51" t="s">
        <v>336</v>
      </c>
      <c r="F27" s="51" t="s">
        <v>381</v>
      </c>
      <c r="G27" s="64" t="str">
        <f t="shared" si="0"/>
        <v xml:space="preserve">[effect:virus, target:unit_all, turn:5, rate:1, val:0.15, animation:enemy_virus]    </v>
      </c>
      <c r="H27" s="64">
        <f t="shared" si="1"/>
        <v>9</v>
      </c>
      <c r="I27" s="64">
        <f t="shared" si="2"/>
        <v>14</v>
      </c>
      <c r="J27" s="64">
        <f t="shared" si="3"/>
        <v>23</v>
      </c>
      <c r="K27" s="64">
        <f t="shared" si="4"/>
        <v>31</v>
      </c>
      <c r="L27" s="64" t="str">
        <f>IFERROR(VLOOKUP(MID(G27,J27,K27-J27),[6]skilldef!$C:$D,2,FALSE),"-") &amp; " / " &amp; IFERROR(VLOOKUP(MID(G27,H27,I27-H27),[6]skilldef!$A:$B,2,FALSE),"-")</f>
        <v>味方全体に / ウィルス</v>
      </c>
      <c r="M27" s="64" t="str">
        <f t="shared" si="5"/>
        <v>none</v>
      </c>
      <c r="N27" s="48" t="str">
        <f t="shared" si="16"/>
        <v>none</v>
      </c>
      <c r="O27" s="64" t="e">
        <f t="shared" si="7"/>
        <v>#VALUE!</v>
      </c>
      <c r="P27" s="64">
        <f t="shared" si="8"/>
        <v>4</v>
      </c>
      <c r="Q27" s="64" t="e">
        <f t="shared" si="9"/>
        <v>#VALUE!</v>
      </c>
      <c r="R27" s="64" t="e">
        <f t="shared" si="10"/>
        <v>#VALUE!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4" t="e">
        <f t="shared" si="12"/>
        <v>#VALUE!</v>
      </c>
      <c r="V27" s="64">
        <f t="shared" si="13"/>
        <v>4</v>
      </c>
      <c r="W27" s="64" t="e">
        <f t="shared" si="14"/>
        <v>#VALUE!</v>
      </c>
      <c r="X27" s="64" t="e">
        <f t="shared" si="15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50012029</v>
      </c>
      <c r="B28" s="47" t="s">
        <v>312</v>
      </c>
      <c r="C28" s="50">
        <v>3</v>
      </c>
      <c r="D28" s="50" t="s">
        <v>126</v>
      </c>
      <c r="E28" s="51" t="s">
        <v>334</v>
      </c>
      <c r="F28" s="51" t="s">
        <v>404</v>
      </c>
      <c r="G28" s="64" t="str">
        <f t="shared" ref="G28:G32" si="17">IFERROR(LEFT(B28,FIND("],",B28)),B28)</f>
        <v>[effect:damage_gravity, val:0.4, animation:fevergauge_down]</v>
      </c>
      <c r="H28" s="64">
        <f t="shared" si="1"/>
        <v>9</v>
      </c>
      <c r="I28" s="64">
        <f t="shared" ref="I28:I32" si="18">IFERROR(FIND(",",G28),LEN(G28))</f>
        <v>23</v>
      </c>
      <c r="J28" s="64" t="e">
        <f t="shared" ref="J28:J32" si="19">FIND("target:",G28)+7</f>
        <v>#VALUE!</v>
      </c>
      <c r="K28" s="64">
        <f t="shared" ref="K28:K32" si="20">FIND(",",G28,I28+1)</f>
        <v>32</v>
      </c>
      <c r="L28" s="64" t="str">
        <f>IFERROR(VLOOKUP(MID(G28,J28,K28-J28),[6]skilldef!$C:$D,2,FALSE),"-") &amp; " / " &amp; IFERROR(VLOOKUP(MID(G28,H28,I28-H28),[6]skilldef!$A:$B,2,FALSE),"-")</f>
        <v>- / 割合ダメージ</v>
      </c>
      <c r="M28" s="64" t="str">
        <f t="shared" ref="M28:M32" si="21">IFERROR(RIGHT(B28,LEN(B28)-FIND("],",B28)-1),"none")</f>
        <v>none</v>
      </c>
      <c r="N28" s="48" t="str">
        <f t="shared" si="16"/>
        <v>none</v>
      </c>
      <c r="O28" s="64" t="e">
        <f t="shared" si="7"/>
        <v>#VALUE!</v>
      </c>
      <c r="P28" s="64">
        <f t="shared" ref="P28:P32" si="22">IFERROR(FIND(",",N28),LEN(N28))</f>
        <v>4</v>
      </c>
      <c r="Q28" s="64" t="e">
        <f t="shared" ref="Q28:Q32" si="23">FIND("target:",N28)+7</f>
        <v>#VALUE!</v>
      </c>
      <c r="R28" s="64" t="e">
        <f t="shared" ref="R28:R32" si="24">FIND(",",N28,P28+1)</f>
        <v>#VALUE!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ref="T28:T32" si="25">IFERROR(RIGHT(M28,LEN(M28)-FIND("],",M28)-1),"none")</f>
        <v>none</v>
      </c>
      <c r="U28" s="64" t="e">
        <f t="shared" si="12"/>
        <v>#VALUE!</v>
      </c>
      <c r="V28" s="64">
        <f t="shared" ref="V28:V32" si="26">IFERROR(FIND(",",T28),LEN(T28))</f>
        <v>4</v>
      </c>
      <c r="W28" s="64" t="e">
        <f t="shared" ref="W28:W32" si="27">FIND("target:",T28)+7</f>
        <v>#VALUE!</v>
      </c>
      <c r="X28" s="64" t="e">
        <f t="shared" ref="X28:X32" si="28">FIND(",",T28,V28+1)</f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50012030</v>
      </c>
      <c r="B29" s="47" t="s">
        <v>256</v>
      </c>
      <c r="C29" s="50">
        <v>3</v>
      </c>
      <c r="D29" s="50" t="s">
        <v>126</v>
      </c>
      <c r="E29" s="51" t="s">
        <v>335</v>
      </c>
      <c r="F29" s="51" t="s">
        <v>382</v>
      </c>
      <c r="G29" s="64" t="str">
        <f t="shared" si="17"/>
        <v>[effect:spread, val:0.3]</v>
      </c>
      <c r="H29" s="64">
        <f t="shared" si="1"/>
        <v>9</v>
      </c>
      <c r="I29" s="64">
        <f t="shared" si="18"/>
        <v>15</v>
      </c>
      <c r="J29" s="64" t="e">
        <f t="shared" si="19"/>
        <v>#VALUE!</v>
      </c>
      <c r="K29" s="64" t="e">
        <f t="shared" si="20"/>
        <v>#VALUE!</v>
      </c>
      <c r="L29" s="64" t="str">
        <f>IFERROR(VLOOKUP(MID(G29,J29,K29-J29),[6]skilldef!$C:$D,2,FALSE),"-") &amp; " / " &amp; IFERROR(VLOOKUP(MID(G29,H29,I29-H29),[6]skilldef!$A:$B,2,FALSE),"-")</f>
        <v>- / 全体攻撃</v>
      </c>
      <c r="M29" s="64" t="str">
        <f t="shared" si="21"/>
        <v>none</v>
      </c>
      <c r="N29" s="48" t="str">
        <f t="shared" si="16"/>
        <v>none</v>
      </c>
      <c r="O29" s="64" t="e">
        <f t="shared" si="7"/>
        <v>#VALUE!</v>
      </c>
      <c r="P29" s="64">
        <f t="shared" si="22"/>
        <v>4</v>
      </c>
      <c r="Q29" s="64" t="e">
        <f t="shared" si="23"/>
        <v>#VALUE!</v>
      </c>
      <c r="R29" s="64" t="e">
        <f t="shared" si="24"/>
        <v>#VALUE!</v>
      </c>
      <c r="S29" s="64" t="str">
        <f>IFERROR(VLOOKUP(MID(N29,Q29,R29-Q29),[6]skilldef!$C:$D,2,FALSE),"-") &amp; " / " &amp; IFERROR(VLOOKUP(MID(N29,O29,P29-O29),[6]skilldef!$A:$B,2,FALSE),"-")</f>
        <v>- / -</v>
      </c>
      <c r="T29" s="48" t="str">
        <f t="shared" si="25"/>
        <v>none</v>
      </c>
      <c r="U29" s="64" t="e">
        <f t="shared" si="12"/>
        <v>#VALUE!</v>
      </c>
      <c r="V29" s="64">
        <f t="shared" si="26"/>
        <v>4</v>
      </c>
      <c r="W29" s="64" t="e">
        <f t="shared" si="27"/>
        <v>#VALUE!</v>
      </c>
      <c r="X29" s="64" t="e">
        <f t="shared" si="28"/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50012031</v>
      </c>
      <c r="B30" s="47" t="s">
        <v>254</v>
      </c>
      <c r="C30" s="50">
        <v>3</v>
      </c>
      <c r="D30" s="50" t="s">
        <v>126</v>
      </c>
      <c r="E30" s="51" t="s">
        <v>330</v>
      </c>
      <c r="F30" s="51" t="s">
        <v>410</v>
      </c>
      <c r="G30" s="64" t="str">
        <f t="shared" si="17"/>
        <v xml:space="preserve">[effect:enhance_enemy, target:myself, turn:-1, status:attack, val:0.2, calc:mul, animation:enemy_enhance_attack]    </v>
      </c>
      <c r="H30" s="64">
        <f t="shared" si="1"/>
        <v>9</v>
      </c>
      <c r="I30" s="64">
        <f t="shared" si="18"/>
        <v>22</v>
      </c>
      <c r="J30" s="64">
        <f t="shared" si="19"/>
        <v>31</v>
      </c>
      <c r="K30" s="64">
        <f t="shared" si="20"/>
        <v>37</v>
      </c>
      <c r="L30" s="64" t="str">
        <f>IFERROR(VLOOKUP(MID(G30,J30,K30-J30),[6]skilldef!$C:$D,2,FALSE),"-") &amp; " / " &amp; IFERROR(VLOOKUP(MID(G30,H30,I30-H30),[6]skilldef!$A:$B,2,FALSE),"-")</f>
        <v>自分自身に / ステータス強化</v>
      </c>
      <c r="M30" s="64" t="str">
        <f t="shared" si="21"/>
        <v>none</v>
      </c>
      <c r="N30" s="48" t="str">
        <f t="shared" si="16"/>
        <v>none</v>
      </c>
      <c r="O30" s="64" t="e">
        <f t="shared" si="7"/>
        <v>#VALUE!</v>
      </c>
      <c r="P30" s="64">
        <f t="shared" si="22"/>
        <v>4</v>
      </c>
      <c r="Q30" s="64" t="e">
        <f t="shared" si="23"/>
        <v>#VALUE!</v>
      </c>
      <c r="R30" s="64" t="e">
        <f t="shared" si="24"/>
        <v>#VALUE!</v>
      </c>
      <c r="S30" s="64" t="str">
        <f>IFERROR(VLOOKUP(MID(N30,Q30,R30-Q30),[6]skilldef!$C:$D,2,FALSE),"-") &amp; " / " &amp; IFERROR(VLOOKUP(MID(N30,O30,P30-O30),[6]skilldef!$A:$B,2,FALSE),"-")</f>
        <v>- / -</v>
      </c>
      <c r="T30" s="48" t="str">
        <f t="shared" si="25"/>
        <v>none</v>
      </c>
      <c r="U30" s="64" t="e">
        <f t="shared" si="12"/>
        <v>#VALUE!</v>
      </c>
      <c r="V30" s="64">
        <f t="shared" si="26"/>
        <v>4</v>
      </c>
      <c r="W30" s="64" t="e">
        <f t="shared" si="27"/>
        <v>#VALUE!</v>
      </c>
      <c r="X30" s="64" t="e">
        <f t="shared" si="28"/>
        <v>#VALUE!</v>
      </c>
      <c r="Y30" s="64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50012032</v>
      </c>
      <c r="B31" s="47" t="s">
        <v>261</v>
      </c>
      <c r="C31" s="50">
        <v>3</v>
      </c>
      <c r="D31" s="50" t="s">
        <v>126</v>
      </c>
      <c r="E31" s="51" t="s">
        <v>333</v>
      </c>
      <c r="F31" s="51" t="s">
        <v>400</v>
      </c>
      <c r="G31" s="64" t="str">
        <f t="shared" si="17"/>
        <v>[effect:rush, count:20, val:0.1]</v>
      </c>
      <c r="H31" s="64">
        <f t="shared" si="1"/>
        <v>9</v>
      </c>
      <c r="I31" s="64">
        <f t="shared" si="18"/>
        <v>13</v>
      </c>
      <c r="J31" s="64" t="e">
        <f t="shared" si="19"/>
        <v>#VALUE!</v>
      </c>
      <c r="K31" s="64">
        <f t="shared" si="20"/>
        <v>23</v>
      </c>
      <c r="L31" s="64" t="str">
        <f>IFERROR(VLOOKUP(MID(G31,J31,K31-J31),[6]skilldef!$C:$D,2,FALSE),"-") &amp; " / " &amp; IFERROR(VLOOKUP(MID(G31,H31,I31-H31),[6]skilldef!$A:$B,2,FALSE),"-")</f>
        <v>- / 連続攻撃</v>
      </c>
      <c r="M31" s="64" t="str">
        <f t="shared" si="21"/>
        <v>none</v>
      </c>
      <c r="N31" s="48" t="str">
        <f t="shared" si="16"/>
        <v>none</v>
      </c>
      <c r="O31" s="64" t="e">
        <f t="shared" si="7"/>
        <v>#VALUE!</v>
      </c>
      <c r="P31" s="64">
        <f t="shared" si="22"/>
        <v>4</v>
      </c>
      <c r="Q31" s="64" t="e">
        <f t="shared" si="23"/>
        <v>#VALUE!</v>
      </c>
      <c r="R31" s="64" t="e">
        <f t="shared" si="24"/>
        <v>#VALUE!</v>
      </c>
      <c r="S31" s="64" t="str">
        <f>IFERROR(VLOOKUP(MID(N31,Q31,R31-Q31),[6]skilldef!$C:$D,2,FALSE),"-") &amp; " / " &amp; IFERROR(VLOOKUP(MID(N31,O31,P31-O31),[6]skilldef!$A:$B,2,FALSE),"-")</f>
        <v>- / -</v>
      </c>
      <c r="T31" s="48" t="str">
        <f t="shared" si="25"/>
        <v>none</v>
      </c>
      <c r="U31" s="64" t="e">
        <f t="shared" si="12"/>
        <v>#VALUE!</v>
      </c>
      <c r="V31" s="64">
        <f t="shared" si="26"/>
        <v>4</v>
      </c>
      <c r="W31" s="64" t="e">
        <f t="shared" si="27"/>
        <v>#VALUE!</v>
      </c>
      <c r="X31" s="64" t="e">
        <f t="shared" si="28"/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50012035</v>
      </c>
      <c r="B32" s="47" t="s">
        <v>429</v>
      </c>
      <c r="C32" s="50">
        <v>3</v>
      </c>
      <c r="D32" s="50" t="s">
        <v>126</v>
      </c>
      <c r="E32" s="51" t="s">
        <v>299</v>
      </c>
      <c r="F32" s="51" t="s">
        <v>383</v>
      </c>
      <c r="G32" s="64" t="str">
        <f t="shared" si="17"/>
        <v>[effect:change_panel_ratio, turn:-1, block_type:heal, val:0.13, animation:block_incidence04]</v>
      </c>
      <c r="H32" s="64">
        <f t="shared" si="1"/>
        <v>9</v>
      </c>
      <c r="I32" s="64">
        <f t="shared" si="18"/>
        <v>27</v>
      </c>
      <c r="J32" s="64" t="e">
        <f t="shared" si="19"/>
        <v>#VALUE!</v>
      </c>
      <c r="K32" s="64">
        <f t="shared" si="20"/>
        <v>36</v>
      </c>
      <c r="L32" s="64" t="str">
        <f>IFERROR(VLOOKUP(MID(G32,J32,K32-J32),[6]skilldef!$C:$D,2,FALSE),"-") &amp; " / " &amp; IFERROR(VLOOKUP(MID(G32,H32,I32-H32),[6]skilldef!$A:$B,2,FALSE),"-")</f>
        <v>- / -</v>
      </c>
      <c r="M32" s="64" t="str">
        <f t="shared" si="21"/>
        <v>[effect:tolerance, target:myself, turn:-1, count:-1, tolerance_effect:all, animation:enemy_tolerance],[effect:fix_speed, target:myself, turn:1]</v>
      </c>
      <c r="N32" s="48" t="str">
        <f t="shared" ref="N32" si="29">IFERROR(LEFT(M32,FIND("],",M32)+S42),M32)</f>
        <v>[effect:tolerance, target:myself, turn:-1, count:-1, tolerance_effect:all, animation:enemy_tolerance],[effect:fix_speed, target:myself, turn:1]</v>
      </c>
      <c r="O32" s="64">
        <f t="shared" si="7"/>
        <v>9</v>
      </c>
      <c r="P32" s="64">
        <f t="shared" si="22"/>
        <v>18</v>
      </c>
      <c r="Q32" s="64">
        <f t="shared" si="23"/>
        <v>27</v>
      </c>
      <c r="R32" s="64">
        <f t="shared" si="24"/>
        <v>33</v>
      </c>
      <c r="S32" s="64" t="str">
        <f>IFERROR(VLOOKUP(MID(N32,Q32,R32-Q32),[6]skilldef!$C:$D,2,FALSE),"-") &amp; " / " &amp; IFERROR(VLOOKUP(MID(N32,O32,P32-O32),[6]skilldef!$A:$B,2,FALSE),"-")</f>
        <v>自分自身に / 状態異常耐性</v>
      </c>
      <c r="T32" s="48" t="str">
        <f t="shared" si="25"/>
        <v>[effect:fix_speed, target:myself, turn:1]</v>
      </c>
      <c r="U32" s="64">
        <f t="shared" si="12"/>
        <v>9</v>
      </c>
      <c r="V32" s="64">
        <f t="shared" si="26"/>
        <v>18</v>
      </c>
      <c r="W32" s="64">
        <f t="shared" si="27"/>
        <v>27</v>
      </c>
      <c r="X32" s="64">
        <f t="shared" si="28"/>
        <v>33</v>
      </c>
      <c r="Y32" s="64" t="str">
        <f>IFERROR(VLOOKUP(MID(T32,W32,X32-W32),[6]skilldef!$C:$D,2,FALSE),"-") &amp; " / " &amp; IFERROR(VLOOKUP(MID(T32,U32,V32-U32),[6]skilldef!$A:$B,2,FALSE),"-")</f>
        <v>自分自身に / 行動値設定</v>
      </c>
      <c r="Z32" s="50"/>
      <c r="AA32" s="52"/>
      <c r="AB32" s="50"/>
    </row>
    <row r="33" spans="1:28" ht="21" customHeight="1" x14ac:dyDescent="0.15">
      <c r="A33" s="47">
        <v>50012036</v>
      </c>
      <c r="B33" s="47" t="s">
        <v>436</v>
      </c>
      <c r="C33" s="50">
        <v>3</v>
      </c>
      <c r="D33" s="50" t="s">
        <v>126</v>
      </c>
      <c r="E33" s="51" t="s">
        <v>302</v>
      </c>
      <c r="F33" s="51" t="s">
        <v>409</v>
      </c>
      <c r="G33" s="64" t="str">
        <f t="shared" ref="G33:G36" si="30">IFERROR(LEFT(B33,FIND("],",B33)),B33)</f>
        <v>[effect:virus, target:unit_all, turn:3, rate:1, val:0.05, animation:enemy_virus]</v>
      </c>
      <c r="H33" s="64">
        <f t="shared" si="1"/>
        <v>9</v>
      </c>
      <c r="I33" s="64">
        <f t="shared" ref="I33:I36" si="31">IFERROR(FIND(",",G33),LEN(G33))</f>
        <v>14</v>
      </c>
      <c r="J33" s="64">
        <f t="shared" ref="J33:J36" si="32">FIND("target:",G33)+7</f>
        <v>23</v>
      </c>
      <c r="K33" s="64">
        <f t="shared" ref="K33:K36" si="33">FIND(",",G33,I33+1)</f>
        <v>31</v>
      </c>
      <c r="L33" s="64" t="str">
        <f>IFERROR(VLOOKUP(MID(G33,J33,K33-J33),[6]skilldef!$C:$D,2,FALSE),"-") &amp; " / " &amp; IFERROR(VLOOKUP(MID(G33,H33,I33-H33),[6]skilldef!$A:$B,2,FALSE),"-")</f>
        <v>味方全体に / ウィルス</v>
      </c>
      <c r="M33" s="64" t="str">
        <f t="shared" ref="M33:M36" si="34">IFERROR(RIGHT(B33,LEN(B33)-FIND("],",B33)-1),"none")</f>
        <v xml:space="preserve">[effect:panel_freeze, target:normal, count:10],[effect:enemy_message, val1:1, val2:2.3]    </v>
      </c>
      <c r="N33" s="48" t="str">
        <f t="shared" ref="N33:N36" si="35">IFERROR(LEFT(M33,FIND("],",M33)+S43),M33)</f>
        <v xml:space="preserve">[effect:panel_freeze, target:normal, count:10],[effect:enemy_message, val1:1, val2:2.3]    </v>
      </c>
      <c r="O33" s="64">
        <f t="shared" si="7"/>
        <v>9</v>
      </c>
      <c r="P33" s="64">
        <f t="shared" ref="P33:P36" si="36">IFERROR(FIND(",",N33),LEN(N33))</f>
        <v>21</v>
      </c>
      <c r="Q33" s="64">
        <f t="shared" ref="Q33:Q36" si="37">FIND("target:",N33)+7</f>
        <v>30</v>
      </c>
      <c r="R33" s="64">
        <f t="shared" ref="R33:R36" si="38">FIND(",",N33,P33+1)</f>
        <v>36</v>
      </c>
      <c r="S33" s="64" t="str">
        <f>IFERROR(VLOOKUP(MID(N33,Q33,R33-Q33),[6]skilldef!$C:$D,2,FALSE),"-") &amp; " / " &amp; IFERROR(VLOOKUP(MID(N33,O33,P33-O33),[6]skilldef!$A:$B,2,FALSE),"-")</f>
        <v>- / -</v>
      </c>
      <c r="T33" s="48" t="str">
        <f t="shared" ref="T33:T36" si="39">IFERROR(RIGHT(M33,LEN(M33)-FIND("],",M33)-1),"none")</f>
        <v xml:space="preserve">[effect:enemy_message, val1:1, val2:2.3]    </v>
      </c>
      <c r="U33" s="64">
        <f t="shared" si="12"/>
        <v>9</v>
      </c>
      <c r="V33" s="64">
        <f t="shared" ref="V33:V36" si="40">IFERROR(FIND(",",T33),LEN(T33))</f>
        <v>22</v>
      </c>
      <c r="W33" s="64" t="e">
        <f t="shared" ref="W33:W36" si="41">FIND("target:",T33)+7</f>
        <v>#VALUE!</v>
      </c>
      <c r="X33" s="64">
        <f t="shared" ref="X33:X36" si="42">FIND(",",T33,V33+1)</f>
        <v>30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50012037</v>
      </c>
      <c r="B34" s="47" t="s">
        <v>322</v>
      </c>
      <c r="C34" s="50">
        <v>3</v>
      </c>
      <c r="D34" s="50" t="s">
        <v>126</v>
      </c>
      <c r="E34" s="51" t="s">
        <v>304</v>
      </c>
      <c r="F34" s="51" t="s">
        <v>384</v>
      </c>
      <c r="G34" s="64" t="str">
        <f t="shared" si="30"/>
        <v>[effect:critical, val:1.3]</v>
      </c>
      <c r="H34" s="64">
        <f t="shared" si="1"/>
        <v>9</v>
      </c>
      <c r="I34" s="64">
        <f t="shared" si="31"/>
        <v>17</v>
      </c>
      <c r="J34" s="64" t="e">
        <f t="shared" si="32"/>
        <v>#VALUE!</v>
      </c>
      <c r="K34" s="64" t="e">
        <f t="shared" si="33"/>
        <v>#VALUE!</v>
      </c>
      <c r="L34" s="64" t="str">
        <f>IFERROR(VLOOKUP(MID(G34,J34,K34-J34),[6]skilldef!$C:$D,2,FALSE),"-") &amp; " / " &amp; IFERROR(VLOOKUP(MID(G34,H34,I34-H34),[6]skilldef!$A:$B,2,FALSE),"-")</f>
        <v>- / 大攻撃</v>
      </c>
      <c r="M34" s="64" t="str">
        <f t="shared" si="34"/>
        <v xml:space="preserve">[effect:dis_panel, target:block_red, turn:-1, animation:enemy_dis_red]    </v>
      </c>
      <c r="N34" s="48" t="str">
        <f t="shared" si="35"/>
        <v xml:space="preserve">[effect:dis_panel, target:block_red, turn:-1, animation:enemy_dis_red]    </v>
      </c>
      <c r="O34" s="64">
        <f t="shared" si="7"/>
        <v>9</v>
      </c>
      <c r="P34" s="64">
        <f t="shared" si="36"/>
        <v>18</v>
      </c>
      <c r="Q34" s="64">
        <f t="shared" si="37"/>
        <v>27</v>
      </c>
      <c r="R34" s="64">
        <f t="shared" si="38"/>
        <v>36</v>
      </c>
      <c r="S34" s="64" t="str">
        <f>IFERROR(VLOOKUP(MID(N34,Q34,R34-Q34),[6]skilldef!$C:$D,2,FALSE),"-") &amp; " / " &amp; IFERROR(VLOOKUP(MID(N34,O34,P34-O34),[6]skilldef!$A:$B,2,FALSE),"-")</f>
        <v>赤パネルを / ディスパネル</v>
      </c>
      <c r="T34" s="48" t="str">
        <f t="shared" si="39"/>
        <v>none</v>
      </c>
      <c r="U34" s="64" t="e">
        <f t="shared" si="12"/>
        <v>#VALUE!</v>
      </c>
      <c r="V34" s="64">
        <f t="shared" si="40"/>
        <v>4</v>
      </c>
      <c r="W34" s="64" t="e">
        <f t="shared" si="41"/>
        <v>#VALUE!</v>
      </c>
      <c r="X34" s="64" t="e">
        <f t="shared" si="42"/>
        <v>#VALUE!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50012038</v>
      </c>
      <c r="B35" s="47" t="s">
        <v>437</v>
      </c>
      <c r="C35" s="50">
        <v>3</v>
      </c>
      <c r="D35" s="50" t="s">
        <v>126</v>
      </c>
      <c r="E35" s="51" t="s">
        <v>301</v>
      </c>
      <c r="F35" s="51" t="s">
        <v>385</v>
      </c>
      <c r="G35" s="64" t="str">
        <f t="shared" si="30"/>
        <v>[effect:damage_anti_tribe, target:unit_all, tribe:hero, val1:1, val2:0.25]</v>
      </c>
      <c r="H35" s="64">
        <f t="shared" si="1"/>
        <v>9</v>
      </c>
      <c r="I35" s="64">
        <f t="shared" si="31"/>
        <v>26</v>
      </c>
      <c r="J35" s="64">
        <f t="shared" si="32"/>
        <v>35</v>
      </c>
      <c r="K35" s="64">
        <f t="shared" si="33"/>
        <v>43</v>
      </c>
      <c r="L35" s="64" t="str">
        <f>IFERROR(VLOOKUP(MID(G35,J35,K35-J35),[6]skilldef!$C:$D,2,FALSE),"-") &amp; " / " &amp; IFERROR(VLOOKUP(MID(G35,H35,I35-H35),[6]skilldef!$A:$B,2,FALSE),"-")</f>
        <v>味方全体に / 種族キラー</v>
      </c>
      <c r="M35" s="64" t="str">
        <f t="shared" si="34"/>
        <v xml:space="preserve">[effect:enemy_message, val1:1.3, val2:1.8]    </v>
      </c>
      <c r="N35" s="48" t="str">
        <f t="shared" si="35"/>
        <v xml:space="preserve">[effect:enemy_message, val1:1.3, val2:1.8]    </v>
      </c>
      <c r="O35" s="64">
        <f t="shared" si="7"/>
        <v>9</v>
      </c>
      <c r="P35" s="64">
        <f t="shared" si="36"/>
        <v>22</v>
      </c>
      <c r="Q35" s="64" t="e">
        <f t="shared" si="37"/>
        <v>#VALUE!</v>
      </c>
      <c r="R35" s="64">
        <f t="shared" si="38"/>
        <v>32</v>
      </c>
      <c r="S35" s="64" t="str">
        <f>IFERROR(VLOOKUP(MID(N35,Q35,R35-Q35),[6]skilldef!$C:$D,2,FALSE),"-") &amp; " / " &amp; IFERROR(VLOOKUP(MID(N35,O35,P35-O35),[6]skilldef!$A:$B,2,FALSE),"-")</f>
        <v>- / -</v>
      </c>
      <c r="T35" s="48" t="str">
        <f t="shared" si="39"/>
        <v>none</v>
      </c>
      <c r="U35" s="64" t="e">
        <f t="shared" si="12"/>
        <v>#VALUE!</v>
      </c>
      <c r="V35" s="64">
        <f t="shared" si="40"/>
        <v>4</v>
      </c>
      <c r="W35" s="64" t="e">
        <f t="shared" si="41"/>
        <v>#VALUE!</v>
      </c>
      <c r="X35" s="64" t="e">
        <f t="shared" si="42"/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50012039</v>
      </c>
      <c r="B36" s="47" t="s">
        <v>438</v>
      </c>
      <c r="C36" s="50">
        <v>3</v>
      </c>
      <c r="D36" s="50" t="s">
        <v>126</v>
      </c>
      <c r="E36" s="51" t="s">
        <v>308</v>
      </c>
      <c r="F36" s="51" t="s">
        <v>408</v>
      </c>
      <c r="G36" s="64" t="str">
        <f t="shared" si="30"/>
        <v>[effect:critical, val:1.3]</v>
      </c>
      <c r="H36" s="64">
        <f t="shared" si="1"/>
        <v>9</v>
      </c>
      <c r="I36" s="64">
        <f t="shared" si="31"/>
        <v>17</v>
      </c>
      <c r="J36" s="64" t="e">
        <f t="shared" si="32"/>
        <v>#VALUE!</v>
      </c>
      <c r="K36" s="64" t="e">
        <f t="shared" si="33"/>
        <v>#VALUE!</v>
      </c>
      <c r="L36" s="64" t="str">
        <f>IFERROR(VLOOKUP(MID(G36,J36,K36-J36),[6]skilldef!$C:$D,2,FALSE),"-") &amp; " / " &amp; IFERROR(VLOOKUP(MID(G36,H36,I36-H36),[6]skilldef!$A:$B,2,FALSE),"-")</f>
        <v>- / 大攻撃</v>
      </c>
      <c r="M36" s="64" t="str">
        <f t="shared" si="34"/>
        <v xml:space="preserve">[effect:panel_freeze, target:normal, count:10],[effect:enemy_message, val1:1.3, val2:2.2]    </v>
      </c>
      <c r="N36" s="48" t="str">
        <f t="shared" si="35"/>
        <v xml:space="preserve">[effect:panel_freeze, target:normal, count:10],[effect:enemy_message, val1:1.3, val2:2.2]    </v>
      </c>
      <c r="O36" s="64">
        <f t="shared" si="7"/>
        <v>9</v>
      </c>
      <c r="P36" s="64">
        <f t="shared" si="36"/>
        <v>21</v>
      </c>
      <c r="Q36" s="64">
        <f t="shared" si="37"/>
        <v>30</v>
      </c>
      <c r="R36" s="64">
        <f t="shared" si="38"/>
        <v>36</v>
      </c>
      <c r="S36" s="64" t="str">
        <f>IFERROR(VLOOKUP(MID(N36,Q36,R36-Q36),[6]skilldef!$C:$D,2,FALSE),"-") &amp; " / " &amp; IFERROR(VLOOKUP(MID(N36,O36,P36-O36),[6]skilldef!$A:$B,2,FALSE),"-")</f>
        <v>- / -</v>
      </c>
      <c r="T36" s="48" t="str">
        <f t="shared" si="39"/>
        <v xml:space="preserve">[effect:enemy_message, val1:1.3, val2:2.2]    </v>
      </c>
      <c r="U36" s="64">
        <f t="shared" si="12"/>
        <v>9</v>
      </c>
      <c r="V36" s="64">
        <f t="shared" si="40"/>
        <v>22</v>
      </c>
      <c r="W36" s="64" t="e">
        <f t="shared" si="41"/>
        <v>#VALUE!</v>
      </c>
      <c r="X36" s="64">
        <f t="shared" si="42"/>
        <v>32</v>
      </c>
      <c r="Y36" s="64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50012040</v>
      </c>
      <c r="B37" s="47" t="s">
        <v>300</v>
      </c>
      <c r="C37" s="50">
        <v>3</v>
      </c>
      <c r="D37" s="50" t="s">
        <v>126</v>
      </c>
      <c r="E37" s="51" t="s">
        <v>303</v>
      </c>
      <c r="F37" s="51" t="s">
        <v>386</v>
      </c>
      <c r="G37" s="64" t="str">
        <f t="shared" ref="G37:G50" si="43">IFERROR(LEFT(B37,FIND("],",B37)),B37)</f>
        <v>[effect:spread, val:0.4]</v>
      </c>
      <c r="H37" s="64">
        <f t="shared" si="1"/>
        <v>9</v>
      </c>
      <c r="I37" s="64">
        <f t="shared" ref="I37:I50" si="44">IFERROR(FIND(",",G37),LEN(G37))</f>
        <v>15</v>
      </c>
      <c r="J37" s="64" t="e">
        <f t="shared" ref="J37:J50" si="45">FIND("target:",G37)+7</f>
        <v>#VALUE!</v>
      </c>
      <c r="K37" s="64" t="e">
        <f t="shared" ref="K37:K50" si="46">FIND(",",G37,I37+1)</f>
        <v>#VALUE!</v>
      </c>
      <c r="L37" s="64" t="str">
        <f>IFERROR(VLOOKUP(MID(G37,J37,K37-J37),[6]skilldef!$C:$D,2,FALSE),"-") &amp; " / " &amp; IFERROR(VLOOKUP(MID(G37,H37,I37-H37),[6]skilldef!$A:$B,2,FALSE),"-")</f>
        <v>- / 全体攻撃</v>
      </c>
      <c r="M37" s="64" t="str">
        <f t="shared" ref="M37:M50" si="47">IFERROR(RIGHT(B37,LEN(B37)-FIND("],",B37)-1),"none")</f>
        <v>none</v>
      </c>
      <c r="N37" s="48" t="str">
        <f t="shared" ref="N37:N48" si="48">IFERROR(LEFT(M37,FIND("],",M37)+S47),M37)</f>
        <v>none</v>
      </c>
      <c r="O37" s="64" t="e">
        <f t="shared" si="7"/>
        <v>#VALUE!</v>
      </c>
      <c r="P37" s="64">
        <f t="shared" ref="P37:P50" si="49">IFERROR(FIND(",",N37),LEN(N37))</f>
        <v>4</v>
      </c>
      <c r="Q37" s="64" t="e">
        <f t="shared" ref="Q37:Q50" si="50">FIND("target:",N37)+7</f>
        <v>#VALUE!</v>
      </c>
      <c r="R37" s="64" t="e">
        <f t="shared" ref="R37:R50" si="51">FIND(",",N37,P37+1)</f>
        <v>#VALUE!</v>
      </c>
      <c r="S37" s="64" t="str">
        <f>IFERROR(VLOOKUP(MID(N37,Q37,R37-Q37),[6]skilldef!$C:$D,2,FALSE),"-") &amp; " / " &amp; IFERROR(VLOOKUP(MID(N37,O37,P37-O37),[6]skilldef!$A:$B,2,FALSE),"-")</f>
        <v>- / -</v>
      </c>
      <c r="T37" s="48" t="str">
        <f t="shared" ref="T37:T50" si="52">IFERROR(RIGHT(M37,LEN(M37)-FIND("],",M37)-1),"none")</f>
        <v>none</v>
      </c>
      <c r="U37" s="64" t="e">
        <f t="shared" si="12"/>
        <v>#VALUE!</v>
      </c>
      <c r="V37" s="64">
        <f t="shared" ref="V37:V50" si="53">IFERROR(FIND(",",T37),LEN(T37))</f>
        <v>4</v>
      </c>
      <c r="W37" s="64" t="e">
        <f t="shared" ref="W37:W50" si="54">FIND("target:",T37)+7</f>
        <v>#VALUE!</v>
      </c>
      <c r="X37" s="64" t="e">
        <f t="shared" ref="X37:X50" si="55">FIND(",",T37,V37+1)</f>
        <v>#VALUE!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50012041</v>
      </c>
      <c r="B38" s="47" t="s">
        <v>439</v>
      </c>
      <c r="C38" s="50">
        <v>3</v>
      </c>
      <c r="D38" s="50" t="s">
        <v>126</v>
      </c>
      <c r="E38" s="51" t="s">
        <v>306</v>
      </c>
      <c r="F38" s="51" t="s">
        <v>387</v>
      </c>
      <c r="G38" s="64" t="str">
        <f t="shared" si="43"/>
        <v>[effect:break_attack_fix, target:unit_one, val:600, lowest_val:2000, count:-1, color:red, block01:block_yellow, block02:block_red]</v>
      </c>
      <c r="H38" s="64">
        <f t="shared" si="1"/>
        <v>9</v>
      </c>
      <c r="I38" s="64">
        <f t="shared" si="44"/>
        <v>25</v>
      </c>
      <c r="J38" s="64">
        <f t="shared" si="45"/>
        <v>34</v>
      </c>
      <c r="K38" s="64">
        <f t="shared" si="46"/>
        <v>42</v>
      </c>
      <c r="L38" s="64" t="str">
        <f>IFERROR(VLOOKUP(MID(G38,J38,K38-J38),[6]skilldef!$C:$D,2,FALSE),"-") &amp; " / " &amp; IFERROR(VLOOKUP(MID(G38,H38,I38-H38),[6]skilldef!$A:$B,2,FALSE),"-")</f>
        <v>味方単体に / -</v>
      </c>
      <c r="M38" s="64" t="str">
        <f t="shared" si="47"/>
        <v xml:space="preserve">[effect:enemy_message, val1:1.3, val2:1.8]    </v>
      </c>
      <c r="N38" s="48" t="str">
        <f t="shared" si="48"/>
        <v xml:space="preserve">[effect:enemy_message, val1:1.3, val2:1.8]    </v>
      </c>
      <c r="O38" s="64">
        <f t="shared" si="7"/>
        <v>9</v>
      </c>
      <c r="P38" s="64">
        <f t="shared" si="49"/>
        <v>22</v>
      </c>
      <c r="Q38" s="64" t="e">
        <f t="shared" si="50"/>
        <v>#VALUE!</v>
      </c>
      <c r="R38" s="64">
        <f t="shared" si="51"/>
        <v>32</v>
      </c>
      <c r="S38" s="64" t="str">
        <f>IFERROR(VLOOKUP(MID(N38,Q38,R38-Q38),[6]skilldef!$C:$D,2,FALSE),"-") &amp; " / " &amp; IFERROR(VLOOKUP(MID(N38,O38,P38-O38),[6]skilldef!$A:$B,2,FALSE),"-")</f>
        <v>- / -</v>
      </c>
      <c r="T38" s="48" t="str">
        <f t="shared" si="52"/>
        <v>none</v>
      </c>
      <c r="U38" s="64" t="e">
        <f t="shared" si="12"/>
        <v>#VALUE!</v>
      </c>
      <c r="V38" s="64">
        <f t="shared" si="53"/>
        <v>4</v>
      </c>
      <c r="W38" s="64" t="e">
        <f t="shared" si="54"/>
        <v>#VALUE!</v>
      </c>
      <c r="X38" s="64" t="e">
        <f t="shared" si="55"/>
        <v>#VALUE!</v>
      </c>
      <c r="Y38" s="64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50012042</v>
      </c>
      <c r="B39" s="47" t="s">
        <v>440</v>
      </c>
      <c r="C39" s="50">
        <v>3</v>
      </c>
      <c r="D39" s="50" t="s">
        <v>126</v>
      </c>
      <c r="E39" s="51" t="s">
        <v>305</v>
      </c>
      <c r="F39" s="51" t="s">
        <v>368</v>
      </c>
      <c r="G39" s="64" t="str">
        <f t="shared" si="43"/>
        <v>[effect:virus, target:unit_all, turn:-1, rate:1, val:0.1, animation:enemy_virus]</v>
      </c>
      <c r="H39" s="64">
        <f t="shared" si="1"/>
        <v>9</v>
      </c>
      <c r="I39" s="64">
        <f t="shared" si="44"/>
        <v>14</v>
      </c>
      <c r="J39" s="64">
        <f t="shared" si="45"/>
        <v>23</v>
      </c>
      <c r="K39" s="64">
        <f t="shared" si="46"/>
        <v>31</v>
      </c>
      <c r="L39" s="64" t="str">
        <f>IFERROR(VLOOKUP(MID(G39,J39,K39-J39),[6]skilldef!$C:$D,2,FALSE),"-") &amp; " / " &amp; IFERROR(VLOOKUP(MID(G39,H39,I39-H39),[6]skilldef!$A:$B,2,FALSE),"-")</f>
        <v>味方全体に / ウィルス</v>
      </c>
      <c r="M39" s="64" t="str">
        <f t="shared" si="47"/>
        <v xml:space="preserve">[effect:enemy_message, val1:1.3, val2:1.8]    </v>
      </c>
      <c r="N39" s="48" t="str">
        <f t="shared" si="48"/>
        <v xml:space="preserve">[effect:enemy_message, val1:1.3, val2:1.8]    </v>
      </c>
      <c r="O39" s="64">
        <f t="shared" si="7"/>
        <v>9</v>
      </c>
      <c r="P39" s="64">
        <f t="shared" si="49"/>
        <v>22</v>
      </c>
      <c r="Q39" s="64" t="e">
        <f t="shared" si="50"/>
        <v>#VALUE!</v>
      </c>
      <c r="R39" s="64">
        <f t="shared" si="51"/>
        <v>32</v>
      </c>
      <c r="S39" s="64" t="str">
        <f>IFERROR(VLOOKUP(MID(N39,Q39,R39-Q39),[6]skilldef!$C:$D,2,FALSE),"-") &amp; " / " &amp; IFERROR(VLOOKUP(MID(N39,O39,P39-O39),[6]skilldef!$A:$B,2,FALSE),"-")</f>
        <v>- / -</v>
      </c>
      <c r="T39" s="48" t="str">
        <f t="shared" si="52"/>
        <v>none</v>
      </c>
      <c r="U39" s="64" t="e">
        <f t="shared" si="12"/>
        <v>#VALUE!</v>
      </c>
      <c r="V39" s="64">
        <f t="shared" si="53"/>
        <v>4</v>
      </c>
      <c r="W39" s="64" t="e">
        <f t="shared" si="54"/>
        <v>#VALUE!</v>
      </c>
      <c r="X39" s="64" t="e">
        <f t="shared" si="55"/>
        <v>#VALUE!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50012043</v>
      </c>
      <c r="B40" s="47" t="s">
        <v>262</v>
      </c>
      <c r="C40" s="50">
        <v>3</v>
      </c>
      <c r="D40" s="50" t="s">
        <v>126</v>
      </c>
      <c r="E40" s="51" t="s">
        <v>307</v>
      </c>
      <c r="F40" s="51" t="s">
        <v>388</v>
      </c>
      <c r="G40" s="64" t="str">
        <f t="shared" si="43"/>
        <v>[effect:spread, val:0.15]</v>
      </c>
      <c r="H40" s="64">
        <f t="shared" si="1"/>
        <v>9</v>
      </c>
      <c r="I40" s="64">
        <f t="shared" si="44"/>
        <v>15</v>
      </c>
      <c r="J40" s="64" t="e">
        <f t="shared" si="45"/>
        <v>#VALUE!</v>
      </c>
      <c r="K40" s="64" t="e">
        <f t="shared" si="46"/>
        <v>#VALUE!</v>
      </c>
      <c r="L40" s="64" t="str">
        <f>IFERROR(VLOOKUP(MID(G40,J40,K40-J40),[6]skilldef!$C:$D,2,FALSE),"-") &amp; " / " &amp; IFERROR(VLOOKUP(MID(G40,H40,I40-H40),[6]skilldef!$A:$B,2,FALSE),"-")</f>
        <v>- / 全体攻撃</v>
      </c>
      <c r="M40" s="64" t="str">
        <f t="shared" si="47"/>
        <v>[effect:spread, val:0.15]</v>
      </c>
      <c r="N40" s="48" t="str">
        <f t="shared" si="48"/>
        <v>[effect:spread, val:0.15]</v>
      </c>
      <c r="O40" s="64">
        <f t="shared" si="7"/>
        <v>9</v>
      </c>
      <c r="P40" s="64">
        <f t="shared" si="49"/>
        <v>15</v>
      </c>
      <c r="Q40" s="64" t="e">
        <f t="shared" si="50"/>
        <v>#VALUE!</v>
      </c>
      <c r="R40" s="64" t="e">
        <f t="shared" si="51"/>
        <v>#VALUE!</v>
      </c>
      <c r="S40" s="64" t="str">
        <f>IFERROR(VLOOKUP(MID(N40,Q40,R40-Q40),[6]skilldef!$C:$D,2,FALSE),"-") &amp; " / " &amp; IFERROR(VLOOKUP(MID(N40,O40,P40-O40),[6]skilldef!$A:$B,2,FALSE),"-")</f>
        <v>- / 全体攻撃</v>
      </c>
      <c r="T40" s="48" t="str">
        <f t="shared" si="52"/>
        <v>none</v>
      </c>
      <c r="U40" s="64" t="e">
        <f t="shared" si="12"/>
        <v>#VALUE!</v>
      </c>
      <c r="V40" s="64">
        <f t="shared" si="53"/>
        <v>4</v>
      </c>
      <c r="W40" s="64" t="e">
        <f t="shared" si="54"/>
        <v>#VALUE!</v>
      </c>
      <c r="X40" s="64" t="e">
        <f t="shared" si="55"/>
        <v>#VALUE!</v>
      </c>
      <c r="Y40" s="64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50012044</v>
      </c>
      <c r="B41" s="47" t="s">
        <v>430</v>
      </c>
      <c r="C41" s="50">
        <v>3</v>
      </c>
      <c r="D41" s="50" t="s">
        <v>126</v>
      </c>
      <c r="E41" s="51" t="s">
        <v>309</v>
      </c>
      <c r="F41" s="49" t="s">
        <v>406</v>
      </c>
      <c r="G41" s="64" t="str">
        <f t="shared" si="43"/>
        <v>[effect:damage_gravity, val:0.8, animation:fevergauge_down]</v>
      </c>
      <c r="H41" s="64">
        <f t="shared" si="1"/>
        <v>9</v>
      </c>
      <c r="I41" s="64">
        <f t="shared" si="44"/>
        <v>23</v>
      </c>
      <c r="J41" s="64" t="e">
        <f t="shared" si="45"/>
        <v>#VALUE!</v>
      </c>
      <c r="K41" s="64">
        <f t="shared" si="46"/>
        <v>32</v>
      </c>
      <c r="L41" s="64" t="str">
        <f>IFERROR(VLOOKUP(MID(G41,J41,K41-J41),[6]skilldef!$C:$D,2,FALSE),"-") &amp; " / " &amp; IFERROR(VLOOKUP(MID(G41,H41,I41-H41),[6]skilldef!$A:$B,2,FALSE),"-")</f>
        <v>- / 割合ダメージ</v>
      </c>
      <c r="M41" s="64" t="str">
        <f t="shared" si="47"/>
        <v>[effect:tolerance, target:myself, turn:-1, count:-1, tolerance_effect:all, animation:enemy_tolerance],[effect:fix_speed, target:myself, turn:1]</v>
      </c>
      <c r="N41" s="48" t="str">
        <f t="shared" si="48"/>
        <v>[effect:tolerance, target:myself, turn:-1, count:-1, tolerance_effect:all, animation:enemy_tolerance],[effect:fix_speed, target:myself, turn:1]</v>
      </c>
      <c r="O41" s="64">
        <f t="shared" si="7"/>
        <v>9</v>
      </c>
      <c r="P41" s="64">
        <f t="shared" si="49"/>
        <v>18</v>
      </c>
      <c r="Q41" s="64">
        <f t="shared" si="50"/>
        <v>27</v>
      </c>
      <c r="R41" s="64">
        <f t="shared" si="51"/>
        <v>33</v>
      </c>
      <c r="S41" s="64" t="str">
        <f>IFERROR(VLOOKUP(MID(N41,Q41,R41-Q41),[6]skilldef!$C:$D,2,FALSE),"-") &amp; " / " &amp; IFERROR(VLOOKUP(MID(N41,O41,P41-O41),[6]skilldef!$A:$B,2,FALSE),"-")</f>
        <v>自分自身に / 状態異常耐性</v>
      </c>
      <c r="T41" s="48" t="str">
        <f t="shared" si="52"/>
        <v>[effect:fix_speed, target:myself, turn:1]</v>
      </c>
      <c r="U41" s="64">
        <f t="shared" si="12"/>
        <v>9</v>
      </c>
      <c r="V41" s="64">
        <f t="shared" si="53"/>
        <v>18</v>
      </c>
      <c r="W41" s="64">
        <f t="shared" si="54"/>
        <v>27</v>
      </c>
      <c r="X41" s="64">
        <f t="shared" si="55"/>
        <v>33</v>
      </c>
      <c r="Y41" s="64" t="str">
        <f>IFERROR(VLOOKUP(MID(T41,W41,X41-W41),[6]skilldef!$C:$D,2,FALSE),"-") &amp; " / " &amp; IFERROR(VLOOKUP(MID(T41,U41,V41-U41),[6]skilldef!$A:$B,2,FALSE),"-")</f>
        <v>自分自身に / 行動値設定</v>
      </c>
      <c r="Z41" s="50"/>
      <c r="AA41" s="52"/>
      <c r="AB41" s="50"/>
    </row>
    <row r="42" spans="1:28" ht="21" customHeight="1" x14ac:dyDescent="0.15">
      <c r="A42" s="47">
        <v>50012045</v>
      </c>
      <c r="B42" s="47" t="s">
        <v>441</v>
      </c>
      <c r="C42" s="50">
        <v>3</v>
      </c>
      <c r="D42" s="50" t="s">
        <v>126</v>
      </c>
      <c r="E42" s="51" t="s">
        <v>311</v>
      </c>
      <c r="F42" s="51" t="s">
        <v>414</v>
      </c>
      <c r="G42" s="64" t="str">
        <f t="shared" si="43"/>
        <v>[effect:degrade_unit, target:unit_all, turn:1, status:heal, val:0.5, calc:mul, animation:degrade_unit_all_heal]</v>
      </c>
      <c r="H42" s="64">
        <f t="shared" si="1"/>
        <v>9</v>
      </c>
      <c r="I42" s="64">
        <f t="shared" si="44"/>
        <v>21</v>
      </c>
      <c r="J42" s="64">
        <f t="shared" si="45"/>
        <v>30</v>
      </c>
      <c r="K42" s="64">
        <f t="shared" si="46"/>
        <v>38</v>
      </c>
      <c r="L42" s="64" t="str">
        <f>IFERROR(VLOOKUP(MID(G42,J42,K42-J42),[6]skilldef!$C:$D,2,FALSE),"-") &amp; " / " &amp; IFERROR(VLOOKUP(MID(G42,H42,I42-H42),[6]skilldef!$A:$B,2,FALSE),"-")</f>
        <v>味方全体に / ステータスDOWN</v>
      </c>
      <c r="M42" s="64" t="str">
        <f t="shared" si="47"/>
        <v xml:space="preserve">[effect:critical, val:1],[effect:enemy_message, val1:1.3, val2:1.8]    </v>
      </c>
      <c r="N42" s="48" t="str">
        <f t="shared" si="48"/>
        <v xml:space="preserve">[effect:critical, val:1],[effect:enemy_message, val1:1.3, val2:1.8]    </v>
      </c>
      <c r="O42" s="64">
        <f t="shared" si="7"/>
        <v>9</v>
      </c>
      <c r="P42" s="64">
        <f t="shared" si="49"/>
        <v>17</v>
      </c>
      <c r="Q42" s="64" t="e">
        <f t="shared" si="50"/>
        <v>#VALUE!</v>
      </c>
      <c r="R42" s="64">
        <f t="shared" si="51"/>
        <v>25</v>
      </c>
      <c r="S42" s="64" t="str">
        <f>IFERROR(VLOOKUP(MID(N42,Q42,R42-Q42),[6]skilldef!$C:$D,2,FALSE),"-") &amp; " / " &amp; IFERROR(VLOOKUP(MID(N42,O42,P42-O42),[6]skilldef!$A:$B,2,FALSE),"-")</f>
        <v>- / 大攻撃</v>
      </c>
      <c r="T42" s="48" t="str">
        <f t="shared" si="52"/>
        <v xml:space="preserve">[effect:enemy_message, val1:1.3, val2:1.8]    </v>
      </c>
      <c r="U42" s="64">
        <f t="shared" si="12"/>
        <v>9</v>
      </c>
      <c r="V42" s="64">
        <f t="shared" si="53"/>
        <v>22</v>
      </c>
      <c r="W42" s="64" t="e">
        <f t="shared" si="54"/>
        <v>#VALUE!</v>
      </c>
      <c r="X42" s="64">
        <f t="shared" si="55"/>
        <v>32</v>
      </c>
      <c r="Y42" s="64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50012046</v>
      </c>
      <c r="B43" s="47" t="s">
        <v>314</v>
      </c>
      <c r="C43" s="50">
        <v>3</v>
      </c>
      <c r="D43" s="50" t="s">
        <v>126</v>
      </c>
      <c r="E43" s="51" t="s">
        <v>338</v>
      </c>
      <c r="F43" s="51" t="s">
        <v>389</v>
      </c>
      <c r="G43" s="64" t="str">
        <f t="shared" si="43"/>
        <v>[effect:panel_freeze, target:normal, color:block_blue, count:-1]</v>
      </c>
      <c r="H43" s="64">
        <f t="shared" si="1"/>
        <v>9</v>
      </c>
      <c r="I43" s="64">
        <f t="shared" si="44"/>
        <v>21</v>
      </c>
      <c r="J43" s="64">
        <f t="shared" si="45"/>
        <v>30</v>
      </c>
      <c r="K43" s="64">
        <f t="shared" si="46"/>
        <v>36</v>
      </c>
      <c r="L43" s="64" t="str">
        <f>IFERROR(VLOOKUP(MID(G43,J43,K43-J43),[6]skilldef!$C:$D,2,FALSE),"-") &amp; " / " &amp; IFERROR(VLOOKUP(MID(G43,H43,I43-H43),[6]skilldef!$A:$B,2,FALSE),"-")</f>
        <v>- / -</v>
      </c>
      <c r="M43" s="64" t="str">
        <f t="shared" si="47"/>
        <v>[effect:critical, val:1]</v>
      </c>
      <c r="N43" s="48" t="str">
        <f t="shared" si="48"/>
        <v>[effect:critical, val:1]</v>
      </c>
      <c r="O43" s="64">
        <f t="shared" si="7"/>
        <v>9</v>
      </c>
      <c r="P43" s="64">
        <f t="shared" si="49"/>
        <v>17</v>
      </c>
      <c r="Q43" s="64" t="e">
        <f t="shared" si="50"/>
        <v>#VALUE!</v>
      </c>
      <c r="R43" s="64" t="e">
        <f t="shared" si="51"/>
        <v>#VALUE!</v>
      </c>
      <c r="S43" s="64" t="str">
        <f>IFERROR(VLOOKUP(MID(N43,Q43,R43-Q43),[6]skilldef!$C:$D,2,FALSE),"-") &amp; " / " &amp; IFERROR(VLOOKUP(MID(N43,O43,P43-O43),[6]skilldef!$A:$B,2,FALSE),"-")</f>
        <v>- / 大攻撃</v>
      </c>
      <c r="T43" s="48" t="str">
        <f t="shared" si="52"/>
        <v>none</v>
      </c>
      <c r="U43" s="64" t="e">
        <f t="shared" si="12"/>
        <v>#VALUE!</v>
      </c>
      <c r="V43" s="64">
        <f t="shared" si="53"/>
        <v>4</v>
      </c>
      <c r="W43" s="64" t="e">
        <f t="shared" si="54"/>
        <v>#VALUE!</v>
      </c>
      <c r="X43" s="64" t="e">
        <f t="shared" si="55"/>
        <v>#VALUE!</v>
      </c>
      <c r="Y43" s="64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50012047</v>
      </c>
      <c r="B44" s="47" t="s">
        <v>315</v>
      </c>
      <c r="C44" s="50">
        <v>3</v>
      </c>
      <c r="D44" s="50" t="s">
        <v>126</v>
      </c>
      <c r="E44" s="51" t="s">
        <v>339</v>
      </c>
      <c r="F44" s="51" t="s">
        <v>415</v>
      </c>
      <c r="G44" s="64" t="str">
        <f t="shared" si="43"/>
        <v>[effect:degrade_unit, target:unit_all, turn:1, status:heal, val:0.5, calc:mul, animation:degrade_unit_all_heal]</v>
      </c>
      <c r="H44" s="64">
        <f t="shared" si="1"/>
        <v>9</v>
      </c>
      <c r="I44" s="64">
        <f t="shared" si="44"/>
        <v>21</v>
      </c>
      <c r="J44" s="64">
        <f t="shared" si="45"/>
        <v>30</v>
      </c>
      <c r="K44" s="64">
        <f t="shared" si="46"/>
        <v>38</v>
      </c>
      <c r="L44" s="64" t="str">
        <f>IFERROR(VLOOKUP(MID(G44,J44,K44-J44),[6]skilldef!$C:$D,2,FALSE),"-") &amp; " / " &amp; IFERROR(VLOOKUP(MID(G44,H44,I44-H44),[6]skilldef!$A:$B,2,FALSE),"-")</f>
        <v>味方全体に / ステータスDOWN</v>
      </c>
      <c r="M44" s="64" t="str">
        <f t="shared" si="47"/>
        <v>[effect:critical, val:1]</v>
      </c>
      <c r="N44" s="48" t="str">
        <f t="shared" si="48"/>
        <v>[effect:critical, val:1]</v>
      </c>
      <c r="O44" s="64">
        <f t="shared" si="7"/>
        <v>9</v>
      </c>
      <c r="P44" s="64">
        <f t="shared" si="49"/>
        <v>17</v>
      </c>
      <c r="Q44" s="64" t="e">
        <f t="shared" si="50"/>
        <v>#VALUE!</v>
      </c>
      <c r="R44" s="64" t="e">
        <f t="shared" si="51"/>
        <v>#VALUE!</v>
      </c>
      <c r="S44" s="64" t="str">
        <f>IFERROR(VLOOKUP(MID(N44,Q44,R44-Q44),[6]skilldef!$C:$D,2,FALSE),"-") &amp; " / " &amp; IFERROR(VLOOKUP(MID(N44,O44,P44-O44),[6]skilldef!$A:$B,2,FALSE),"-")</f>
        <v>- / 大攻撃</v>
      </c>
      <c r="T44" s="48" t="str">
        <f t="shared" si="52"/>
        <v>none</v>
      </c>
      <c r="U44" s="64" t="e">
        <f t="shared" si="12"/>
        <v>#VALUE!</v>
      </c>
      <c r="V44" s="64">
        <f t="shared" si="53"/>
        <v>4</v>
      </c>
      <c r="W44" s="64" t="e">
        <f t="shared" si="54"/>
        <v>#VALUE!</v>
      </c>
      <c r="X44" s="64" t="e">
        <f t="shared" si="55"/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50012048</v>
      </c>
      <c r="B45" s="47" t="s">
        <v>321</v>
      </c>
      <c r="C45" s="50">
        <v>3</v>
      </c>
      <c r="D45" s="50" t="s">
        <v>126</v>
      </c>
      <c r="E45" s="51" t="s">
        <v>354</v>
      </c>
      <c r="F45" s="51" t="s">
        <v>389</v>
      </c>
      <c r="G45" s="64" t="str">
        <f t="shared" si="43"/>
        <v>[effect:panel_freeze, target:normal, color:block_blue, count:-1]</v>
      </c>
      <c r="H45" s="64">
        <f t="shared" si="1"/>
        <v>9</v>
      </c>
      <c r="I45" s="64">
        <f t="shared" si="44"/>
        <v>21</v>
      </c>
      <c r="J45" s="64">
        <f t="shared" si="45"/>
        <v>30</v>
      </c>
      <c r="K45" s="64">
        <f t="shared" si="46"/>
        <v>36</v>
      </c>
      <c r="L45" s="64" t="str">
        <f>IFERROR(VLOOKUP(MID(G45,J45,K45-J45),[6]skilldef!$C:$D,2,FALSE),"-") &amp; " / " &amp; IFERROR(VLOOKUP(MID(G45,H45,I45-H45),[6]skilldef!$A:$B,2,FALSE),"-")</f>
        <v>- / -</v>
      </c>
      <c r="M45" s="64" t="str">
        <f t="shared" si="47"/>
        <v>[effect:critical, val:1]</v>
      </c>
      <c r="N45" s="48" t="str">
        <f t="shared" si="48"/>
        <v>[effect:critical, val:1]</v>
      </c>
      <c r="O45" s="64">
        <f t="shared" si="7"/>
        <v>9</v>
      </c>
      <c r="P45" s="64">
        <f t="shared" si="49"/>
        <v>17</v>
      </c>
      <c r="Q45" s="64" t="e">
        <f t="shared" si="50"/>
        <v>#VALUE!</v>
      </c>
      <c r="R45" s="64" t="e">
        <f t="shared" si="51"/>
        <v>#VALUE!</v>
      </c>
      <c r="S45" s="64" t="str">
        <f>IFERROR(VLOOKUP(MID(N45,Q45,R45-Q45),[6]skilldef!$C:$D,2,FALSE),"-") &amp; " / " &amp; IFERROR(VLOOKUP(MID(N45,O45,P45-O45),[6]skilldef!$A:$B,2,FALSE),"-")</f>
        <v>- / 大攻撃</v>
      </c>
      <c r="T45" s="48" t="str">
        <f t="shared" si="52"/>
        <v>none</v>
      </c>
      <c r="U45" s="64" t="e">
        <f t="shared" si="12"/>
        <v>#VALUE!</v>
      </c>
      <c r="V45" s="64">
        <f t="shared" si="53"/>
        <v>4</v>
      </c>
      <c r="W45" s="64" t="e">
        <f t="shared" si="54"/>
        <v>#VALUE!</v>
      </c>
      <c r="X45" s="64" t="e">
        <f t="shared" si="55"/>
        <v>#VALUE!</v>
      </c>
      <c r="Y45" s="64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50012049</v>
      </c>
      <c r="B46" s="47" t="s">
        <v>442</v>
      </c>
      <c r="C46" s="50">
        <v>3</v>
      </c>
      <c r="D46" s="50" t="s">
        <v>126</v>
      </c>
      <c r="E46" s="51" t="s">
        <v>353</v>
      </c>
      <c r="F46" s="51" t="s">
        <v>390</v>
      </c>
      <c r="G46" s="64" t="str">
        <f t="shared" si="43"/>
        <v>[effect:degrade_unit, target:unit_all, turn:3, status:action, val:2, calc:add, animation:enemy_tap_down]</v>
      </c>
      <c r="H46" s="64">
        <f t="shared" si="1"/>
        <v>9</v>
      </c>
      <c r="I46" s="64">
        <f t="shared" si="44"/>
        <v>21</v>
      </c>
      <c r="J46" s="64">
        <f t="shared" si="45"/>
        <v>30</v>
      </c>
      <c r="K46" s="64">
        <f t="shared" si="46"/>
        <v>38</v>
      </c>
      <c r="L46" s="64" t="str">
        <f>IFERROR(VLOOKUP(MID(G46,J46,K46-J46),[6]skilldef!$C:$D,2,FALSE),"-") &amp; " / " &amp; IFERROR(VLOOKUP(MID(G46,H46,I46-H46),[6]skilldef!$A:$B,2,FALSE),"-")</f>
        <v>味方全体に / ステータスDOWN</v>
      </c>
      <c r="M46" s="64" t="str">
        <f t="shared" si="47"/>
        <v xml:space="preserve">[effect:enemy_message, val1:1, val2:2.3]    </v>
      </c>
      <c r="N46" s="48" t="str">
        <f t="shared" si="48"/>
        <v xml:space="preserve">[effect:enemy_message, val1:1, val2:2.3]    </v>
      </c>
      <c r="O46" s="64">
        <f t="shared" si="7"/>
        <v>9</v>
      </c>
      <c r="P46" s="64">
        <f t="shared" si="49"/>
        <v>22</v>
      </c>
      <c r="Q46" s="64" t="e">
        <f t="shared" si="50"/>
        <v>#VALUE!</v>
      </c>
      <c r="R46" s="64">
        <f t="shared" si="51"/>
        <v>30</v>
      </c>
      <c r="S46" s="64" t="str">
        <f>IFERROR(VLOOKUP(MID(N46,Q46,R46-Q46),[6]skilldef!$C:$D,2,FALSE),"-") &amp; " / " &amp; IFERROR(VLOOKUP(MID(N46,O46,P46-O46),[6]skilldef!$A:$B,2,FALSE),"-")</f>
        <v>- / -</v>
      </c>
      <c r="T46" s="48" t="str">
        <f t="shared" si="52"/>
        <v>none</v>
      </c>
      <c r="U46" s="64" t="e">
        <f t="shared" si="12"/>
        <v>#VALUE!</v>
      </c>
      <c r="V46" s="64">
        <f t="shared" si="53"/>
        <v>4</v>
      </c>
      <c r="W46" s="64" t="e">
        <f t="shared" si="54"/>
        <v>#VALUE!</v>
      </c>
      <c r="X46" s="64" t="e">
        <f t="shared" si="55"/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50012050</v>
      </c>
      <c r="B47" s="47" t="s">
        <v>318</v>
      </c>
      <c r="C47" s="50">
        <v>3</v>
      </c>
      <c r="D47" s="50" t="s">
        <v>126</v>
      </c>
      <c r="E47" s="51" t="s">
        <v>351</v>
      </c>
      <c r="F47" s="51" t="s">
        <v>388</v>
      </c>
      <c r="G47" s="64" t="str">
        <f t="shared" si="43"/>
        <v>[effect:spread, val:0.3]</v>
      </c>
      <c r="H47" s="64">
        <f t="shared" si="1"/>
        <v>9</v>
      </c>
      <c r="I47" s="64">
        <f t="shared" si="44"/>
        <v>15</v>
      </c>
      <c r="J47" s="64" t="e">
        <f t="shared" si="45"/>
        <v>#VALUE!</v>
      </c>
      <c r="K47" s="64" t="e">
        <f t="shared" si="46"/>
        <v>#VALUE!</v>
      </c>
      <c r="L47" s="64" t="str">
        <f>IFERROR(VLOOKUP(MID(G47,J47,K47-J47),[6]skilldef!$C:$D,2,FALSE),"-") &amp; " / " &amp; IFERROR(VLOOKUP(MID(G47,H47,I47-H47),[6]skilldef!$A:$B,2,FALSE),"-")</f>
        <v>- / 全体攻撃</v>
      </c>
      <c r="M47" s="64" t="str">
        <f t="shared" si="47"/>
        <v>[effect:spread, val:0.3]</v>
      </c>
      <c r="N47" s="48" t="str">
        <f t="shared" si="48"/>
        <v>[effect:spread, val:0.3]</v>
      </c>
      <c r="O47" s="64">
        <f t="shared" si="7"/>
        <v>9</v>
      </c>
      <c r="P47" s="64">
        <f t="shared" si="49"/>
        <v>15</v>
      </c>
      <c r="Q47" s="64" t="e">
        <f t="shared" si="50"/>
        <v>#VALUE!</v>
      </c>
      <c r="R47" s="64" t="e">
        <f t="shared" si="51"/>
        <v>#VALUE!</v>
      </c>
      <c r="S47" s="64" t="str">
        <f>IFERROR(VLOOKUP(MID(N47,Q47,R47-Q47),[6]skilldef!$C:$D,2,FALSE),"-") &amp; " / " &amp; IFERROR(VLOOKUP(MID(N47,O47,P47-O47),[6]skilldef!$A:$B,2,FALSE),"-")</f>
        <v>- / 全体攻撃</v>
      </c>
      <c r="T47" s="48" t="str">
        <f t="shared" si="52"/>
        <v>none</v>
      </c>
      <c r="U47" s="64" t="e">
        <f t="shared" si="12"/>
        <v>#VALUE!</v>
      </c>
      <c r="V47" s="64">
        <f t="shared" si="53"/>
        <v>4</v>
      </c>
      <c r="W47" s="64" t="e">
        <f t="shared" si="54"/>
        <v>#VALUE!</v>
      </c>
      <c r="X47" s="64" t="e">
        <f t="shared" si="55"/>
        <v>#VALUE!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50012051</v>
      </c>
      <c r="B48" s="47" t="s">
        <v>316</v>
      </c>
      <c r="C48" s="50">
        <v>3</v>
      </c>
      <c r="D48" s="50" t="s">
        <v>126</v>
      </c>
      <c r="E48" s="51" t="s">
        <v>355</v>
      </c>
      <c r="F48" s="51" t="s">
        <v>398</v>
      </c>
      <c r="G48" s="64" t="str">
        <f t="shared" si="43"/>
        <v>[effect:rush, count:15, val:0.1]</v>
      </c>
      <c r="H48" s="64">
        <f t="shared" si="1"/>
        <v>9</v>
      </c>
      <c r="I48" s="64">
        <f t="shared" si="44"/>
        <v>13</v>
      </c>
      <c r="J48" s="64" t="e">
        <f t="shared" si="45"/>
        <v>#VALUE!</v>
      </c>
      <c r="K48" s="64">
        <f t="shared" si="46"/>
        <v>23</v>
      </c>
      <c r="L48" s="64" t="str">
        <f>IFERROR(VLOOKUP(MID(G48,J48,K48-J48),[6]skilldef!$C:$D,2,FALSE),"-") &amp; " / " &amp; IFERROR(VLOOKUP(MID(G48,H48,I48-H48),[6]skilldef!$A:$B,2,FALSE),"-")</f>
        <v>- / 連続攻撃</v>
      </c>
      <c r="M48" s="64" t="str">
        <f t="shared" si="47"/>
        <v>none</v>
      </c>
      <c r="N48" s="48" t="str">
        <f t="shared" si="48"/>
        <v>none</v>
      </c>
      <c r="O48" s="64" t="e">
        <f t="shared" si="7"/>
        <v>#VALUE!</v>
      </c>
      <c r="P48" s="64">
        <f t="shared" si="49"/>
        <v>4</v>
      </c>
      <c r="Q48" s="64" t="e">
        <f t="shared" si="50"/>
        <v>#VALUE!</v>
      </c>
      <c r="R48" s="64" t="e">
        <f t="shared" si="51"/>
        <v>#VALUE!</v>
      </c>
      <c r="S48" s="64" t="str">
        <f>IFERROR(VLOOKUP(MID(N48,Q48,R48-Q48),[6]skilldef!$C:$D,2,FALSE),"-") &amp; " / " &amp; IFERROR(VLOOKUP(MID(N48,O48,P48-O48),[6]skilldef!$A:$B,2,FALSE),"-")</f>
        <v>- / -</v>
      </c>
      <c r="T48" s="48" t="str">
        <f t="shared" si="52"/>
        <v>none</v>
      </c>
      <c r="U48" s="64" t="e">
        <f t="shared" si="12"/>
        <v>#VALUE!</v>
      </c>
      <c r="V48" s="64">
        <f t="shared" si="53"/>
        <v>4</v>
      </c>
      <c r="W48" s="64" t="e">
        <f t="shared" si="54"/>
        <v>#VALUE!</v>
      </c>
      <c r="X48" s="64" t="e">
        <f t="shared" si="55"/>
        <v>#VALUE!</v>
      </c>
      <c r="Y48" s="64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50012052</v>
      </c>
      <c r="B49" s="47" t="s">
        <v>456</v>
      </c>
      <c r="C49" s="50">
        <v>3</v>
      </c>
      <c r="D49" s="50" t="s">
        <v>126</v>
      </c>
      <c r="E49" s="51" t="s">
        <v>352</v>
      </c>
      <c r="F49" s="51" t="s">
        <v>453</v>
      </c>
      <c r="G49" s="64" t="str">
        <f t="shared" si="43"/>
        <v>[effect:degrade_unit, target:unit_all, turn:2, status:attack, val:0.5, calc:mul]</v>
      </c>
      <c r="H49" s="64">
        <f t="shared" si="1"/>
        <v>9</v>
      </c>
      <c r="I49" s="64">
        <f t="shared" si="44"/>
        <v>21</v>
      </c>
      <c r="J49" s="64">
        <f t="shared" si="45"/>
        <v>30</v>
      </c>
      <c r="K49" s="64">
        <f t="shared" si="46"/>
        <v>38</v>
      </c>
      <c r="L49" s="64" t="str">
        <f>IFERROR(VLOOKUP(MID(G49,J49,K49-J49),[6]skilldef!$C:$D,2,FALSE),"-") &amp; " / " &amp; IFERROR(VLOOKUP(MID(G49,H49,I49-H49),[6]skilldef!$A:$B,2,FALSE),"-")</f>
        <v>味方全体に / ステータスDOWN</v>
      </c>
      <c r="M49" s="64" t="str">
        <f t="shared" si="47"/>
        <v xml:space="preserve">[effect:damage_gravity, val:0.5, animation:fevergauge_down],[effect:enemy_message, val1:1, val2:2.3]    </v>
      </c>
      <c r="N49" s="48" t="str">
        <f>IFERROR(LEFT(M49,FIND("],",M49)+S65),M49)</f>
        <v xml:space="preserve">[effect:damage_gravity, val:0.5, animation:fevergauge_down],[effect:enemy_message, val1:1, val2:2.3]    </v>
      </c>
      <c r="O49" s="64">
        <f t="shared" si="7"/>
        <v>9</v>
      </c>
      <c r="P49" s="64">
        <f t="shared" si="49"/>
        <v>23</v>
      </c>
      <c r="Q49" s="64" t="e">
        <f t="shared" si="50"/>
        <v>#VALUE!</v>
      </c>
      <c r="R49" s="64">
        <f t="shared" si="51"/>
        <v>32</v>
      </c>
      <c r="S49" s="64" t="str">
        <f>IFERROR(VLOOKUP(MID(N49,Q49,R49-Q49),[6]skilldef!$C:$D,2,FALSE),"-") &amp; " / " &amp; IFERROR(VLOOKUP(MID(N49,O49,P49-O49),[6]skilldef!$A:$B,2,FALSE),"-")</f>
        <v>- / 割合ダメージ</v>
      </c>
      <c r="T49" s="48" t="str">
        <f t="shared" si="52"/>
        <v xml:space="preserve">[effect:enemy_message, val1:1, val2:2.3]    </v>
      </c>
      <c r="U49" s="64">
        <f t="shared" si="12"/>
        <v>9</v>
      </c>
      <c r="V49" s="64">
        <f t="shared" si="53"/>
        <v>22</v>
      </c>
      <c r="W49" s="64" t="e">
        <f t="shared" si="54"/>
        <v>#VALUE!</v>
      </c>
      <c r="X49" s="64">
        <f t="shared" si="55"/>
        <v>30</v>
      </c>
      <c r="Y49" s="64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50012053</v>
      </c>
      <c r="B50" s="47" t="s">
        <v>443</v>
      </c>
      <c r="C50" s="50">
        <v>3</v>
      </c>
      <c r="D50" s="50" t="s">
        <v>126</v>
      </c>
      <c r="E50" s="51" t="s">
        <v>337</v>
      </c>
      <c r="F50" s="51" t="s">
        <v>407</v>
      </c>
      <c r="G50" s="64" t="str">
        <f t="shared" si="43"/>
        <v>[effect:drop_freeze, turn:-1, block_type:normal, rate:0.3, animation:drop_protect]</v>
      </c>
      <c r="H50" s="64">
        <f t="shared" si="1"/>
        <v>9</v>
      </c>
      <c r="I50" s="64">
        <f t="shared" si="44"/>
        <v>20</v>
      </c>
      <c r="J50" s="64" t="e">
        <f t="shared" si="45"/>
        <v>#VALUE!</v>
      </c>
      <c r="K50" s="64">
        <f t="shared" si="46"/>
        <v>29</v>
      </c>
      <c r="L50" s="64" t="str">
        <f>IFERROR(VLOOKUP(MID(G50,J50,K50-J50),[6]skilldef!$C:$D,2,FALSE),"-") &amp; " / " &amp; IFERROR(VLOOKUP(MID(G50,H50,I50-H50),[6]skilldef!$A:$B,2,FALSE),"-")</f>
        <v>- / -</v>
      </c>
      <c r="M50" s="64" t="str">
        <f t="shared" si="47"/>
        <v xml:space="preserve">[effect:tolerance, target:myself, turn:-1, count:-1, tolerance_effect:all, animation:enemy_tolerance],[effect:fix_speed, target:myself, turn:1],[effect:enemy_message, val1:1.4, val2:2.2]    </v>
      </c>
      <c r="N50" s="48" t="str">
        <f>IFERROR(LEFT(M50,FIND("],",M50)+S66),M50)</f>
        <v xml:space="preserve">[effect:tolerance, target:myself, turn:-1, count:-1, tolerance_effect:all, animation:enemy_tolerance],[effect:fix_speed, target:myself, turn:1],[effect:enemy_message, val1:1.4, val2:2.2]    </v>
      </c>
      <c r="O50" s="64">
        <f t="shared" si="7"/>
        <v>9</v>
      </c>
      <c r="P50" s="64">
        <f t="shared" si="49"/>
        <v>18</v>
      </c>
      <c r="Q50" s="64">
        <f t="shared" si="50"/>
        <v>27</v>
      </c>
      <c r="R50" s="64">
        <f t="shared" si="51"/>
        <v>33</v>
      </c>
      <c r="S50" s="64" t="str">
        <f>IFERROR(VLOOKUP(MID(N50,Q50,R50-Q50),[6]skilldef!$C:$D,2,FALSE),"-") &amp; " / " &amp; IFERROR(VLOOKUP(MID(N50,O50,P50-O50),[6]skilldef!$A:$B,2,FALSE),"-")</f>
        <v>自分自身に / 状態異常耐性</v>
      </c>
      <c r="T50" s="48" t="str">
        <f t="shared" si="52"/>
        <v xml:space="preserve">[effect:fix_speed, target:myself, turn:1],[effect:enemy_message, val1:1.4, val2:2.2]    </v>
      </c>
      <c r="U50" s="64">
        <f t="shared" si="12"/>
        <v>9</v>
      </c>
      <c r="V50" s="64">
        <f t="shared" si="53"/>
        <v>18</v>
      </c>
      <c r="W50" s="64">
        <f t="shared" si="54"/>
        <v>27</v>
      </c>
      <c r="X50" s="64">
        <f t="shared" si="55"/>
        <v>33</v>
      </c>
      <c r="Y50" s="64" t="str">
        <f>IFERROR(VLOOKUP(MID(T50,W50,X50-W50),[6]skilldef!$C:$D,2,FALSE),"-") &amp; " / " &amp; IFERROR(VLOOKUP(MID(T50,U50,V50-U50),[6]skilldef!$A:$B,2,FALSE),"-")</f>
        <v>自分自身に / 行動値設定</v>
      </c>
      <c r="Z50" s="50"/>
      <c r="AA50" s="52"/>
      <c r="AB50" s="50"/>
    </row>
    <row r="51" spans="1:28" ht="21" customHeight="1" x14ac:dyDescent="0.15">
      <c r="A51" s="47">
        <v>50012054</v>
      </c>
      <c r="B51" s="47" t="s">
        <v>458</v>
      </c>
      <c r="C51" s="50">
        <v>3</v>
      </c>
      <c r="D51" s="50" t="s">
        <v>126</v>
      </c>
      <c r="E51" s="51" t="s">
        <v>356</v>
      </c>
      <c r="F51" s="51" t="s">
        <v>457</v>
      </c>
      <c r="G51" s="64" t="str">
        <f t="shared" ref="G51:G56" si="56">IFERROR(LEFT(B51,FIND("],",B51)),B51)</f>
        <v>[effect:critical, val:1.5]</v>
      </c>
      <c r="H51" s="64">
        <f t="shared" si="1"/>
        <v>9</v>
      </c>
      <c r="I51" s="64">
        <f t="shared" ref="I51:I56" si="57">IFERROR(FIND(",",G51),LEN(G51))</f>
        <v>17</v>
      </c>
      <c r="J51" s="64" t="e">
        <f t="shared" ref="J51:J56" si="58">FIND("target:",G51)+7</f>
        <v>#VALUE!</v>
      </c>
      <c r="K51" s="64" t="e">
        <f t="shared" ref="K51:K56" si="59">FIND(",",G51,I51+1)</f>
        <v>#VALUE!</v>
      </c>
      <c r="L51" s="64" t="str">
        <f>IFERROR(VLOOKUP(MID(G51,J51,K51-J51),[6]skilldef!$C:$D,2,FALSE),"-") &amp; " / " &amp; IFERROR(VLOOKUP(MID(G51,H51,I51-H51),[6]skilldef!$A:$B,2,FALSE),"-")</f>
        <v>- / 大攻撃</v>
      </c>
      <c r="M51" s="64" t="str">
        <f t="shared" ref="M51:M56" si="60">IFERROR(RIGHT(B51,LEN(B51)-FIND("],",B51)-1),"none")</f>
        <v xml:space="preserve">[effect:enemy_message, val1:1.4, val2:1.8]    </v>
      </c>
      <c r="N51" s="48" t="str">
        <f>IFERROR(LEFT(M51,FIND("],",M51)+S67),M51)</f>
        <v xml:space="preserve">[effect:enemy_message, val1:1.4, val2:1.8]    </v>
      </c>
      <c r="O51" s="64">
        <f t="shared" si="7"/>
        <v>9</v>
      </c>
      <c r="P51" s="64">
        <f t="shared" ref="P51:P56" si="61">IFERROR(FIND(",",N51),LEN(N51))</f>
        <v>22</v>
      </c>
      <c r="Q51" s="64" t="e">
        <f t="shared" ref="Q51:Q56" si="62">FIND("target:",N51)+7</f>
        <v>#VALUE!</v>
      </c>
      <c r="R51" s="64">
        <f t="shared" ref="R51:R56" si="63">FIND(",",N51,P51+1)</f>
        <v>32</v>
      </c>
      <c r="S51" s="64" t="str">
        <f>IFERROR(VLOOKUP(MID(N51,Q51,R51-Q51),[6]skilldef!$C:$D,2,FALSE),"-") &amp; " / " &amp; IFERROR(VLOOKUP(MID(N51,O51,P51-O51),[6]skilldef!$A:$B,2,FALSE),"-")</f>
        <v>- / -</v>
      </c>
      <c r="T51" s="48" t="str">
        <f t="shared" ref="T51:T56" si="64">IFERROR(RIGHT(M51,LEN(M51)-FIND("],",M51)-1),"none")</f>
        <v>none</v>
      </c>
      <c r="U51" s="64" t="e">
        <f t="shared" si="12"/>
        <v>#VALUE!</v>
      </c>
      <c r="V51" s="64">
        <f t="shared" ref="V51:V56" si="65">IFERROR(FIND(",",T51),LEN(T51))</f>
        <v>4</v>
      </c>
      <c r="W51" s="64" t="e">
        <f t="shared" ref="W51:W56" si="66">FIND("target:",T51)+7</f>
        <v>#VALUE!</v>
      </c>
      <c r="X51" s="64" t="e">
        <f t="shared" ref="X51:X56" si="67">FIND(",",T51,V51+1)</f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50012055</v>
      </c>
      <c r="B52" s="47" t="s">
        <v>461</v>
      </c>
      <c r="C52" s="50">
        <v>3</v>
      </c>
      <c r="D52" s="50" t="s">
        <v>126</v>
      </c>
      <c r="E52" s="51" t="s">
        <v>357</v>
      </c>
      <c r="F52" s="51" t="s">
        <v>464</v>
      </c>
      <c r="G52" s="64" t="str">
        <f t="shared" si="56"/>
        <v>[effect:damage_gravity, val:0.5, animation:fevergauge_down]</v>
      </c>
      <c r="H52" s="64">
        <f t="shared" si="1"/>
        <v>9</v>
      </c>
      <c r="I52" s="64">
        <f t="shared" si="57"/>
        <v>23</v>
      </c>
      <c r="J52" s="64" t="e">
        <f t="shared" si="58"/>
        <v>#VALUE!</v>
      </c>
      <c r="K52" s="64">
        <f t="shared" si="59"/>
        <v>32</v>
      </c>
      <c r="L52" s="64" t="str">
        <f>IFERROR(VLOOKUP(MID(G52,J52,K52-J52),[6]skilldef!$C:$D,2,FALSE),"-") &amp; " / " &amp; IFERROR(VLOOKUP(MID(G52,H52,I52-H52),[6]skilldef!$A:$B,2,FALSE),"-")</f>
        <v>- / 割合ダメージ</v>
      </c>
      <c r="M52" s="64" t="str">
        <f t="shared" si="60"/>
        <v xml:space="preserve">[effect:enemy_message, val1:1.3, val2:2.8]    </v>
      </c>
      <c r="N52" s="48" t="str">
        <f>IFERROR(LEFT(M52,FIND("],",M52)+S59),M52)</f>
        <v xml:space="preserve">[effect:enemy_message, val1:1.3, val2:2.8]    </v>
      </c>
      <c r="O52" s="64">
        <f t="shared" si="7"/>
        <v>9</v>
      </c>
      <c r="P52" s="64">
        <f t="shared" si="61"/>
        <v>22</v>
      </c>
      <c r="Q52" s="64" t="e">
        <f t="shared" si="62"/>
        <v>#VALUE!</v>
      </c>
      <c r="R52" s="64">
        <f t="shared" si="63"/>
        <v>32</v>
      </c>
      <c r="S52" s="64" t="str">
        <f>IFERROR(VLOOKUP(MID(N52,Q52,R52-Q52),[6]skilldef!$C:$D,2,FALSE),"-") &amp; " / " &amp; IFERROR(VLOOKUP(MID(N52,O52,P52-O52),[6]skilldef!$A:$B,2,FALSE),"-")</f>
        <v>- / -</v>
      </c>
      <c r="T52" s="48" t="str">
        <f t="shared" si="64"/>
        <v>none</v>
      </c>
      <c r="U52" s="64" t="e">
        <f t="shared" si="12"/>
        <v>#VALUE!</v>
      </c>
      <c r="V52" s="64">
        <f t="shared" si="65"/>
        <v>4</v>
      </c>
      <c r="W52" s="64" t="e">
        <f t="shared" si="66"/>
        <v>#VALUE!</v>
      </c>
      <c r="X52" s="64" t="e">
        <f t="shared" si="67"/>
        <v>#VALUE!</v>
      </c>
      <c r="Y52" s="64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50012056</v>
      </c>
      <c r="B53" s="47" t="s">
        <v>462</v>
      </c>
      <c r="C53" s="50">
        <v>3</v>
      </c>
      <c r="D53" s="50" t="s">
        <v>126</v>
      </c>
      <c r="E53" s="51" t="s">
        <v>358</v>
      </c>
      <c r="F53" s="51" t="s">
        <v>463</v>
      </c>
      <c r="G53" s="64" t="str">
        <f t="shared" si="56"/>
        <v>[effect:break_attack_fix, target:unit_all, val:225, lowest_val:2000, count:-1, color:red, block01:block_all, ignore01:block_blue, ignore02:crash, ignore03:crack_bomb]</v>
      </c>
      <c r="H53" s="64">
        <f t="shared" si="1"/>
        <v>9</v>
      </c>
      <c r="I53" s="64">
        <f t="shared" si="57"/>
        <v>25</v>
      </c>
      <c r="J53" s="64">
        <f t="shared" si="58"/>
        <v>34</v>
      </c>
      <c r="K53" s="64">
        <f t="shared" si="59"/>
        <v>42</v>
      </c>
      <c r="L53" s="64" t="str">
        <f>IFERROR(VLOOKUP(MID(G53,J53,K53-J53),[6]skilldef!$C:$D,2,FALSE),"-") &amp; " / " &amp; IFERROR(VLOOKUP(MID(G53,H53,I53-H53),[6]skilldef!$A:$B,2,FALSE),"-")</f>
        <v>味方全体に / -</v>
      </c>
      <c r="M53" s="64" t="str">
        <f t="shared" si="60"/>
        <v xml:space="preserve">[effect:enemy_message, val1:1, val2:2.3]    </v>
      </c>
      <c r="N53" s="48" t="str">
        <f>IFERROR(LEFT(M53,FIND("],",M53)+#REF!),M53)</f>
        <v xml:space="preserve">[effect:enemy_message, val1:1, val2:2.3]    </v>
      </c>
      <c r="O53" s="64">
        <f t="shared" si="7"/>
        <v>9</v>
      </c>
      <c r="P53" s="64">
        <f t="shared" si="61"/>
        <v>22</v>
      </c>
      <c r="Q53" s="64" t="e">
        <f t="shared" si="62"/>
        <v>#VALUE!</v>
      </c>
      <c r="R53" s="64">
        <f t="shared" si="63"/>
        <v>30</v>
      </c>
      <c r="S53" s="64" t="str">
        <f>IFERROR(VLOOKUP(MID(N53,Q53,R53-Q53),[6]skilldef!$C:$D,2,FALSE),"-") &amp; " / " &amp; IFERROR(VLOOKUP(MID(N53,O53,P53-O53),[6]skilldef!$A:$B,2,FALSE),"-")</f>
        <v>- / -</v>
      </c>
      <c r="T53" s="48" t="str">
        <f t="shared" si="64"/>
        <v>none</v>
      </c>
      <c r="U53" s="64" t="e">
        <f t="shared" si="12"/>
        <v>#VALUE!</v>
      </c>
      <c r="V53" s="64">
        <f t="shared" si="65"/>
        <v>4</v>
      </c>
      <c r="W53" s="64" t="e">
        <f t="shared" si="66"/>
        <v>#VALUE!</v>
      </c>
      <c r="X53" s="64" t="e">
        <f t="shared" si="67"/>
        <v>#VALUE!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50012057</v>
      </c>
      <c r="B54" s="47" t="s">
        <v>459</v>
      </c>
      <c r="C54" s="50">
        <v>3</v>
      </c>
      <c r="D54" s="50" t="s">
        <v>126</v>
      </c>
      <c r="E54" s="51" t="s">
        <v>359</v>
      </c>
      <c r="F54" s="51" t="s">
        <v>382</v>
      </c>
      <c r="G54" s="64" t="str">
        <f t="shared" si="56"/>
        <v>[effect:spread, val:0.35]</v>
      </c>
      <c r="H54" s="64">
        <f t="shared" si="1"/>
        <v>9</v>
      </c>
      <c r="I54" s="64">
        <f t="shared" si="57"/>
        <v>15</v>
      </c>
      <c r="J54" s="64" t="e">
        <f t="shared" si="58"/>
        <v>#VALUE!</v>
      </c>
      <c r="K54" s="64" t="e">
        <f t="shared" si="59"/>
        <v>#VALUE!</v>
      </c>
      <c r="L54" s="64" t="str">
        <f>IFERROR(VLOOKUP(MID(G54,J54,K54-J54),[6]skilldef!$C:$D,2,FALSE),"-") &amp; " / " &amp; IFERROR(VLOOKUP(MID(G54,H54,I54-H54),[6]skilldef!$A:$B,2,FALSE),"-")</f>
        <v>- / 全体攻撃</v>
      </c>
      <c r="M54" s="64" t="str">
        <f t="shared" si="60"/>
        <v xml:space="preserve">[effect:enemy_message, val1:1.3, val2:1.8]    </v>
      </c>
      <c r="N54" s="48" t="str">
        <f>IFERROR(LEFT(M54,FIND("],",M54)+S60),M54)</f>
        <v xml:space="preserve">[effect:enemy_message, val1:1.3, val2:1.8]    </v>
      </c>
      <c r="O54" s="64">
        <f t="shared" si="7"/>
        <v>9</v>
      </c>
      <c r="P54" s="64">
        <f t="shared" si="61"/>
        <v>22</v>
      </c>
      <c r="Q54" s="64" t="e">
        <f t="shared" si="62"/>
        <v>#VALUE!</v>
      </c>
      <c r="R54" s="64">
        <f t="shared" si="63"/>
        <v>32</v>
      </c>
      <c r="S54" s="64" t="str">
        <f>IFERROR(VLOOKUP(MID(N54,Q54,R54-Q54),[6]skilldef!$C:$D,2,FALSE),"-") &amp; " / " &amp; IFERROR(VLOOKUP(MID(N54,O54,P54-O54),[6]skilldef!$A:$B,2,FALSE),"-")</f>
        <v>- / -</v>
      </c>
      <c r="T54" s="48" t="str">
        <f t="shared" si="64"/>
        <v>none</v>
      </c>
      <c r="U54" s="64" t="e">
        <f t="shared" si="12"/>
        <v>#VALUE!</v>
      </c>
      <c r="V54" s="64">
        <f t="shared" si="65"/>
        <v>4</v>
      </c>
      <c r="W54" s="64" t="e">
        <f t="shared" si="66"/>
        <v>#VALUE!</v>
      </c>
      <c r="X54" s="64" t="e">
        <f t="shared" si="67"/>
        <v>#VALUE!</v>
      </c>
      <c r="Y54" s="64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50012058</v>
      </c>
      <c r="B55" s="47" t="s">
        <v>319</v>
      </c>
      <c r="C55" s="50">
        <v>3</v>
      </c>
      <c r="D55" s="50" t="s">
        <v>126</v>
      </c>
      <c r="E55" s="51" t="s">
        <v>360</v>
      </c>
      <c r="F55" s="51" t="s">
        <v>401</v>
      </c>
      <c r="G55" s="64" t="str">
        <f t="shared" si="56"/>
        <v>[effect:nothing]</v>
      </c>
      <c r="H55" s="64">
        <f t="shared" si="1"/>
        <v>9</v>
      </c>
      <c r="I55" s="64">
        <f t="shared" si="57"/>
        <v>16</v>
      </c>
      <c r="J55" s="64" t="e">
        <f t="shared" si="58"/>
        <v>#VALUE!</v>
      </c>
      <c r="K55" s="64" t="e">
        <f t="shared" si="59"/>
        <v>#VALUE!</v>
      </c>
      <c r="L55" s="64" t="str">
        <f>IFERROR(VLOOKUP(MID(G55,J55,K55-J55),[6]skilldef!$C:$D,2,FALSE),"-") &amp; " / " &amp; IFERROR(VLOOKUP(MID(G55,H55,I55-H55),[6]skilldef!$A:$B,2,FALSE),"-")</f>
        <v>- / 何もしない</v>
      </c>
      <c r="M55" s="64" t="str">
        <f t="shared" si="60"/>
        <v>none</v>
      </c>
      <c r="N55" s="48" t="str">
        <f>IFERROR(LEFT(M55,FIND("],",M55)+S61),M55)</f>
        <v>none</v>
      </c>
      <c r="O55" s="64" t="e">
        <f t="shared" si="7"/>
        <v>#VALUE!</v>
      </c>
      <c r="P55" s="64">
        <f t="shared" si="61"/>
        <v>4</v>
      </c>
      <c r="Q55" s="64" t="e">
        <f t="shared" si="62"/>
        <v>#VALUE!</v>
      </c>
      <c r="R55" s="64" t="e">
        <f t="shared" si="63"/>
        <v>#VALUE!</v>
      </c>
      <c r="S55" s="64" t="str">
        <f>IFERROR(VLOOKUP(MID(N55,Q55,R55-Q55),[6]skilldef!$C:$D,2,FALSE),"-") &amp; " / " &amp; IFERROR(VLOOKUP(MID(N55,O55,P55-O55),[6]skilldef!$A:$B,2,FALSE),"-")</f>
        <v>- / -</v>
      </c>
      <c r="T55" s="48" t="str">
        <f t="shared" si="64"/>
        <v>none</v>
      </c>
      <c r="U55" s="64" t="e">
        <f t="shared" si="12"/>
        <v>#VALUE!</v>
      </c>
      <c r="V55" s="64">
        <f t="shared" si="65"/>
        <v>4</v>
      </c>
      <c r="W55" s="64" t="e">
        <f t="shared" si="66"/>
        <v>#VALUE!</v>
      </c>
      <c r="X55" s="64" t="e">
        <f t="shared" si="67"/>
        <v>#VALUE!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50012059</v>
      </c>
      <c r="B56" s="47" t="s">
        <v>444</v>
      </c>
      <c r="C56" s="50">
        <v>3</v>
      </c>
      <c r="D56" s="50" t="s">
        <v>126</v>
      </c>
      <c r="E56" s="51" t="s">
        <v>361</v>
      </c>
      <c r="F56" s="51" t="s">
        <v>391</v>
      </c>
      <c r="G56" s="64" t="str">
        <f t="shared" si="56"/>
        <v>[effect:rush, count:14, val:0.3]</v>
      </c>
      <c r="H56" s="64">
        <f t="shared" si="1"/>
        <v>9</v>
      </c>
      <c r="I56" s="64">
        <f t="shared" si="57"/>
        <v>13</v>
      </c>
      <c r="J56" s="64" t="e">
        <f t="shared" si="58"/>
        <v>#VALUE!</v>
      </c>
      <c r="K56" s="64">
        <f t="shared" si="59"/>
        <v>23</v>
      </c>
      <c r="L56" s="64" t="str">
        <f>IFERROR(VLOOKUP(MID(G56,J56,K56-J56),[6]skilldef!$C:$D,2,FALSE),"-") &amp; " / " &amp; IFERROR(VLOOKUP(MID(G56,H56,I56-H56),[6]skilldef!$A:$B,2,FALSE),"-")</f>
        <v>- / 連続攻撃</v>
      </c>
      <c r="M56" s="64" t="str">
        <f t="shared" si="60"/>
        <v xml:space="preserve">[effect:enemy_message, val1:1.3, val2:1.8]    </v>
      </c>
      <c r="N56" s="48" t="str">
        <f>IFERROR(LEFT(M56,FIND("],",M56)+S62),M56)</f>
        <v xml:space="preserve">[effect:enemy_message, val1:1.3, val2:1.8]    </v>
      </c>
      <c r="O56" s="64">
        <f t="shared" si="7"/>
        <v>9</v>
      </c>
      <c r="P56" s="64">
        <f t="shared" si="61"/>
        <v>22</v>
      </c>
      <c r="Q56" s="64" t="e">
        <f t="shared" si="62"/>
        <v>#VALUE!</v>
      </c>
      <c r="R56" s="64">
        <f t="shared" si="63"/>
        <v>32</v>
      </c>
      <c r="S56" s="64" t="str">
        <f>IFERROR(VLOOKUP(MID(N56,Q56,R56-Q56),[6]skilldef!$C:$D,2,FALSE),"-") &amp; " / " &amp; IFERROR(VLOOKUP(MID(N56,O56,P56-O56),[6]skilldef!$A:$B,2,FALSE),"-")</f>
        <v>- / -</v>
      </c>
      <c r="T56" s="48" t="str">
        <f t="shared" si="64"/>
        <v>none</v>
      </c>
      <c r="U56" s="64" t="e">
        <f t="shared" si="12"/>
        <v>#VALUE!</v>
      </c>
      <c r="V56" s="64">
        <f t="shared" si="65"/>
        <v>4</v>
      </c>
      <c r="W56" s="64" t="e">
        <f t="shared" si="66"/>
        <v>#VALUE!</v>
      </c>
      <c r="X56" s="64" t="e">
        <f t="shared" si="67"/>
        <v>#VALUE!</v>
      </c>
      <c r="Y56" s="64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47">
        <v>50012060</v>
      </c>
      <c r="B57" s="47" t="s">
        <v>445</v>
      </c>
      <c r="C57" s="50">
        <v>3</v>
      </c>
      <c r="D57" s="50" t="s">
        <v>126</v>
      </c>
      <c r="E57" s="51" t="s">
        <v>362</v>
      </c>
      <c r="F57" s="51" t="s">
        <v>402</v>
      </c>
      <c r="G57" s="64" t="str">
        <f t="shared" ref="G57:G58" si="68">IFERROR(LEFT(B57,FIND("],",B57)),B57)</f>
        <v>[effect:enhance_enemy, target:myself, turn:-1, status:attack, val:0.5, calc:mul, animation:enemy_enhance_attack]</v>
      </c>
      <c r="H57" s="64">
        <f t="shared" si="1"/>
        <v>9</v>
      </c>
      <c r="I57" s="64">
        <f t="shared" ref="I57:I58" si="69">IFERROR(FIND(",",G57),LEN(G57))</f>
        <v>22</v>
      </c>
      <c r="J57" s="64">
        <f t="shared" ref="J57:J58" si="70">FIND("target:",G57)+7</f>
        <v>31</v>
      </c>
      <c r="K57" s="64">
        <f t="shared" ref="K57:K58" si="71">FIND(",",G57,I57+1)</f>
        <v>37</v>
      </c>
      <c r="L57" s="64" t="str">
        <f>IFERROR(VLOOKUP(MID(G57,J57,K57-J57),[6]skilldef!$C:$D,2,FALSE),"-") &amp; " / " &amp; IFERROR(VLOOKUP(MID(G57,H57,I57-H57),[6]skilldef!$A:$B,2,FALSE),"-")</f>
        <v>自分自身に / ステータス強化</v>
      </c>
      <c r="M57" s="64" t="str">
        <f t="shared" ref="M57:M58" si="72">IFERROR(RIGHT(B57,LEN(B57)-FIND("],",B57)-1),"none")</f>
        <v xml:space="preserve">[effect:enemy_message, val1:1.3, val2:1.8]    </v>
      </c>
      <c r="N57" s="48" t="str">
        <f>IFERROR(LEFT(M57,FIND("],",M57)+S63),M57)</f>
        <v xml:space="preserve">[effect:enemy_message, val1:1.3, val2:1.8]    </v>
      </c>
      <c r="O57" s="64">
        <f t="shared" si="7"/>
        <v>9</v>
      </c>
      <c r="P57" s="64">
        <f t="shared" ref="P57:P58" si="73">IFERROR(FIND(",",N57),LEN(N57))</f>
        <v>22</v>
      </c>
      <c r="Q57" s="64" t="e">
        <f t="shared" ref="Q57:Q58" si="74">FIND("target:",N57)+7</f>
        <v>#VALUE!</v>
      </c>
      <c r="R57" s="64">
        <f t="shared" ref="R57:R58" si="75">FIND(",",N57,P57+1)</f>
        <v>32</v>
      </c>
      <c r="S57" s="64" t="str">
        <f>IFERROR(VLOOKUP(MID(N57,Q57,R57-Q57),[6]skilldef!$C:$D,2,FALSE),"-") &amp; " / " &amp; IFERROR(VLOOKUP(MID(N57,O57,P57-O57),[6]skilldef!$A:$B,2,FALSE),"-")</f>
        <v>- / -</v>
      </c>
      <c r="T57" s="48" t="str">
        <f t="shared" ref="T57:T58" si="76">IFERROR(RIGHT(M57,LEN(M57)-FIND("],",M57)-1),"none")</f>
        <v>none</v>
      </c>
      <c r="U57" s="64" t="e">
        <f t="shared" si="12"/>
        <v>#VALUE!</v>
      </c>
      <c r="V57" s="64">
        <f t="shared" ref="V57:V58" si="77">IFERROR(FIND(",",T57),LEN(T57))</f>
        <v>4</v>
      </c>
      <c r="W57" s="64" t="e">
        <f t="shared" ref="W57:W58" si="78">FIND("target:",T57)+7</f>
        <v>#VALUE!</v>
      </c>
      <c r="X57" s="64" t="e">
        <f t="shared" ref="X57:X58" si="79">FIND(",",T57,V57+1)</f>
        <v>#VALUE!</v>
      </c>
      <c r="Y57" s="64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47">
        <v>50012061</v>
      </c>
      <c r="B58" s="47" t="s">
        <v>448</v>
      </c>
      <c r="C58" s="50">
        <v>3</v>
      </c>
      <c r="D58" s="50" t="s">
        <v>126</v>
      </c>
      <c r="E58" s="51" t="s">
        <v>363</v>
      </c>
      <c r="F58" s="51" t="s">
        <v>382</v>
      </c>
      <c r="G58" s="64" t="str">
        <f t="shared" si="68"/>
        <v>[effect:spread, val:0.3]</v>
      </c>
      <c r="H58" s="64">
        <f t="shared" si="1"/>
        <v>9</v>
      </c>
      <c r="I58" s="64">
        <f t="shared" si="69"/>
        <v>15</v>
      </c>
      <c r="J58" s="64" t="e">
        <f t="shared" si="70"/>
        <v>#VALUE!</v>
      </c>
      <c r="K58" s="64" t="e">
        <f t="shared" si="71"/>
        <v>#VALUE!</v>
      </c>
      <c r="L58" s="64" t="str">
        <f>IFERROR(VLOOKUP(MID(G58,J58,K58-J58),[6]skilldef!$C:$D,2,FALSE),"-") &amp; " / " &amp; IFERROR(VLOOKUP(MID(G58,H58,I58-H58),[6]skilldef!$A:$B,2,FALSE),"-")</f>
        <v>- / 全体攻撃</v>
      </c>
      <c r="M58" s="64" t="str">
        <f t="shared" si="72"/>
        <v>none</v>
      </c>
      <c r="N58" s="48" t="str">
        <f>IFERROR(LEFT(M58,FIND("],",M58)+S64),M58)</f>
        <v>none</v>
      </c>
      <c r="O58" s="64" t="e">
        <f t="shared" si="7"/>
        <v>#VALUE!</v>
      </c>
      <c r="P58" s="64">
        <f t="shared" si="73"/>
        <v>4</v>
      </c>
      <c r="Q58" s="64" t="e">
        <f t="shared" si="74"/>
        <v>#VALUE!</v>
      </c>
      <c r="R58" s="64" t="e">
        <f t="shared" si="75"/>
        <v>#VALUE!</v>
      </c>
      <c r="S58" s="64" t="str">
        <f>IFERROR(VLOOKUP(MID(N58,Q58,R58-Q58),[6]skilldef!$C:$D,2,FALSE),"-") &amp; " / " &amp; IFERROR(VLOOKUP(MID(N58,O58,P58-O58),[6]skilldef!$A:$B,2,FALSE),"-")</f>
        <v>- / -</v>
      </c>
      <c r="T58" s="48" t="str">
        <f t="shared" si="76"/>
        <v>none</v>
      </c>
      <c r="U58" s="64" t="e">
        <f t="shared" si="12"/>
        <v>#VALUE!</v>
      </c>
      <c r="V58" s="64">
        <f t="shared" si="77"/>
        <v>4</v>
      </c>
      <c r="W58" s="64" t="e">
        <f t="shared" si="78"/>
        <v>#VALUE!</v>
      </c>
      <c r="X58" s="64" t="e">
        <f t="shared" si="79"/>
        <v>#VALUE!</v>
      </c>
      <c r="Y58" s="64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 x14ac:dyDescent="0.15">
      <c r="A59" s="47">
        <v>50012065</v>
      </c>
      <c r="B59" s="47" t="s">
        <v>447</v>
      </c>
      <c r="C59" s="50">
        <v>3</v>
      </c>
      <c r="D59" s="50" t="s">
        <v>126</v>
      </c>
      <c r="E59" s="51" t="s">
        <v>285</v>
      </c>
      <c r="F59" s="51" t="s">
        <v>392</v>
      </c>
      <c r="G59" s="64" t="str">
        <f t="shared" ref="G59" si="80">IFERROR(LEFT(B59,FIND("],",B59)),B59)</f>
        <v>[effect:change_panel_ratio, turn:-1, block_type:blue, val:0.4, animation:block_incidence04]</v>
      </c>
      <c r="H59" s="64">
        <f t="shared" ref="H59" si="81">FIND("effect:",G59)+7</f>
        <v>9</v>
      </c>
      <c r="I59" s="64">
        <f t="shared" ref="I59" si="82">IFERROR(FIND(",",G59),LEN(G59))</f>
        <v>27</v>
      </c>
      <c r="J59" s="64" t="e">
        <f t="shared" ref="J59" si="83">FIND("target:",G59)+7</f>
        <v>#VALUE!</v>
      </c>
      <c r="K59" s="64">
        <f t="shared" ref="K59" si="84">FIND(",",G59,I59+1)</f>
        <v>36</v>
      </c>
      <c r="L59" s="64" t="str">
        <f>IFERROR(VLOOKUP(MID(G59,J59,K59-J59),[6]skilldef!$C:$D,2,FALSE),"-") &amp; " / " &amp; IFERROR(VLOOKUP(MID(G59,H59,I59-H59),[6]skilldef!$A:$B,2,FALSE),"-")</f>
        <v>- / -</v>
      </c>
      <c r="M59" s="64" t="str">
        <f t="shared" ref="M59" si="85">IFERROR(RIGHT(B59,LEN(B59)-FIND("],",B59)-1),"none")</f>
        <v xml:space="preserve">[effect:suicide, target:myself, val:1, dead_type:escape]    </v>
      </c>
      <c r="N59" s="48" t="str">
        <f>IFERROR(LEFT(M59,FIND("],",M59)+S71),M59)</f>
        <v xml:space="preserve">[effect:suicide, target:myself, val:1, dead_type:escape]    </v>
      </c>
      <c r="O59" s="64">
        <f t="shared" ref="O59" si="86">FIND("effect:",N59)+7</f>
        <v>9</v>
      </c>
      <c r="P59" s="64">
        <f t="shared" ref="P59" si="87">IFERROR(FIND(",",N59),LEN(N59))</f>
        <v>16</v>
      </c>
      <c r="Q59" s="64">
        <f t="shared" ref="Q59" si="88">FIND("target:",N59)+7</f>
        <v>25</v>
      </c>
      <c r="R59" s="64">
        <f t="shared" ref="R59" si="89">FIND(",",N59,P59+1)</f>
        <v>31</v>
      </c>
      <c r="S59" s="64" t="str">
        <f>IFERROR(VLOOKUP(MID(N59,Q59,R59-Q59),[6]skilldef!$C:$D,2,FALSE),"-") &amp; " / " &amp; IFERROR(VLOOKUP(MID(N59,O59,P59-O59),[6]skilldef!$A:$B,2,FALSE),"-")</f>
        <v>自分自身に / -</v>
      </c>
      <c r="T59" s="48" t="str">
        <f t="shared" ref="T59" si="90">IFERROR(RIGHT(M59,LEN(M59)-FIND("],",M59)-1),"none")</f>
        <v>none</v>
      </c>
      <c r="U59" s="64" t="e">
        <f t="shared" ref="U59" si="91">FIND("effect:",T59)+7</f>
        <v>#VALUE!</v>
      </c>
      <c r="V59" s="64">
        <f t="shared" ref="V59" si="92">IFERROR(FIND(",",T59),LEN(T59))</f>
        <v>4</v>
      </c>
      <c r="W59" s="64" t="e">
        <f t="shared" ref="W59" si="93">FIND("target:",T59)+7</f>
        <v>#VALUE!</v>
      </c>
      <c r="X59" s="64" t="e">
        <f t="shared" ref="X59" si="94">FIND(",",T59,V59+1)</f>
        <v>#VALUE!</v>
      </c>
      <c r="Y59" s="64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47">
        <v>50012067</v>
      </c>
      <c r="B60" s="47" t="s">
        <v>449</v>
      </c>
      <c r="C60" s="50">
        <v>3</v>
      </c>
      <c r="D60" s="50" t="s">
        <v>126</v>
      </c>
      <c r="E60" s="51" t="s">
        <v>366</v>
      </c>
      <c r="F60" s="51" t="s">
        <v>393</v>
      </c>
      <c r="G60" s="64" t="str">
        <f t="shared" ref="G60:G64" si="95">IFERROR(LEFT(B60,FIND("],",B60)),B60)</f>
        <v>[effect:critical, val:3.4]</v>
      </c>
      <c r="H60" s="64">
        <f t="shared" ref="H60:H64" si="96">FIND("effect:",G60)+7</f>
        <v>9</v>
      </c>
      <c r="I60" s="64">
        <f t="shared" ref="I60:I64" si="97">IFERROR(FIND(",",G60),LEN(G60))</f>
        <v>17</v>
      </c>
      <c r="J60" s="64" t="e">
        <f t="shared" ref="J60:J64" si="98">FIND("target:",G60)+7</f>
        <v>#VALUE!</v>
      </c>
      <c r="K60" s="64" t="e">
        <f t="shared" ref="K60:K64" si="99">FIND(",",G60,I60+1)</f>
        <v>#VALUE!</v>
      </c>
      <c r="L60" s="64" t="str">
        <f>IFERROR(VLOOKUP(MID(G60,J60,K60-J60),[6]skilldef!$C:$D,2,FALSE),"-") &amp; " / " &amp; IFERROR(VLOOKUP(MID(G60,H60,I60-H60),[6]skilldef!$A:$B,2,FALSE),"-")</f>
        <v>- / 大攻撃</v>
      </c>
      <c r="M60" s="64" t="str">
        <f t="shared" ref="M60:M64" si="100">IFERROR(RIGHT(B60,LEN(B60)-FIND("],",B60)-1),"none")</f>
        <v>none</v>
      </c>
      <c r="N60" s="48" t="str">
        <f>IFERROR(LEFT(M60,FIND("],",M60)+S73),M60)</f>
        <v>none</v>
      </c>
      <c r="O60" s="64" t="e">
        <f t="shared" ref="O60:O64" si="101">FIND("effect:",N60)+7</f>
        <v>#VALUE!</v>
      </c>
      <c r="P60" s="64">
        <f t="shared" ref="P60:P64" si="102">IFERROR(FIND(",",N60),LEN(N60))</f>
        <v>4</v>
      </c>
      <c r="Q60" s="64" t="e">
        <f t="shared" ref="Q60:Q64" si="103">FIND("target:",N60)+7</f>
        <v>#VALUE!</v>
      </c>
      <c r="R60" s="64" t="e">
        <f t="shared" ref="R60:R64" si="104">FIND(",",N60,P60+1)</f>
        <v>#VALUE!</v>
      </c>
      <c r="S60" s="64" t="str">
        <f>IFERROR(VLOOKUP(MID(N60,Q60,R60-Q60),[6]skilldef!$C:$D,2,FALSE),"-") &amp; " / " &amp; IFERROR(VLOOKUP(MID(N60,O60,P60-O60),[6]skilldef!$A:$B,2,FALSE),"-")</f>
        <v>- / -</v>
      </c>
      <c r="T60" s="48" t="str">
        <f t="shared" ref="T60:T64" si="105">IFERROR(RIGHT(M60,LEN(M60)-FIND("],",M60)-1),"none")</f>
        <v>none</v>
      </c>
      <c r="U60" s="64" t="e">
        <f t="shared" ref="U60:U64" si="106">FIND("effect:",T60)+7</f>
        <v>#VALUE!</v>
      </c>
      <c r="V60" s="64">
        <f t="shared" ref="V60:V64" si="107">IFERROR(FIND(",",T60),LEN(T60))</f>
        <v>4</v>
      </c>
      <c r="W60" s="64" t="e">
        <f t="shared" ref="W60:W64" si="108">FIND("target:",T60)+7</f>
        <v>#VALUE!</v>
      </c>
      <c r="X60" s="64" t="e">
        <f t="shared" ref="X60:X64" si="109">FIND(",",T60,V60+1)</f>
        <v>#VALUE!</v>
      </c>
      <c r="Y60" s="64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47">
        <v>50012068</v>
      </c>
      <c r="B61" s="47" t="s">
        <v>450</v>
      </c>
      <c r="C61" s="50">
        <v>3</v>
      </c>
      <c r="D61" s="50" t="s">
        <v>126</v>
      </c>
      <c r="E61" s="51" t="s">
        <v>324</v>
      </c>
      <c r="F61" s="51" t="s">
        <v>394</v>
      </c>
      <c r="G61" s="64" t="str">
        <f t="shared" si="95"/>
        <v>[effect:critical, val:3.4]</v>
      </c>
      <c r="H61" s="64">
        <f t="shared" si="96"/>
        <v>9</v>
      </c>
      <c r="I61" s="64">
        <f t="shared" si="97"/>
        <v>17</v>
      </c>
      <c r="J61" s="64" t="e">
        <f t="shared" si="98"/>
        <v>#VALUE!</v>
      </c>
      <c r="K61" s="64" t="e">
        <f t="shared" si="99"/>
        <v>#VALUE!</v>
      </c>
      <c r="L61" s="64" t="str">
        <f>IFERROR(VLOOKUP(MID(G61,J61,K61-J61),[6]skilldef!$C:$D,2,FALSE),"-") &amp; " / " &amp; IFERROR(VLOOKUP(MID(G61,H61,I61-H61),[6]skilldef!$A:$B,2,FALSE),"-")</f>
        <v>- / 大攻撃</v>
      </c>
      <c r="M61" s="64" t="str">
        <f t="shared" si="100"/>
        <v>[effect:freq_turn, target:myself, turn:-1, val:1, animation:enemy_freq_turn]</v>
      </c>
      <c r="N61" s="48" t="str">
        <f>IFERROR(LEFT(M61,FIND("],",M61)+S74),M61)</f>
        <v>[effect:freq_turn, target:myself, turn:-1, val:1, animation:enemy_freq_turn]</v>
      </c>
      <c r="O61" s="64">
        <f t="shared" si="101"/>
        <v>9</v>
      </c>
      <c r="P61" s="64">
        <f t="shared" si="102"/>
        <v>18</v>
      </c>
      <c r="Q61" s="64">
        <f t="shared" si="103"/>
        <v>27</v>
      </c>
      <c r="R61" s="64">
        <f t="shared" si="104"/>
        <v>33</v>
      </c>
      <c r="S61" s="64" t="str">
        <f>IFERROR(VLOOKUP(MID(N61,Q61,R61-Q61),[6]skilldef!$C:$D,2,FALSE),"-") &amp; " / " &amp; IFERROR(VLOOKUP(MID(N61,O61,P61-O61),[6]skilldef!$A:$B,2,FALSE),"-")</f>
        <v>自分自身に / 攻撃頻度がUP</v>
      </c>
      <c r="T61" s="48" t="str">
        <f t="shared" si="105"/>
        <v>none</v>
      </c>
      <c r="U61" s="64" t="e">
        <f t="shared" si="106"/>
        <v>#VALUE!</v>
      </c>
      <c r="V61" s="64">
        <f t="shared" si="107"/>
        <v>4</v>
      </c>
      <c r="W61" s="64" t="e">
        <f t="shared" si="108"/>
        <v>#VALUE!</v>
      </c>
      <c r="X61" s="64" t="e">
        <f t="shared" si="109"/>
        <v>#VALUE!</v>
      </c>
      <c r="Y61" s="64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 x14ac:dyDescent="0.15">
      <c r="A62" s="47">
        <v>50012069</v>
      </c>
      <c r="B62" s="47" t="s">
        <v>451</v>
      </c>
      <c r="C62" s="50">
        <v>3</v>
      </c>
      <c r="D62" s="50" t="s">
        <v>126</v>
      </c>
      <c r="E62" s="51" t="s">
        <v>326</v>
      </c>
      <c r="F62" s="51" t="s">
        <v>393</v>
      </c>
      <c r="G62" s="64" t="str">
        <f t="shared" si="95"/>
        <v>[effect:critical, val:3.4]</v>
      </c>
      <c r="H62" s="64">
        <f t="shared" si="96"/>
        <v>9</v>
      </c>
      <c r="I62" s="64">
        <f t="shared" si="97"/>
        <v>17</v>
      </c>
      <c r="J62" s="64" t="e">
        <f t="shared" si="98"/>
        <v>#VALUE!</v>
      </c>
      <c r="K62" s="64" t="e">
        <f t="shared" si="99"/>
        <v>#VALUE!</v>
      </c>
      <c r="L62" s="64" t="str">
        <f>IFERROR(VLOOKUP(MID(G62,J62,K62-J62),[6]skilldef!$C:$D,2,FALSE),"-") &amp; " / " &amp; IFERROR(VLOOKUP(MID(G62,H62,I62-H62),[6]skilldef!$A:$B,2,FALSE),"-")</f>
        <v>- / 大攻撃</v>
      </c>
      <c r="M62" s="64" t="str">
        <f t="shared" si="100"/>
        <v>none</v>
      </c>
      <c r="N62" s="48" t="str">
        <f>IFERROR(LEFT(M62,FIND("],",M62)+S75),M62)</f>
        <v>none</v>
      </c>
      <c r="O62" s="64" t="e">
        <f t="shared" si="101"/>
        <v>#VALUE!</v>
      </c>
      <c r="P62" s="64">
        <f t="shared" si="102"/>
        <v>4</v>
      </c>
      <c r="Q62" s="64" t="e">
        <f t="shared" si="103"/>
        <v>#VALUE!</v>
      </c>
      <c r="R62" s="64" t="e">
        <f t="shared" si="104"/>
        <v>#VALUE!</v>
      </c>
      <c r="S62" s="64" t="str">
        <f>IFERROR(VLOOKUP(MID(N62,Q62,R62-Q62),[6]skilldef!$C:$D,2,FALSE),"-") &amp; " / " &amp; IFERROR(VLOOKUP(MID(N62,O62,P62-O62),[6]skilldef!$A:$B,2,FALSE),"-")</f>
        <v>- / -</v>
      </c>
      <c r="T62" s="48" t="str">
        <f t="shared" si="105"/>
        <v>none</v>
      </c>
      <c r="U62" s="64" t="e">
        <f t="shared" si="106"/>
        <v>#VALUE!</v>
      </c>
      <c r="V62" s="64">
        <f t="shared" si="107"/>
        <v>4</v>
      </c>
      <c r="W62" s="64" t="e">
        <f t="shared" si="108"/>
        <v>#VALUE!</v>
      </c>
      <c r="X62" s="64" t="e">
        <f t="shared" si="109"/>
        <v>#VALUE!</v>
      </c>
      <c r="Y62" s="64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 x14ac:dyDescent="0.15">
      <c r="A63" s="47">
        <v>50012070</v>
      </c>
      <c r="B63" s="47" t="s">
        <v>452</v>
      </c>
      <c r="C63" s="50">
        <v>3</v>
      </c>
      <c r="D63" s="50" t="s">
        <v>126</v>
      </c>
      <c r="E63" s="51" t="s">
        <v>325</v>
      </c>
      <c r="F63" s="51" t="s">
        <v>394</v>
      </c>
      <c r="G63" s="64" t="str">
        <f t="shared" si="95"/>
        <v>[effect:critical, val:3.4]</v>
      </c>
      <c r="H63" s="64">
        <f t="shared" si="96"/>
        <v>9</v>
      </c>
      <c r="I63" s="64">
        <f t="shared" si="97"/>
        <v>17</v>
      </c>
      <c r="J63" s="64" t="e">
        <f t="shared" si="98"/>
        <v>#VALUE!</v>
      </c>
      <c r="K63" s="64" t="e">
        <f t="shared" si="99"/>
        <v>#VALUE!</v>
      </c>
      <c r="L63" s="64" t="str">
        <f>IFERROR(VLOOKUP(MID(G63,J63,K63-J63),[6]skilldef!$C:$D,2,FALSE),"-") &amp; " / " &amp; IFERROR(VLOOKUP(MID(G63,H63,I63-H63),[6]skilldef!$A:$B,2,FALSE),"-")</f>
        <v>- / 大攻撃</v>
      </c>
      <c r="M63" s="64" t="str">
        <f t="shared" si="100"/>
        <v>[effect:freq_turn, target:myself, turn:-1, val:1, animation:enemy_freq_turn]</v>
      </c>
      <c r="N63" s="48" t="str">
        <f>IFERROR(LEFT(M63,FIND("],",M63)+S76),M63)</f>
        <v>[effect:freq_turn, target:myself, turn:-1, val:1, animation:enemy_freq_turn]</v>
      </c>
      <c r="O63" s="64">
        <f t="shared" si="101"/>
        <v>9</v>
      </c>
      <c r="P63" s="64">
        <f t="shared" si="102"/>
        <v>18</v>
      </c>
      <c r="Q63" s="64">
        <f t="shared" si="103"/>
        <v>27</v>
      </c>
      <c r="R63" s="64">
        <f t="shared" si="104"/>
        <v>33</v>
      </c>
      <c r="S63" s="64" t="str">
        <f>IFERROR(VLOOKUP(MID(N63,Q63,R63-Q63),[6]skilldef!$C:$D,2,FALSE),"-") &amp; " / " &amp; IFERROR(VLOOKUP(MID(N63,O63,P63-O63),[6]skilldef!$A:$B,2,FALSE),"-")</f>
        <v>自分自身に / 攻撃頻度がUP</v>
      </c>
      <c r="T63" s="48" t="str">
        <f t="shared" si="105"/>
        <v>none</v>
      </c>
      <c r="U63" s="64" t="e">
        <f t="shared" si="106"/>
        <v>#VALUE!</v>
      </c>
      <c r="V63" s="64">
        <f t="shared" si="107"/>
        <v>4</v>
      </c>
      <c r="W63" s="64" t="e">
        <f t="shared" si="108"/>
        <v>#VALUE!</v>
      </c>
      <c r="X63" s="64" t="e">
        <f t="shared" si="109"/>
        <v>#VALUE!</v>
      </c>
      <c r="Y63" s="64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47">
        <v>50012071</v>
      </c>
      <c r="B64" s="47" t="s">
        <v>446</v>
      </c>
      <c r="C64" s="50">
        <v>3</v>
      </c>
      <c r="D64" s="50" t="s">
        <v>126</v>
      </c>
      <c r="E64" s="51" t="s">
        <v>348</v>
      </c>
      <c r="F64" s="51" t="s">
        <v>349</v>
      </c>
      <c r="G64" s="64" t="str">
        <f t="shared" si="95"/>
        <v xml:space="preserve">[effect:enemy_message, val1:2, val2:2.5]    </v>
      </c>
      <c r="H64" s="64">
        <f t="shared" si="96"/>
        <v>9</v>
      </c>
      <c r="I64" s="64">
        <f t="shared" si="97"/>
        <v>22</v>
      </c>
      <c r="J64" s="64" t="e">
        <f t="shared" si="98"/>
        <v>#VALUE!</v>
      </c>
      <c r="K64" s="64">
        <f t="shared" si="99"/>
        <v>30</v>
      </c>
      <c r="L64" s="64" t="str">
        <f>IFERROR(VLOOKUP(MID(G64,J64,K64-J64),[6]skilldef!$C:$D,2,FALSE),"-") &amp; " / " &amp; IFERROR(VLOOKUP(MID(G64,H64,I64-H64),[6]skilldef!$A:$B,2,FALSE),"-")</f>
        <v>- / -</v>
      </c>
      <c r="M64" s="64" t="str">
        <f t="shared" si="100"/>
        <v>none</v>
      </c>
      <c r="N64" s="48" t="str">
        <f>IFERROR(LEFT(M64,FIND("],",M64)+S77),M64)</f>
        <v>none</v>
      </c>
      <c r="O64" s="64" t="e">
        <f t="shared" si="101"/>
        <v>#VALUE!</v>
      </c>
      <c r="P64" s="64">
        <f t="shared" si="102"/>
        <v>4</v>
      </c>
      <c r="Q64" s="64" t="e">
        <f t="shared" si="103"/>
        <v>#VALUE!</v>
      </c>
      <c r="R64" s="64" t="e">
        <f t="shared" si="104"/>
        <v>#VALUE!</v>
      </c>
      <c r="S64" s="64" t="str">
        <f>IFERROR(VLOOKUP(MID(N64,Q64,R64-Q64),[6]skilldef!$C:$D,2,FALSE),"-") &amp; " / " &amp; IFERROR(VLOOKUP(MID(N64,O64,P64-O64),[6]skilldef!$A:$B,2,FALSE),"-")</f>
        <v>- / -</v>
      </c>
      <c r="T64" s="48" t="str">
        <f t="shared" si="105"/>
        <v>none</v>
      </c>
      <c r="U64" s="64" t="e">
        <f t="shared" si="106"/>
        <v>#VALUE!</v>
      </c>
      <c r="V64" s="64">
        <f t="shared" si="107"/>
        <v>4</v>
      </c>
      <c r="W64" s="64" t="e">
        <f t="shared" si="108"/>
        <v>#VALUE!</v>
      </c>
      <c r="X64" s="64" t="e">
        <f t="shared" si="109"/>
        <v>#VALUE!</v>
      </c>
      <c r="Y64" s="64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 x14ac:dyDescent="0.15">
      <c r="A65" s="47">
        <v>50012062</v>
      </c>
      <c r="B65" s="47" t="s">
        <v>446</v>
      </c>
      <c r="C65" s="50">
        <v>3</v>
      </c>
      <c r="D65" s="50" t="s">
        <v>126</v>
      </c>
      <c r="E65" s="51" t="s">
        <v>343</v>
      </c>
      <c r="F65" s="51" t="s">
        <v>350</v>
      </c>
      <c r="G65" s="64" t="str">
        <f t="shared" ref="G65" si="110">IFERROR(LEFT(B65,FIND("],",B65)),B65)</f>
        <v xml:space="preserve">[effect:enemy_message, val1:2, val2:2.5]    </v>
      </c>
      <c r="H65" s="64">
        <f>FIND("effect:",G65)+7</f>
        <v>9</v>
      </c>
      <c r="I65" s="64">
        <f t="shared" ref="I65" si="111">IFERROR(FIND(",",G65),LEN(G65))</f>
        <v>22</v>
      </c>
      <c r="J65" s="64" t="e">
        <f t="shared" ref="J65" si="112">FIND("target:",G65)+7</f>
        <v>#VALUE!</v>
      </c>
      <c r="K65" s="64">
        <f t="shared" ref="K65" si="113">FIND(",",G65,I65+1)</f>
        <v>30</v>
      </c>
      <c r="L65" s="64" t="str">
        <f>IFERROR(VLOOKUP(MID(G65,J65,K65-J65),[6]skilldef!$C:$D,2,FALSE),"-") &amp; " / " &amp; IFERROR(VLOOKUP(MID(G65,H65,I65-H65),[6]skilldef!$A:$B,2,FALSE),"-")</f>
        <v>- / -</v>
      </c>
      <c r="M65" s="64" t="str">
        <f t="shared" ref="M65" si="114">IFERROR(RIGHT(B65,LEN(B65)-FIND("],",B65)-1),"none")</f>
        <v>none</v>
      </c>
      <c r="N65" s="48" t="str">
        <f>IFERROR(LEFT(M65,FIND("],",M65)+S68),M65)</f>
        <v>none</v>
      </c>
      <c r="O65" s="64" t="e">
        <f>FIND("effect:",N65)+7</f>
        <v>#VALUE!</v>
      </c>
      <c r="P65" s="64">
        <f t="shared" ref="P65" si="115">IFERROR(FIND(",",N65),LEN(N65))</f>
        <v>4</v>
      </c>
      <c r="Q65" s="64" t="e">
        <f t="shared" ref="Q65" si="116">FIND("target:",N65)+7</f>
        <v>#VALUE!</v>
      </c>
      <c r="R65" s="64" t="e">
        <f t="shared" ref="R65" si="117">FIND(",",N65,P65+1)</f>
        <v>#VALUE!</v>
      </c>
      <c r="S65" s="64" t="str">
        <f>IFERROR(VLOOKUP(MID(N65,Q65,R65-Q65),[6]skilldef!$C:$D,2,FALSE),"-") &amp; " / " &amp; IFERROR(VLOOKUP(MID(N65,O65,P65-O65),[6]skilldef!$A:$B,2,FALSE),"-")</f>
        <v>- / -</v>
      </c>
      <c r="T65" s="48" t="str">
        <f t="shared" ref="T65" si="118">IFERROR(RIGHT(M65,LEN(M65)-FIND("],",M65)-1),"none")</f>
        <v>none</v>
      </c>
      <c r="U65" s="64" t="e">
        <f>FIND("effect:",T65)+7</f>
        <v>#VALUE!</v>
      </c>
      <c r="V65" s="64">
        <f t="shared" ref="V65" si="119">IFERROR(FIND(",",T65),LEN(T65))</f>
        <v>4</v>
      </c>
      <c r="W65" s="64" t="e">
        <f t="shared" ref="W65" si="120">FIND("target:",T65)+7</f>
        <v>#VALUE!</v>
      </c>
      <c r="X65" s="64" t="e">
        <f t="shared" ref="X65" si="121">FIND(",",T65,V65+1)</f>
        <v>#VALUE!</v>
      </c>
      <c r="Y65" s="64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 x14ac:dyDescent="0.15">
      <c r="A66" s="47">
        <v>50012063</v>
      </c>
      <c r="B66" s="47" t="s">
        <v>446</v>
      </c>
      <c r="C66" s="50">
        <v>3</v>
      </c>
      <c r="D66" s="50" t="s">
        <v>126</v>
      </c>
      <c r="E66" s="51" t="s">
        <v>345</v>
      </c>
      <c r="F66" s="51" t="s">
        <v>344</v>
      </c>
      <c r="G66" s="64" t="str">
        <f t="shared" ref="G66:G68" si="122">IFERROR(LEFT(B66,FIND("],",B66)),B66)</f>
        <v xml:space="preserve">[effect:enemy_message, val1:2, val2:2.5]    </v>
      </c>
      <c r="H66" s="64">
        <f>FIND("effect:",G66)+7</f>
        <v>9</v>
      </c>
      <c r="I66" s="64">
        <f t="shared" ref="I66:I68" si="123">IFERROR(FIND(",",G66),LEN(G66))</f>
        <v>22</v>
      </c>
      <c r="J66" s="64" t="e">
        <f t="shared" ref="J66:J68" si="124">FIND("target:",G66)+7</f>
        <v>#VALUE!</v>
      </c>
      <c r="K66" s="64">
        <f t="shared" ref="K66:K68" si="125">FIND(",",G66,I66+1)</f>
        <v>30</v>
      </c>
      <c r="L66" s="64" t="str">
        <f>IFERROR(VLOOKUP(MID(G66,J66,K66-J66),[6]skilldef!$C:$D,2,FALSE),"-") &amp; " / " &amp; IFERROR(VLOOKUP(MID(G66,H66,I66-H66),[6]skilldef!$A:$B,2,FALSE),"-")</f>
        <v>- / -</v>
      </c>
      <c r="M66" s="64" t="str">
        <f t="shared" ref="M66:M68" si="126">IFERROR(RIGHT(B66,LEN(B66)-FIND("],",B66)-1),"none")</f>
        <v>none</v>
      </c>
      <c r="N66" s="48" t="str">
        <f>IFERROR(LEFT(M66,FIND("],",M66)+S69),M66)</f>
        <v>none</v>
      </c>
      <c r="O66" s="64" t="e">
        <f>FIND("effect:",N66)+7</f>
        <v>#VALUE!</v>
      </c>
      <c r="P66" s="64">
        <f t="shared" ref="P66:P68" si="127">IFERROR(FIND(",",N66),LEN(N66))</f>
        <v>4</v>
      </c>
      <c r="Q66" s="64" t="e">
        <f t="shared" ref="Q66:Q68" si="128">FIND("target:",N66)+7</f>
        <v>#VALUE!</v>
      </c>
      <c r="R66" s="64" t="e">
        <f t="shared" ref="R66:R68" si="129">FIND(",",N66,P66+1)</f>
        <v>#VALUE!</v>
      </c>
      <c r="S66" s="64" t="str">
        <f>IFERROR(VLOOKUP(MID(N66,Q66,R66-Q66),[6]skilldef!$C:$D,2,FALSE),"-") &amp; " / " &amp; IFERROR(VLOOKUP(MID(N66,O66,P66-O66),[6]skilldef!$A:$B,2,FALSE),"-")</f>
        <v>- / -</v>
      </c>
      <c r="T66" s="48" t="str">
        <f t="shared" ref="T66:T68" si="130">IFERROR(RIGHT(M66,LEN(M66)-FIND("],",M66)-1),"none")</f>
        <v>none</v>
      </c>
      <c r="U66" s="64" t="e">
        <f>FIND("effect:",T66)+7</f>
        <v>#VALUE!</v>
      </c>
      <c r="V66" s="64">
        <f t="shared" ref="V66:V68" si="131">IFERROR(FIND(",",T66),LEN(T66))</f>
        <v>4</v>
      </c>
      <c r="W66" s="64" t="e">
        <f t="shared" ref="W66:W68" si="132">FIND("target:",T66)+7</f>
        <v>#VALUE!</v>
      </c>
      <c r="X66" s="64" t="e">
        <f t="shared" ref="X66:X68" si="133">FIND(",",T66,V66+1)</f>
        <v>#VALUE!</v>
      </c>
      <c r="Y66" s="64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21" customHeight="1" x14ac:dyDescent="0.15">
      <c r="A67" s="47">
        <v>50012064</v>
      </c>
      <c r="B67" s="47" t="s">
        <v>455</v>
      </c>
      <c r="C67" s="50">
        <v>3</v>
      </c>
      <c r="D67" s="50" t="s">
        <v>126</v>
      </c>
      <c r="E67" s="51" t="s">
        <v>346</v>
      </c>
      <c r="F67" s="51" t="s">
        <v>347</v>
      </c>
      <c r="G67" s="64" t="str">
        <f t="shared" si="122"/>
        <v xml:space="preserve">[effect:enemy_message, val1:2, val2:2.5]    </v>
      </c>
      <c r="H67" s="64">
        <f>FIND("effect:",G67)+7</f>
        <v>9</v>
      </c>
      <c r="I67" s="64">
        <f t="shared" si="123"/>
        <v>22</v>
      </c>
      <c r="J67" s="64" t="e">
        <f t="shared" si="124"/>
        <v>#VALUE!</v>
      </c>
      <c r="K67" s="64">
        <f t="shared" si="125"/>
        <v>30</v>
      </c>
      <c r="L67" s="64" t="str">
        <f>IFERROR(VLOOKUP(MID(G67,J67,K67-J67),[6]skilldef!$C:$D,2,FALSE),"-") &amp; " / " &amp; IFERROR(VLOOKUP(MID(G67,H67,I67-H67),[6]skilldef!$A:$B,2,FALSE),"-")</f>
        <v>- / -</v>
      </c>
      <c r="M67" s="64" t="str">
        <f t="shared" si="126"/>
        <v>none</v>
      </c>
      <c r="N67" s="48" t="str">
        <f>IFERROR(LEFT(M67,FIND("],",M67)+S70),M67)</f>
        <v>none</v>
      </c>
      <c r="O67" s="64" t="e">
        <f>FIND("effect:",N67)+7</f>
        <v>#VALUE!</v>
      </c>
      <c r="P67" s="64">
        <f t="shared" si="127"/>
        <v>4</v>
      </c>
      <c r="Q67" s="64" t="e">
        <f t="shared" si="128"/>
        <v>#VALUE!</v>
      </c>
      <c r="R67" s="64" t="e">
        <f t="shared" si="129"/>
        <v>#VALUE!</v>
      </c>
      <c r="S67" s="64" t="str">
        <f>IFERROR(VLOOKUP(MID(N67,Q67,R67-Q67),[6]skilldef!$C:$D,2,FALSE),"-") &amp; " / " &amp; IFERROR(VLOOKUP(MID(N67,O67,P67-O67),[6]skilldef!$A:$B,2,FALSE),"-")</f>
        <v>- / -</v>
      </c>
      <c r="T67" s="48" t="str">
        <f t="shared" si="130"/>
        <v>none</v>
      </c>
      <c r="U67" s="64" t="e">
        <f>FIND("effect:",T67)+7</f>
        <v>#VALUE!</v>
      </c>
      <c r="V67" s="64">
        <f t="shared" si="131"/>
        <v>4</v>
      </c>
      <c r="W67" s="64" t="e">
        <f t="shared" si="132"/>
        <v>#VALUE!</v>
      </c>
      <c r="X67" s="64" t="e">
        <f t="shared" si="133"/>
        <v>#VALUE!</v>
      </c>
      <c r="Y67" s="64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2" customHeight="1" x14ac:dyDescent="0.15">
      <c r="A68" s="47">
        <v>50012072</v>
      </c>
      <c r="B68" s="47" t="s">
        <v>454</v>
      </c>
      <c r="C68" s="50">
        <v>3</v>
      </c>
      <c r="D68" s="50" t="s">
        <v>126</v>
      </c>
      <c r="E68" s="51" t="s">
        <v>364</v>
      </c>
      <c r="F68" s="51" t="s">
        <v>383</v>
      </c>
      <c r="G68" s="64" t="str">
        <f t="shared" si="122"/>
        <v>[effect:change_panel_ratio, turn:-1, block_type:heal, val:0.13, animation:block_incidence04]</v>
      </c>
      <c r="H68" s="64">
        <f t="shared" ref="H68" si="134">FIND("effect:",G68)+7</f>
        <v>9</v>
      </c>
      <c r="I68" s="64">
        <f t="shared" si="123"/>
        <v>27</v>
      </c>
      <c r="J68" s="64" t="e">
        <f t="shared" si="124"/>
        <v>#VALUE!</v>
      </c>
      <c r="K68" s="64">
        <f t="shared" si="125"/>
        <v>36</v>
      </c>
      <c r="L68" s="64" t="str">
        <f>IFERROR(VLOOKUP(MID(G68,J68,K68-J68),[6]skilldef!$C:$D,2,FALSE),"-") &amp; " / " &amp; IFERROR(VLOOKUP(MID(G68,H68,I68-H68),[6]skilldef!$A:$B,2,FALSE),"-")</f>
        <v>- / -</v>
      </c>
      <c r="M68" s="64" t="str">
        <f t="shared" si="126"/>
        <v>[effect:tolerance, target:myself, turn:-1, count:-1, tolerance_effect:all, animation:enemy_tolerance]</v>
      </c>
      <c r="N68" s="48" t="str">
        <f t="shared" ref="N68" si="135">IFERROR(LEFT(M68,FIND("],",M68)+S78),M68)</f>
        <v>[effect:tolerance, target:myself, turn:-1, count:-1, tolerance_effect:all, animation:enemy_tolerance]</v>
      </c>
      <c r="O68" s="64">
        <f t="shared" ref="O68" si="136">FIND("effect:",N68)+7</f>
        <v>9</v>
      </c>
      <c r="P68" s="64">
        <f t="shared" si="127"/>
        <v>18</v>
      </c>
      <c r="Q68" s="64">
        <f t="shared" si="128"/>
        <v>27</v>
      </c>
      <c r="R68" s="64">
        <f t="shared" si="129"/>
        <v>33</v>
      </c>
      <c r="S68" s="64" t="str">
        <f>IFERROR(VLOOKUP(MID(N68,Q68,R68-Q68),[6]skilldef!$C:$D,2,FALSE),"-") &amp; " / " &amp; IFERROR(VLOOKUP(MID(N68,O68,P68-O68),[6]skilldef!$A:$B,2,FALSE),"-")</f>
        <v>自分自身に / 状態異常耐性</v>
      </c>
      <c r="T68" s="48" t="str">
        <f t="shared" si="130"/>
        <v>none</v>
      </c>
      <c r="U68" s="64" t="e">
        <f t="shared" ref="U68" si="137">FIND("effect:",T68)+7</f>
        <v>#VALUE!</v>
      </c>
      <c r="V68" s="64">
        <f t="shared" si="131"/>
        <v>4</v>
      </c>
      <c r="W68" s="64" t="e">
        <f t="shared" si="132"/>
        <v>#VALUE!</v>
      </c>
      <c r="X68" s="64" t="e">
        <f t="shared" si="133"/>
        <v>#VALUE!</v>
      </c>
      <c r="Y68" s="64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22" customHeight="1" x14ac:dyDescent="0.15">
      <c r="A69" s="47">
        <v>50012073</v>
      </c>
      <c r="B69" s="47" t="s">
        <v>310</v>
      </c>
      <c r="C69" s="50">
        <v>3</v>
      </c>
      <c r="D69" s="50" t="s">
        <v>126</v>
      </c>
      <c r="E69" s="51" t="s">
        <v>365</v>
      </c>
      <c r="F69" s="51" t="s">
        <v>383</v>
      </c>
      <c r="G69" s="64" t="str">
        <f t="shared" ref="G69" si="138">IFERROR(LEFT(B69,FIND("],",B69)),B69)</f>
        <v>[effect:change_panel_ratio, turn:-1, block_type:heal, val:0.13, animation:block_incidence04]</v>
      </c>
      <c r="H69" s="64">
        <f t="shared" ref="H69" si="139">FIND("effect:",G69)+7</f>
        <v>9</v>
      </c>
      <c r="I69" s="64">
        <f t="shared" ref="I69" si="140">IFERROR(FIND(",",G69),LEN(G69))</f>
        <v>27</v>
      </c>
      <c r="J69" s="64" t="e">
        <f t="shared" ref="J69" si="141">FIND("target:",G69)+7</f>
        <v>#VALUE!</v>
      </c>
      <c r="K69" s="64">
        <f t="shared" ref="K69" si="142">FIND(",",G69,I69+1)</f>
        <v>36</v>
      </c>
      <c r="L69" s="64" t="str">
        <f>IFERROR(VLOOKUP(MID(G69,J69,K69-J69),[6]skilldef!$C:$D,2,FALSE),"-") &amp; " / " &amp; IFERROR(VLOOKUP(MID(G69,H69,I69-H69),[6]skilldef!$A:$B,2,FALSE),"-")</f>
        <v>- / -</v>
      </c>
      <c r="M69" s="64" t="str">
        <f t="shared" ref="M69" si="143">IFERROR(RIGHT(B69,LEN(B69)-FIND("],",B69)-1),"none")</f>
        <v>[effect:tolerance, target:myself, turn:-1, count:-1, tolerance_effect:all, animation:enemy_tolerance]</v>
      </c>
      <c r="N69" s="48" t="str">
        <f t="shared" ref="N69" si="144">IFERROR(LEFT(M69,FIND("],",M69)+S79),M69)</f>
        <v>[effect:tolerance, target:myself, turn:-1, count:-1, tolerance_effect:all, animation:enemy_tolerance]</v>
      </c>
      <c r="O69" s="64">
        <f t="shared" ref="O69" si="145">FIND("effect:",N69)+7</f>
        <v>9</v>
      </c>
      <c r="P69" s="64">
        <f t="shared" ref="P69" si="146">IFERROR(FIND(",",N69),LEN(N69))</f>
        <v>18</v>
      </c>
      <c r="Q69" s="64">
        <f t="shared" ref="Q69" si="147">FIND("target:",N69)+7</f>
        <v>27</v>
      </c>
      <c r="R69" s="64">
        <f t="shared" ref="R69" si="148">FIND(",",N69,P69+1)</f>
        <v>33</v>
      </c>
      <c r="S69" s="64" t="str">
        <f>IFERROR(VLOOKUP(MID(N69,Q69,R69-Q69),[6]skilldef!$C:$D,2,FALSE),"-") &amp; " / " &amp; IFERROR(VLOOKUP(MID(N69,O69,P69-O69),[6]skilldef!$A:$B,2,FALSE),"-")</f>
        <v>自分自身に / 状態異常耐性</v>
      </c>
      <c r="T69" s="48" t="str">
        <f t="shared" ref="T69" si="149">IFERROR(RIGHT(M69,LEN(M69)-FIND("],",M69)-1),"none")</f>
        <v>none</v>
      </c>
      <c r="U69" s="64" t="e">
        <f t="shared" ref="U69" si="150">FIND("effect:",T69)+7</f>
        <v>#VALUE!</v>
      </c>
      <c r="V69" s="64">
        <f t="shared" ref="V69" si="151">IFERROR(FIND(",",T69),LEN(T69))</f>
        <v>4</v>
      </c>
      <c r="W69" s="64" t="e">
        <f t="shared" ref="W69" si="152">FIND("target:",T69)+7</f>
        <v>#VALUE!</v>
      </c>
      <c r="X69" s="64" t="e">
        <f t="shared" ref="X69" si="153">FIND(",",T69,V69+1)</f>
        <v>#VALUE!</v>
      </c>
      <c r="Y69" s="64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</sheetData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7"/>
  <sheetViews>
    <sheetView showGridLines="0" workbookViewId="0">
      <pane ySplit="1" topLeftCell="A34" activePane="bottomLeft" state="frozenSplit"/>
      <selection pane="bottomLeft" activeCell="I48" sqref="I4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500121001</v>
      </c>
      <c r="B2" s="47">
        <v>1</v>
      </c>
      <c r="C2" s="47">
        <v>200</v>
      </c>
      <c r="D2" s="47">
        <v>100</v>
      </c>
      <c r="E2" s="47" t="s">
        <v>268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:J63" si="0">D2</f>
        <v>100</v>
      </c>
    </row>
    <row r="3" spans="1:11" ht="21" customHeight="1" x14ac:dyDescent="0.15">
      <c r="A3" s="47">
        <v>500121002</v>
      </c>
      <c r="B3" s="48">
        <v>0</v>
      </c>
      <c r="C3" s="48">
        <v>180</v>
      </c>
      <c r="D3" s="48">
        <v>100</v>
      </c>
      <c r="E3" s="48" t="s">
        <v>269</v>
      </c>
      <c r="F3" s="48" t="s">
        <v>270</v>
      </c>
      <c r="G3" s="48">
        <v>1</v>
      </c>
      <c r="H3" s="48">
        <v>1</v>
      </c>
      <c r="I3" s="48" t="s">
        <v>271</v>
      </c>
      <c r="J3" s="48">
        <f t="shared" si="0"/>
        <v>100</v>
      </c>
    </row>
    <row r="4" spans="1:11" ht="21" customHeight="1" x14ac:dyDescent="0.15">
      <c r="A4" s="47">
        <v>500121003</v>
      </c>
      <c r="B4" s="48">
        <v>0</v>
      </c>
      <c r="C4" s="48">
        <v>180</v>
      </c>
      <c r="D4" s="48">
        <v>100</v>
      </c>
      <c r="E4" s="48" t="s">
        <v>269</v>
      </c>
      <c r="F4" s="48" t="s">
        <v>270</v>
      </c>
      <c r="G4" s="48">
        <v>1</v>
      </c>
      <c r="H4" s="48">
        <v>6</v>
      </c>
      <c r="I4" s="48" t="s">
        <v>271</v>
      </c>
      <c r="J4" s="48">
        <f t="shared" si="0"/>
        <v>100</v>
      </c>
    </row>
    <row r="5" spans="1:11" ht="21" customHeight="1" x14ac:dyDescent="0.15">
      <c r="A5" s="47">
        <v>500121004</v>
      </c>
      <c r="B5" s="48">
        <v>0</v>
      </c>
      <c r="C5" s="48">
        <v>100</v>
      </c>
      <c r="D5" s="48">
        <v>100</v>
      </c>
      <c r="E5" s="48" t="s">
        <v>269</v>
      </c>
      <c r="F5" s="48" t="s">
        <v>270</v>
      </c>
      <c r="G5" s="48">
        <v>1</v>
      </c>
      <c r="H5" s="48">
        <v>2</v>
      </c>
      <c r="I5" s="48" t="s">
        <v>271</v>
      </c>
      <c r="J5" s="48">
        <f t="shared" si="0"/>
        <v>100</v>
      </c>
    </row>
    <row r="6" spans="1:11" ht="21" customHeight="1" x14ac:dyDescent="0.15">
      <c r="A6" s="47">
        <v>500121005</v>
      </c>
      <c r="B6" s="48">
        <v>0</v>
      </c>
      <c r="C6" s="48">
        <v>100</v>
      </c>
      <c r="D6" s="48">
        <v>100</v>
      </c>
      <c r="E6" s="48" t="s">
        <v>269</v>
      </c>
      <c r="F6" s="48" t="s">
        <v>270</v>
      </c>
      <c r="G6" s="48">
        <v>1</v>
      </c>
      <c r="H6" s="48">
        <v>2</v>
      </c>
      <c r="I6" s="48" t="s">
        <v>271</v>
      </c>
      <c r="J6" s="48">
        <f t="shared" si="0"/>
        <v>100</v>
      </c>
    </row>
    <row r="7" spans="1:11" ht="21" customHeight="1" x14ac:dyDescent="0.15">
      <c r="A7" s="47">
        <v>500121006</v>
      </c>
      <c r="B7" s="48">
        <v>1</v>
      </c>
      <c r="C7" s="48">
        <v>200</v>
      </c>
      <c r="D7" s="48">
        <v>100</v>
      </c>
      <c r="E7" s="48" t="s">
        <v>267</v>
      </c>
      <c r="F7" s="48" t="s">
        <v>267</v>
      </c>
      <c r="G7" s="48">
        <v>1</v>
      </c>
      <c r="H7" s="48" t="s">
        <v>267</v>
      </c>
      <c r="I7" s="48" t="s">
        <v>267</v>
      </c>
      <c r="J7" s="48">
        <f t="shared" si="0"/>
        <v>100</v>
      </c>
    </row>
    <row r="8" spans="1:11" ht="21" customHeight="1" x14ac:dyDescent="0.15">
      <c r="A8" s="47">
        <v>500121007</v>
      </c>
      <c r="B8" s="48">
        <v>0</v>
      </c>
      <c r="C8" s="48">
        <v>100</v>
      </c>
      <c r="D8" s="48">
        <v>100</v>
      </c>
      <c r="E8" s="48" t="s">
        <v>269</v>
      </c>
      <c r="F8" s="48" t="s">
        <v>270</v>
      </c>
      <c r="G8" s="48">
        <v>1</v>
      </c>
      <c r="H8" s="48">
        <v>2</v>
      </c>
      <c r="I8" s="48" t="s">
        <v>271</v>
      </c>
      <c r="J8" s="48">
        <f t="shared" si="0"/>
        <v>100</v>
      </c>
    </row>
    <row r="9" spans="1:11" ht="21" customHeight="1" x14ac:dyDescent="0.15">
      <c r="A9" s="47">
        <v>500121008</v>
      </c>
      <c r="B9" s="48">
        <v>0</v>
      </c>
      <c r="C9" s="48">
        <v>50</v>
      </c>
      <c r="D9" s="48">
        <v>100</v>
      </c>
      <c r="E9" s="48">
        <v>50</v>
      </c>
      <c r="F9" s="48" t="s">
        <v>270</v>
      </c>
      <c r="G9" s="48">
        <v>1</v>
      </c>
      <c r="H9" s="48">
        <v>1</v>
      </c>
      <c r="I9" s="48" t="s">
        <v>271</v>
      </c>
      <c r="J9" s="48">
        <f t="shared" si="0"/>
        <v>100</v>
      </c>
    </row>
    <row r="10" spans="1:11" ht="21" customHeight="1" x14ac:dyDescent="0.15">
      <c r="A10" s="47">
        <v>500121009</v>
      </c>
      <c r="B10" s="48">
        <v>0</v>
      </c>
      <c r="C10" s="48">
        <v>30</v>
      </c>
      <c r="D10" s="48">
        <v>100</v>
      </c>
      <c r="E10" s="48" t="s">
        <v>269</v>
      </c>
      <c r="F10" s="48" t="s">
        <v>270</v>
      </c>
      <c r="G10" s="48" t="s">
        <v>273</v>
      </c>
      <c r="H10" s="48">
        <v>2</v>
      </c>
      <c r="I10" s="48" t="s">
        <v>271</v>
      </c>
      <c r="J10" s="48">
        <f t="shared" si="0"/>
        <v>100</v>
      </c>
    </row>
    <row r="11" spans="1:11" ht="21" customHeight="1" x14ac:dyDescent="0.15">
      <c r="A11" s="47">
        <v>500121010</v>
      </c>
      <c r="B11" s="48">
        <v>0</v>
      </c>
      <c r="C11" s="48">
        <v>50</v>
      </c>
      <c r="D11" s="48">
        <v>100</v>
      </c>
      <c r="E11" s="48">
        <v>50</v>
      </c>
      <c r="F11" s="48" t="s">
        <v>270</v>
      </c>
      <c r="G11" s="48">
        <v>1</v>
      </c>
      <c r="H11" s="48">
        <v>1</v>
      </c>
      <c r="I11" s="48" t="s">
        <v>271</v>
      </c>
      <c r="J11" s="48">
        <f t="shared" si="0"/>
        <v>100</v>
      </c>
    </row>
    <row r="12" spans="1:11" ht="21" customHeight="1" x14ac:dyDescent="0.15">
      <c r="A12" s="47">
        <v>500121011</v>
      </c>
      <c r="B12" s="48">
        <v>0</v>
      </c>
      <c r="C12" s="48">
        <v>30</v>
      </c>
      <c r="D12" s="48">
        <v>100</v>
      </c>
      <c r="E12" s="48" t="s">
        <v>269</v>
      </c>
      <c r="F12" s="48" t="s">
        <v>270</v>
      </c>
      <c r="G12" s="48" t="s">
        <v>273</v>
      </c>
      <c r="H12" s="48">
        <v>2</v>
      </c>
      <c r="I12" s="48" t="s">
        <v>271</v>
      </c>
      <c r="J12" s="48">
        <f t="shared" si="0"/>
        <v>100</v>
      </c>
    </row>
    <row r="13" spans="1:11" ht="21" customHeight="1" x14ac:dyDescent="0.15">
      <c r="A13" s="47">
        <v>500121012</v>
      </c>
      <c r="B13" s="48">
        <v>0</v>
      </c>
      <c r="C13" s="48">
        <v>50</v>
      </c>
      <c r="D13" s="48">
        <v>100</v>
      </c>
      <c r="E13" s="48">
        <v>50</v>
      </c>
      <c r="F13" s="48" t="s">
        <v>270</v>
      </c>
      <c r="G13" s="48">
        <v>1</v>
      </c>
      <c r="H13" s="48">
        <v>1</v>
      </c>
      <c r="I13" s="48" t="s">
        <v>271</v>
      </c>
      <c r="J13" s="48">
        <f t="shared" si="0"/>
        <v>100</v>
      </c>
    </row>
    <row r="14" spans="1:11" ht="21" customHeight="1" x14ac:dyDescent="0.15">
      <c r="A14" s="47">
        <v>500121013</v>
      </c>
      <c r="B14" s="48">
        <v>0</v>
      </c>
      <c r="C14" s="48">
        <v>30</v>
      </c>
      <c r="D14" s="48">
        <v>100</v>
      </c>
      <c r="E14" s="48" t="s">
        <v>269</v>
      </c>
      <c r="F14" s="48" t="s">
        <v>270</v>
      </c>
      <c r="G14" s="48" t="s">
        <v>273</v>
      </c>
      <c r="H14" s="48">
        <v>2</v>
      </c>
      <c r="I14" s="48" t="s">
        <v>271</v>
      </c>
      <c r="J14" s="48">
        <f t="shared" si="0"/>
        <v>100</v>
      </c>
    </row>
    <row r="15" spans="1:11" ht="21" customHeight="1" x14ac:dyDescent="0.15">
      <c r="A15" s="47">
        <v>500121014</v>
      </c>
      <c r="B15" s="48">
        <v>0</v>
      </c>
      <c r="C15" s="48">
        <v>50</v>
      </c>
      <c r="D15" s="48">
        <v>100</v>
      </c>
      <c r="E15" s="48">
        <v>50</v>
      </c>
      <c r="F15" s="48" t="s">
        <v>270</v>
      </c>
      <c r="G15" s="48">
        <v>1</v>
      </c>
      <c r="H15" s="48">
        <v>1</v>
      </c>
      <c r="I15" s="48" t="s">
        <v>271</v>
      </c>
      <c r="J15" s="48">
        <f t="shared" si="0"/>
        <v>100</v>
      </c>
    </row>
    <row r="16" spans="1:11" ht="21" customHeight="1" x14ac:dyDescent="0.15">
      <c r="A16" s="47">
        <v>500121015</v>
      </c>
      <c r="B16" s="48">
        <v>1</v>
      </c>
      <c r="C16" s="48">
        <v>200</v>
      </c>
      <c r="D16" s="48">
        <v>100</v>
      </c>
      <c r="E16" s="48" t="s">
        <v>267</v>
      </c>
      <c r="F16" s="48" t="s">
        <v>267</v>
      </c>
      <c r="G16" s="48">
        <v>1</v>
      </c>
      <c r="H16" s="48" t="s">
        <v>267</v>
      </c>
      <c r="I16" s="48" t="s">
        <v>267</v>
      </c>
      <c r="J16" s="48">
        <f t="shared" si="0"/>
        <v>100</v>
      </c>
    </row>
    <row r="17" spans="1:10" ht="21" customHeight="1" x14ac:dyDescent="0.15">
      <c r="A17" s="47">
        <v>500121016</v>
      </c>
      <c r="B17" s="48">
        <v>0</v>
      </c>
      <c r="C17" s="48">
        <v>180</v>
      </c>
      <c r="D17" s="48">
        <v>100</v>
      </c>
      <c r="E17" s="48" t="s">
        <v>269</v>
      </c>
      <c r="F17" s="48" t="s">
        <v>270</v>
      </c>
      <c r="G17" s="48">
        <v>1</v>
      </c>
      <c r="H17" s="48">
        <v>1</v>
      </c>
      <c r="I17" s="48" t="s">
        <v>271</v>
      </c>
      <c r="J17" s="48">
        <f t="shared" si="0"/>
        <v>100</v>
      </c>
    </row>
    <row r="18" spans="1:10" ht="21" customHeight="1" x14ac:dyDescent="0.15">
      <c r="A18" s="47">
        <v>500121017</v>
      </c>
      <c r="B18" s="48">
        <v>0</v>
      </c>
      <c r="C18" s="48">
        <v>150</v>
      </c>
      <c r="D18" s="48">
        <v>100</v>
      </c>
      <c r="E18" s="48" t="s">
        <v>269</v>
      </c>
      <c r="F18" s="48" t="s">
        <v>270</v>
      </c>
      <c r="G18" s="48">
        <v>1</v>
      </c>
      <c r="H18" s="48">
        <v>2</v>
      </c>
      <c r="I18" s="48" t="s">
        <v>271</v>
      </c>
      <c r="J18" s="48">
        <f t="shared" si="0"/>
        <v>100</v>
      </c>
    </row>
    <row r="19" spans="1:10" ht="21" customHeight="1" x14ac:dyDescent="0.15">
      <c r="A19" s="47">
        <v>500121018</v>
      </c>
      <c r="B19" s="48">
        <v>0</v>
      </c>
      <c r="C19" s="48">
        <v>100</v>
      </c>
      <c r="D19" s="48">
        <v>100</v>
      </c>
      <c r="E19" s="48" t="s">
        <v>269</v>
      </c>
      <c r="F19" s="48" t="s">
        <v>270</v>
      </c>
      <c r="G19" s="48">
        <v>1</v>
      </c>
      <c r="H19" s="48">
        <v>3</v>
      </c>
      <c r="I19" s="48" t="s">
        <v>271</v>
      </c>
      <c r="J19" s="48">
        <f t="shared" si="0"/>
        <v>100</v>
      </c>
    </row>
    <row r="20" spans="1:10" ht="21" customHeight="1" x14ac:dyDescent="0.15">
      <c r="A20" s="47">
        <v>500121019</v>
      </c>
      <c r="B20" s="48">
        <v>0</v>
      </c>
      <c r="C20" s="48">
        <v>80</v>
      </c>
      <c r="D20" s="48">
        <v>100</v>
      </c>
      <c r="E20" s="48" t="s">
        <v>269</v>
      </c>
      <c r="F20" s="48" t="s">
        <v>270</v>
      </c>
      <c r="G20" s="48" t="s">
        <v>272</v>
      </c>
      <c r="H20" s="48">
        <v>2</v>
      </c>
      <c r="I20" s="48" t="s">
        <v>271</v>
      </c>
      <c r="J20" s="48">
        <f t="shared" si="0"/>
        <v>100</v>
      </c>
    </row>
    <row r="21" spans="1:10" ht="21" customHeight="1" x14ac:dyDescent="0.15">
      <c r="A21" s="47">
        <v>500121020</v>
      </c>
      <c r="B21" s="48">
        <v>0</v>
      </c>
      <c r="C21" s="48">
        <v>70</v>
      </c>
      <c r="D21" s="48">
        <v>100</v>
      </c>
      <c r="E21" s="48" t="s">
        <v>269</v>
      </c>
      <c r="F21" s="48" t="s">
        <v>270</v>
      </c>
      <c r="G21" s="48" t="s">
        <v>274</v>
      </c>
      <c r="H21" s="48">
        <v>1</v>
      </c>
      <c r="I21" s="48" t="s">
        <v>271</v>
      </c>
      <c r="J21" s="48">
        <f t="shared" si="0"/>
        <v>100</v>
      </c>
    </row>
    <row r="22" spans="1:10" ht="21" customHeight="1" x14ac:dyDescent="0.15">
      <c r="A22" s="47">
        <v>500121021</v>
      </c>
      <c r="B22" s="48">
        <v>0</v>
      </c>
      <c r="C22" s="48">
        <v>100</v>
      </c>
      <c r="D22" s="48">
        <v>100</v>
      </c>
      <c r="E22" s="48" t="s">
        <v>269</v>
      </c>
      <c r="F22" s="48" t="s">
        <v>270</v>
      </c>
      <c r="G22" s="48">
        <v>1</v>
      </c>
      <c r="H22" s="48">
        <v>8</v>
      </c>
      <c r="I22" s="48" t="s">
        <v>271</v>
      </c>
      <c r="J22" s="48">
        <f t="shared" si="0"/>
        <v>100</v>
      </c>
    </row>
    <row r="23" spans="1:10" ht="21" customHeight="1" x14ac:dyDescent="0.15">
      <c r="A23" s="47">
        <v>500121022</v>
      </c>
      <c r="B23" s="48">
        <v>0</v>
      </c>
      <c r="C23" s="48">
        <v>100</v>
      </c>
      <c r="D23" s="48">
        <v>100</v>
      </c>
      <c r="E23" s="48" t="s">
        <v>269</v>
      </c>
      <c r="F23" s="48" t="s">
        <v>270</v>
      </c>
      <c r="G23" s="48">
        <v>1</v>
      </c>
      <c r="H23" s="48">
        <v>9</v>
      </c>
      <c r="I23" s="48" t="s">
        <v>271</v>
      </c>
      <c r="J23" s="48">
        <f t="shared" si="0"/>
        <v>100</v>
      </c>
    </row>
    <row r="24" spans="1:10" ht="21" customHeight="1" x14ac:dyDescent="0.15">
      <c r="A24" s="47">
        <v>500121025</v>
      </c>
      <c r="B24" s="48">
        <v>1</v>
      </c>
      <c r="C24" s="48">
        <v>200</v>
      </c>
      <c r="D24" s="48">
        <v>100</v>
      </c>
      <c r="E24" s="48" t="s">
        <v>267</v>
      </c>
      <c r="F24" s="48" t="s">
        <v>267</v>
      </c>
      <c r="G24" s="48">
        <v>1</v>
      </c>
      <c r="H24" s="48" t="s">
        <v>267</v>
      </c>
      <c r="I24" s="48" t="s">
        <v>267</v>
      </c>
      <c r="J24" s="48">
        <f t="shared" si="0"/>
        <v>100</v>
      </c>
    </row>
    <row r="25" spans="1:10" ht="21" customHeight="1" x14ac:dyDescent="0.15">
      <c r="A25" s="47">
        <v>500121026</v>
      </c>
      <c r="B25" s="48">
        <v>0</v>
      </c>
      <c r="C25" s="48">
        <v>180</v>
      </c>
      <c r="D25" s="48">
        <v>100</v>
      </c>
      <c r="E25" s="48" t="s">
        <v>269</v>
      </c>
      <c r="F25" s="48" t="s">
        <v>270</v>
      </c>
      <c r="G25" s="48">
        <v>1</v>
      </c>
      <c r="H25" s="48">
        <v>1</v>
      </c>
      <c r="I25" s="48" t="s">
        <v>271</v>
      </c>
      <c r="J25" s="48">
        <f t="shared" si="0"/>
        <v>100</v>
      </c>
    </row>
    <row r="26" spans="1:10" ht="21" customHeight="1" x14ac:dyDescent="0.15">
      <c r="A26" s="47">
        <v>500121027</v>
      </c>
      <c r="B26" s="48">
        <v>0</v>
      </c>
      <c r="C26" s="48">
        <v>150</v>
      </c>
      <c r="D26" s="48">
        <v>100</v>
      </c>
      <c r="E26" s="48" t="s">
        <v>269</v>
      </c>
      <c r="F26" s="48" t="s">
        <v>270</v>
      </c>
      <c r="G26" s="48">
        <v>1</v>
      </c>
      <c r="H26" s="48">
        <v>2</v>
      </c>
      <c r="I26" s="48" t="s">
        <v>271</v>
      </c>
      <c r="J26" s="48">
        <f t="shared" si="0"/>
        <v>100</v>
      </c>
    </row>
    <row r="27" spans="1:10" ht="21" customHeight="1" x14ac:dyDescent="0.15">
      <c r="A27" s="47">
        <v>500121028</v>
      </c>
      <c r="B27" s="48">
        <v>0</v>
      </c>
      <c r="C27" s="48">
        <v>100</v>
      </c>
      <c r="D27" s="48">
        <v>100</v>
      </c>
      <c r="E27" s="48" t="s">
        <v>269</v>
      </c>
      <c r="F27" s="48" t="s">
        <v>270</v>
      </c>
      <c r="G27" s="48">
        <v>1</v>
      </c>
      <c r="H27" s="48">
        <v>3</v>
      </c>
      <c r="I27" s="48" t="s">
        <v>271</v>
      </c>
      <c r="J27" s="48">
        <f t="shared" si="0"/>
        <v>100</v>
      </c>
    </row>
    <row r="28" spans="1:10" ht="21" customHeight="1" x14ac:dyDescent="0.15">
      <c r="A28" s="47">
        <v>500121029</v>
      </c>
      <c r="B28" s="48">
        <v>0</v>
      </c>
      <c r="C28" s="48">
        <v>80</v>
      </c>
      <c r="D28" s="48">
        <v>100</v>
      </c>
      <c r="E28" s="48" t="s">
        <v>269</v>
      </c>
      <c r="F28" s="48" t="s">
        <v>270</v>
      </c>
      <c r="G28" s="48" t="s">
        <v>272</v>
      </c>
      <c r="H28" s="48">
        <v>2</v>
      </c>
      <c r="I28" s="48" t="s">
        <v>271</v>
      </c>
      <c r="J28" s="48">
        <f t="shared" si="0"/>
        <v>100</v>
      </c>
    </row>
    <row r="29" spans="1:10" ht="21" customHeight="1" x14ac:dyDescent="0.15">
      <c r="A29" s="47">
        <v>500121030</v>
      </c>
      <c r="B29" s="48">
        <v>0</v>
      </c>
      <c r="C29" s="48">
        <v>70</v>
      </c>
      <c r="D29" s="48">
        <v>100</v>
      </c>
      <c r="E29" s="48" t="s">
        <v>269</v>
      </c>
      <c r="F29" s="48" t="s">
        <v>270</v>
      </c>
      <c r="G29" s="48" t="s">
        <v>274</v>
      </c>
      <c r="H29" s="48">
        <v>1</v>
      </c>
      <c r="I29" s="48" t="s">
        <v>267</v>
      </c>
      <c r="J29" s="48">
        <f t="shared" si="0"/>
        <v>100</v>
      </c>
    </row>
    <row r="30" spans="1:10" ht="21" customHeight="1" x14ac:dyDescent="0.15">
      <c r="A30" s="47">
        <v>500121031</v>
      </c>
      <c r="B30" s="48">
        <v>0</v>
      </c>
      <c r="C30" s="48">
        <v>100</v>
      </c>
      <c r="D30" s="48">
        <v>100</v>
      </c>
      <c r="E30" s="48" t="s">
        <v>269</v>
      </c>
      <c r="F30" s="48" t="s">
        <v>270</v>
      </c>
      <c r="G30" s="48">
        <v>1</v>
      </c>
      <c r="H30" s="48">
        <v>8</v>
      </c>
      <c r="I30" s="48" t="s">
        <v>271</v>
      </c>
      <c r="J30" s="48">
        <f t="shared" si="0"/>
        <v>100</v>
      </c>
    </row>
    <row r="31" spans="1:10" ht="21" customHeight="1" x14ac:dyDescent="0.15">
      <c r="A31" s="47">
        <v>500121032</v>
      </c>
      <c r="B31" s="48">
        <v>0</v>
      </c>
      <c r="C31" s="48">
        <v>100</v>
      </c>
      <c r="D31" s="48">
        <v>100</v>
      </c>
      <c r="E31" s="48" t="s">
        <v>269</v>
      </c>
      <c r="F31" s="48" t="s">
        <v>270</v>
      </c>
      <c r="G31" s="48">
        <v>1</v>
      </c>
      <c r="H31" s="48">
        <v>9</v>
      </c>
      <c r="I31" s="48" t="s">
        <v>271</v>
      </c>
      <c r="J31" s="48">
        <f t="shared" si="0"/>
        <v>100</v>
      </c>
    </row>
    <row r="32" spans="1:10" ht="21" customHeight="1" x14ac:dyDescent="0.15">
      <c r="A32" s="47">
        <v>500121035</v>
      </c>
      <c r="B32" s="48">
        <v>1</v>
      </c>
      <c r="C32" s="48">
        <v>200</v>
      </c>
      <c r="D32" s="48">
        <v>100</v>
      </c>
      <c r="E32" s="48" t="s">
        <v>267</v>
      </c>
      <c r="F32" s="48" t="s">
        <v>267</v>
      </c>
      <c r="G32" s="48">
        <v>1</v>
      </c>
      <c r="H32" s="48" t="s">
        <v>267</v>
      </c>
      <c r="I32" s="48" t="s">
        <v>271</v>
      </c>
      <c r="J32" s="48">
        <f t="shared" si="0"/>
        <v>100</v>
      </c>
    </row>
    <row r="33" spans="1:10" ht="21" customHeight="1" x14ac:dyDescent="0.15">
      <c r="A33" s="47">
        <v>500121036</v>
      </c>
      <c r="B33" s="48">
        <v>0</v>
      </c>
      <c r="C33" s="48">
        <v>180</v>
      </c>
      <c r="D33" s="48">
        <v>100</v>
      </c>
      <c r="E33" s="48" t="s">
        <v>267</v>
      </c>
      <c r="F33" s="48" t="s">
        <v>267</v>
      </c>
      <c r="G33" s="48">
        <v>1</v>
      </c>
      <c r="H33" s="48">
        <v>1</v>
      </c>
      <c r="I33" s="48" t="s">
        <v>271</v>
      </c>
      <c r="J33" s="48">
        <f t="shared" si="0"/>
        <v>100</v>
      </c>
    </row>
    <row r="34" spans="1:10" ht="21" customHeight="1" x14ac:dyDescent="0.15">
      <c r="A34" s="47">
        <v>500121037</v>
      </c>
      <c r="B34" s="48">
        <v>0</v>
      </c>
      <c r="C34" s="48">
        <v>170</v>
      </c>
      <c r="D34" s="48">
        <v>100</v>
      </c>
      <c r="E34" s="48" t="s">
        <v>267</v>
      </c>
      <c r="F34" s="48" t="s">
        <v>267</v>
      </c>
      <c r="G34" s="48">
        <v>1</v>
      </c>
      <c r="H34" s="48">
        <v>2</v>
      </c>
      <c r="I34" s="48" t="s">
        <v>271</v>
      </c>
      <c r="J34" s="48">
        <f t="shared" si="0"/>
        <v>100</v>
      </c>
    </row>
    <row r="35" spans="1:10" ht="21" customHeight="1" x14ac:dyDescent="0.15">
      <c r="A35" s="47">
        <v>500121038</v>
      </c>
      <c r="B35" s="48">
        <v>0</v>
      </c>
      <c r="C35" s="48">
        <v>160</v>
      </c>
      <c r="D35" s="48">
        <v>100</v>
      </c>
      <c r="E35" s="48" t="s">
        <v>267</v>
      </c>
      <c r="F35" s="48" t="s">
        <v>267</v>
      </c>
      <c r="G35" s="48">
        <v>1</v>
      </c>
      <c r="H35" s="48">
        <v>3</v>
      </c>
      <c r="I35" s="48" t="s">
        <v>267</v>
      </c>
      <c r="J35" s="48">
        <f t="shared" si="0"/>
        <v>100</v>
      </c>
    </row>
    <row r="36" spans="1:10" ht="21" customHeight="1" x14ac:dyDescent="0.15">
      <c r="A36" s="47">
        <v>500121039</v>
      </c>
      <c r="B36" s="48">
        <v>0</v>
      </c>
      <c r="C36" s="48">
        <v>150</v>
      </c>
      <c r="D36" s="48">
        <v>100</v>
      </c>
      <c r="E36" s="48" t="s">
        <v>267</v>
      </c>
      <c r="F36" s="48" t="s">
        <v>267</v>
      </c>
      <c r="G36" s="48">
        <v>1</v>
      </c>
      <c r="H36" s="48">
        <v>4</v>
      </c>
      <c r="I36" s="48" t="s">
        <v>271</v>
      </c>
      <c r="J36" s="48">
        <f t="shared" si="0"/>
        <v>100</v>
      </c>
    </row>
    <row r="37" spans="1:10" ht="21" customHeight="1" x14ac:dyDescent="0.15">
      <c r="A37" s="47">
        <v>500121040</v>
      </c>
      <c r="B37" s="48">
        <v>0</v>
      </c>
      <c r="C37" s="48">
        <v>140</v>
      </c>
      <c r="D37" s="48">
        <v>100</v>
      </c>
      <c r="E37" s="48" t="s">
        <v>267</v>
      </c>
      <c r="F37" s="48" t="s">
        <v>267</v>
      </c>
      <c r="G37" s="48">
        <v>1</v>
      </c>
      <c r="H37" s="48">
        <v>5</v>
      </c>
      <c r="I37" s="48" t="s">
        <v>267</v>
      </c>
      <c r="J37" s="48">
        <f t="shared" si="0"/>
        <v>100</v>
      </c>
    </row>
    <row r="38" spans="1:10" ht="21" customHeight="1" x14ac:dyDescent="0.15">
      <c r="A38" s="47">
        <v>500121041</v>
      </c>
      <c r="B38" s="48">
        <v>0</v>
      </c>
      <c r="C38" s="48">
        <v>130</v>
      </c>
      <c r="D38" s="48">
        <v>100</v>
      </c>
      <c r="E38" s="48" t="s">
        <v>267</v>
      </c>
      <c r="F38" s="48" t="s">
        <v>267</v>
      </c>
      <c r="G38" s="48">
        <v>1</v>
      </c>
      <c r="H38" s="48">
        <v>6</v>
      </c>
      <c r="I38" s="48" t="s">
        <v>271</v>
      </c>
      <c r="J38" s="48">
        <f t="shared" si="0"/>
        <v>100</v>
      </c>
    </row>
    <row r="39" spans="1:10" ht="21" customHeight="1" x14ac:dyDescent="0.15">
      <c r="A39" s="47">
        <v>500121042</v>
      </c>
      <c r="B39" s="48">
        <v>0</v>
      </c>
      <c r="C39" s="48">
        <v>120</v>
      </c>
      <c r="D39" s="48">
        <v>100</v>
      </c>
      <c r="E39" s="48" t="s">
        <v>267</v>
      </c>
      <c r="F39" s="48" t="s">
        <v>267</v>
      </c>
      <c r="G39" s="48">
        <v>1</v>
      </c>
      <c r="H39" s="48">
        <v>7</v>
      </c>
      <c r="I39" s="48" t="s">
        <v>271</v>
      </c>
      <c r="J39" s="48">
        <f t="shared" si="0"/>
        <v>100</v>
      </c>
    </row>
    <row r="40" spans="1:10" ht="21" customHeight="1" x14ac:dyDescent="0.15">
      <c r="A40" s="47">
        <v>500121043</v>
      </c>
      <c r="B40" s="48">
        <v>0</v>
      </c>
      <c r="C40" s="48">
        <v>100</v>
      </c>
      <c r="D40" s="48">
        <v>65</v>
      </c>
      <c r="E40" s="48" t="s">
        <v>267</v>
      </c>
      <c r="F40" s="48" t="s">
        <v>267</v>
      </c>
      <c r="G40" s="48" t="s">
        <v>275</v>
      </c>
      <c r="H40" s="48" t="s">
        <v>275</v>
      </c>
      <c r="I40" s="48" t="s">
        <v>271</v>
      </c>
      <c r="J40" s="48">
        <f t="shared" si="0"/>
        <v>65</v>
      </c>
    </row>
    <row r="41" spans="1:10" ht="21" customHeight="1" x14ac:dyDescent="0.15">
      <c r="A41" s="47">
        <v>500121044</v>
      </c>
      <c r="B41" s="48">
        <v>1</v>
      </c>
      <c r="C41" s="48">
        <v>200</v>
      </c>
      <c r="D41" s="48">
        <v>100</v>
      </c>
      <c r="E41" s="48" t="s">
        <v>267</v>
      </c>
      <c r="F41" s="48" t="s">
        <v>267</v>
      </c>
      <c r="G41" s="48">
        <v>1</v>
      </c>
      <c r="H41" s="48" t="s">
        <v>267</v>
      </c>
      <c r="I41" s="48" t="s">
        <v>271</v>
      </c>
      <c r="J41" s="48">
        <f t="shared" si="0"/>
        <v>100</v>
      </c>
    </row>
    <row r="42" spans="1:10" ht="21" customHeight="1" x14ac:dyDescent="0.15">
      <c r="A42" s="47">
        <v>500121045</v>
      </c>
      <c r="B42" s="48">
        <v>0</v>
      </c>
      <c r="C42" s="48">
        <v>180</v>
      </c>
      <c r="D42" s="48">
        <v>100</v>
      </c>
      <c r="E42" s="48" t="s">
        <v>267</v>
      </c>
      <c r="F42" s="48" t="s">
        <v>267</v>
      </c>
      <c r="G42" s="48">
        <v>1</v>
      </c>
      <c r="H42" s="48">
        <v>1</v>
      </c>
      <c r="I42" s="48" t="s">
        <v>267</v>
      </c>
      <c r="J42" s="48">
        <f t="shared" si="0"/>
        <v>100</v>
      </c>
    </row>
    <row r="43" spans="1:10" ht="21" customHeight="1" x14ac:dyDescent="0.15">
      <c r="A43" s="47">
        <v>500121046</v>
      </c>
      <c r="B43" s="48">
        <v>0</v>
      </c>
      <c r="C43" s="48">
        <v>170</v>
      </c>
      <c r="D43" s="48">
        <v>100</v>
      </c>
      <c r="E43" s="48" t="s">
        <v>267</v>
      </c>
      <c r="F43" s="48" t="s">
        <v>267</v>
      </c>
      <c r="G43" s="48">
        <v>1</v>
      </c>
      <c r="H43" s="48">
        <v>2</v>
      </c>
      <c r="I43" s="48" t="s">
        <v>271</v>
      </c>
      <c r="J43" s="48">
        <f t="shared" si="0"/>
        <v>100</v>
      </c>
    </row>
    <row r="44" spans="1:10" ht="21" customHeight="1" x14ac:dyDescent="0.15">
      <c r="A44" s="47">
        <v>500121047</v>
      </c>
      <c r="B44" s="48">
        <v>0</v>
      </c>
      <c r="C44" s="48">
        <v>160</v>
      </c>
      <c r="D44" s="48">
        <v>100</v>
      </c>
      <c r="E44" s="48" t="s">
        <v>267</v>
      </c>
      <c r="F44" s="48" t="s">
        <v>267</v>
      </c>
      <c r="G44" s="48">
        <v>1</v>
      </c>
      <c r="H44" s="48">
        <v>3</v>
      </c>
      <c r="I44" s="48" t="s">
        <v>271</v>
      </c>
      <c r="J44" s="48">
        <f t="shared" si="0"/>
        <v>100</v>
      </c>
    </row>
    <row r="45" spans="1:10" ht="21" customHeight="1" x14ac:dyDescent="0.15">
      <c r="A45" s="47">
        <v>500121048</v>
      </c>
      <c r="B45" s="48">
        <v>0</v>
      </c>
      <c r="C45" s="48">
        <v>150</v>
      </c>
      <c r="D45" s="48">
        <v>100</v>
      </c>
      <c r="E45" s="48" t="s">
        <v>267</v>
      </c>
      <c r="F45" s="48" t="s">
        <v>267</v>
      </c>
      <c r="G45" s="48">
        <v>1</v>
      </c>
      <c r="H45" s="48">
        <v>4</v>
      </c>
      <c r="I45" s="48" t="s">
        <v>271</v>
      </c>
      <c r="J45" s="48">
        <f t="shared" si="0"/>
        <v>100</v>
      </c>
    </row>
    <row r="46" spans="1:10" ht="21" customHeight="1" x14ac:dyDescent="0.15">
      <c r="A46" s="47">
        <v>500121049</v>
      </c>
      <c r="B46" s="48">
        <v>0</v>
      </c>
      <c r="C46" s="48">
        <v>140</v>
      </c>
      <c r="D46" s="48">
        <v>100</v>
      </c>
      <c r="E46" s="48" t="s">
        <v>267</v>
      </c>
      <c r="F46" s="48" t="s">
        <v>267</v>
      </c>
      <c r="G46" s="48">
        <v>1</v>
      </c>
      <c r="H46" s="48">
        <v>5</v>
      </c>
      <c r="I46" s="48" t="s">
        <v>271</v>
      </c>
      <c r="J46" s="48">
        <f t="shared" si="0"/>
        <v>100</v>
      </c>
    </row>
    <row r="47" spans="1:10" ht="21" customHeight="1" x14ac:dyDescent="0.15">
      <c r="A47" s="47">
        <v>500121050</v>
      </c>
      <c r="B47" s="48">
        <v>0</v>
      </c>
      <c r="C47" s="48">
        <v>130</v>
      </c>
      <c r="D47" s="48">
        <v>100</v>
      </c>
      <c r="E47" s="48" t="s">
        <v>267</v>
      </c>
      <c r="F47" s="48" t="s">
        <v>267</v>
      </c>
      <c r="G47" s="48">
        <v>1</v>
      </c>
      <c r="H47" s="48">
        <v>6</v>
      </c>
      <c r="I47" s="48" t="s">
        <v>271</v>
      </c>
      <c r="J47" s="48">
        <f t="shared" si="0"/>
        <v>100</v>
      </c>
    </row>
    <row r="48" spans="1:10" ht="21" customHeight="1" x14ac:dyDescent="0.15">
      <c r="A48" s="47">
        <v>500121051</v>
      </c>
      <c r="B48" s="48">
        <v>0</v>
      </c>
      <c r="C48" s="48">
        <v>100</v>
      </c>
      <c r="D48" s="48">
        <v>65</v>
      </c>
      <c r="E48" s="48" t="s">
        <v>267</v>
      </c>
      <c r="F48" s="48" t="s">
        <v>267</v>
      </c>
      <c r="G48" s="48" t="s">
        <v>275</v>
      </c>
      <c r="H48" s="48" t="s">
        <v>275</v>
      </c>
      <c r="I48" s="48" t="s">
        <v>267</v>
      </c>
      <c r="J48" s="48">
        <f t="shared" si="0"/>
        <v>65</v>
      </c>
    </row>
    <row r="49" spans="1:10" ht="21" customHeight="1" x14ac:dyDescent="0.15">
      <c r="A49" s="47">
        <v>500121052</v>
      </c>
      <c r="B49" s="48">
        <v>0</v>
      </c>
      <c r="C49" s="48">
        <v>100</v>
      </c>
      <c r="D49" s="48">
        <v>100</v>
      </c>
      <c r="E49" s="48">
        <v>25</v>
      </c>
      <c r="F49" s="48" t="s">
        <v>267</v>
      </c>
      <c r="G49" s="48">
        <v>1</v>
      </c>
      <c r="H49" s="48" t="s">
        <v>275</v>
      </c>
      <c r="I49" s="48" t="s">
        <v>267</v>
      </c>
      <c r="J49" s="48">
        <f t="shared" si="0"/>
        <v>100</v>
      </c>
    </row>
    <row r="50" spans="1:10" ht="21" customHeight="1" x14ac:dyDescent="0.15">
      <c r="A50" s="47">
        <v>500121053</v>
      </c>
      <c r="B50" s="48">
        <v>1</v>
      </c>
      <c r="C50" s="48">
        <v>200</v>
      </c>
      <c r="D50" s="48">
        <v>100</v>
      </c>
      <c r="E50" s="48" t="s">
        <v>267</v>
      </c>
      <c r="F50" s="48" t="s">
        <v>267</v>
      </c>
      <c r="G50" s="48">
        <v>1</v>
      </c>
      <c r="H50" s="48" t="s">
        <v>267</v>
      </c>
      <c r="I50" s="48" t="s">
        <v>267</v>
      </c>
      <c r="J50" s="48">
        <f t="shared" si="0"/>
        <v>100</v>
      </c>
    </row>
    <row r="51" spans="1:10" ht="21" customHeight="1" x14ac:dyDescent="0.15">
      <c r="A51" s="47">
        <v>500121054</v>
      </c>
      <c r="B51" s="48">
        <v>0</v>
      </c>
      <c r="C51" s="48">
        <v>180</v>
      </c>
      <c r="D51" s="48">
        <v>100</v>
      </c>
      <c r="E51" s="48" t="s">
        <v>267</v>
      </c>
      <c r="F51" s="48" t="s">
        <v>267</v>
      </c>
      <c r="G51" s="48">
        <v>1</v>
      </c>
      <c r="H51" s="48">
        <v>1</v>
      </c>
      <c r="I51" s="48" t="s">
        <v>267</v>
      </c>
      <c r="J51" s="48">
        <f t="shared" si="0"/>
        <v>100</v>
      </c>
    </row>
    <row r="52" spans="1:10" ht="21" customHeight="1" x14ac:dyDescent="0.15">
      <c r="A52" s="47">
        <v>500121055</v>
      </c>
      <c r="B52" s="48">
        <v>0</v>
      </c>
      <c r="C52" s="48">
        <v>170</v>
      </c>
      <c r="D52" s="48">
        <v>100</v>
      </c>
      <c r="E52" s="48" t="s">
        <v>267</v>
      </c>
      <c r="F52" s="48" t="s">
        <v>267</v>
      </c>
      <c r="G52" s="48">
        <v>1</v>
      </c>
      <c r="H52" s="48">
        <v>2</v>
      </c>
      <c r="I52" s="48" t="s">
        <v>267</v>
      </c>
      <c r="J52" s="48">
        <f t="shared" si="0"/>
        <v>100</v>
      </c>
    </row>
    <row r="53" spans="1:10" ht="21" customHeight="1" x14ac:dyDescent="0.15">
      <c r="A53" s="47">
        <v>500121056</v>
      </c>
      <c r="B53" s="48">
        <v>0</v>
      </c>
      <c r="C53" s="48">
        <v>160</v>
      </c>
      <c r="D53" s="48">
        <v>100</v>
      </c>
      <c r="E53" s="48" t="s">
        <v>267</v>
      </c>
      <c r="F53" s="48" t="s">
        <v>267</v>
      </c>
      <c r="G53" s="48">
        <v>1</v>
      </c>
      <c r="H53" s="48">
        <v>3</v>
      </c>
      <c r="I53" s="48" t="s">
        <v>267</v>
      </c>
      <c r="J53" s="48">
        <f t="shared" si="0"/>
        <v>100</v>
      </c>
    </row>
    <row r="54" spans="1:10" ht="21" customHeight="1" x14ac:dyDescent="0.15">
      <c r="A54" s="47">
        <v>500121057</v>
      </c>
      <c r="B54" s="48">
        <v>0</v>
      </c>
      <c r="C54" s="48">
        <v>150</v>
      </c>
      <c r="D54" s="48">
        <v>100</v>
      </c>
      <c r="E54" s="48" t="s">
        <v>267</v>
      </c>
      <c r="F54" s="48" t="s">
        <v>267</v>
      </c>
      <c r="G54" s="48">
        <v>1</v>
      </c>
      <c r="H54" s="48">
        <v>4</v>
      </c>
      <c r="I54" s="48" t="s">
        <v>267</v>
      </c>
      <c r="J54" s="48">
        <f t="shared" si="0"/>
        <v>100</v>
      </c>
    </row>
    <row r="55" spans="1:10" ht="21" customHeight="1" x14ac:dyDescent="0.15">
      <c r="A55" s="47">
        <v>500121058</v>
      </c>
      <c r="B55" s="48">
        <v>0</v>
      </c>
      <c r="C55" s="48">
        <v>140</v>
      </c>
      <c r="D55" s="48">
        <v>100</v>
      </c>
      <c r="E55" s="48" t="s">
        <v>267</v>
      </c>
      <c r="F55" s="48" t="s">
        <v>267</v>
      </c>
      <c r="G55" s="48">
        <v>1</v>
      </c>
      <c r="H55" s="48">
        <v>5</v>
      </c>
      <c r="I55" s="48" t="s">
        <v>267</v>
      </c>
      <c r="J55" s="48">
        <f t="shared" si="0"/>
        <v>100</v>
      </c>
    </row>
    <row r="56" spans="1:10" ht="21" customHeight="1" x14ac:dyDescent="0.15">
      <c r="A56" s="47">
        <v>500121059</v>
      </c>
      <c r="B56" s="48">
        <v>0</v>
      </c>
      <c r="C56" s="48">
        <v>130</v>
      </c>
      <c r="D56" s="48">
        <v>100</v>
      </c>
      <c r="E56" s="48" t="s">
        <v>267</v>
      </c>
      <c r="F56" s="48" t="s">
        <v>267</v>
      </c>
      <c r="G56" s="48">
        <v>1</v>
      </c>
      <c r="H56" s="48">
        <v>6</v>
      </c>
      <c r="I56" s="48" t="s">
        <v>267</v>
      </c>
      <c r="J56" s="48">
        <f t="shared" si="0"/>
        <v>100</v>
      </c>
    </row>
    <row r="57" spans="1:10" ht="21" customHeight="1" x14ac:dyDescent="0.15">
      <c r="A57" s="47">
        <v>500121060</v>
      </c>
      <c r="B57" s="48">
        <v>0</v>
      </c>
      <c r="C57" s="48">
        <v>120</v>
      </c>
      <c r="D57" s="48">
        <v>100</v>
      </c>
      <c r="E57" s="48" t="s">
        <v>267</v>
      </c>
      <c r="F57" s="48" t="s">
        <v>267</v>
      </c>
      <c r="G57" s="48">
        <v>1</v>
      </c>
      <c r="H57" s="48">
        <v>7</v>
      </c>
      <c r="I57" s="48" t="s">
        <v>267</v>
      </c>
      <c r="J57" s="48">
        <f t="shared" si="0"/>
        <v>100</v>
      </c>
    </row>
    <row r="58" spans="1:10" ht="21" customHeight="1" x14ac:dyDescent="0.15">
      <c r="A58" s="47">
        <v>500121061</v>
      </c>
      <c r="B58" s="48">
        <v>0</v>
      </c>
      <c r="C58" s="48">
        <v>100</v>
      </c>
      <c r="D58" s="48">
        <v>65</v>
      </c>
      <c r="E58" s="48" t="s">
        <v>267</v>
      </c>
      <c r="F58" s="48" t="s">
        <v>267</v>
      </c>
      <c r="G58" s="48" t="s">
        <v>275</v>
      </c>
      <c r="H58" s="48" t="s">
        <v>275</v>
      </c>
      <c r="I58" s="48" t="s">
        <v>267</v>
      </c>
      <c r="J58" s="48">
        <f t="shared" si="0"/>
        <v>65</v>
      </c>
    </row>
    <row r="59" spans="1:10" ht="21" customHeight="1" x14ac:dyDescent="0.15">
      <c r="A59" s="47">
        <v>500121062</v>
      </c>
      <c r="B59" s="48">
        <v>0</v>
      </c>
      <c r="C59" s="48">
        <v>100</v>
      </c>
      <c r="D59" s="48">
        <v>100</v>
      </c>
      <c r="E59" s="48" t="s">
        <v>267</v>
      </c>
      <c r="F59" s="48" t="s">
        <v>267</v>
      </c>
      <c r="G59" s="48" t="s">
        <v>275</v>
      </c>
      <c r="H59" s="48">
        <v>0</v>
      </c>
      <c r="I59" s="48" t="s">
        <v>267</v>
      </c>
      <c r="J59" s="48">
        <f t="shared" si="0"/>
        <v>100</v>
      </c>
    </row>
    <row r="60" spans="1:10" ht="21" customHeight="1" x14ac:dyDescent="0.15">
      <c r="A60" s="47">
        <v>500121063</v>
      </c>
      <c r="B60" s="48">
        <v>0</v>
      </c>
      <c r="C60" s="48">
        <v>100</v>
      </c>
      <c r="D60" s="48">
        <v>100</v>
      </c>
      <c r="E60" s="48" t="s">
        <v>267</v>
      </c>
      <c r="F60" s="48" t="s">
        <v>267</v>
      </c>
      <c r="G60" s="48" t="s">
        <v>275</v>
      </c>
      <c r="H60" s="48">
        <v>0</v>
      </c>
      <c r="I60" s="48" t="s">
        <v>267</v>
      </c>
      <c r="J60" s="48">
        <f t="shared" si="0"/>
        <v>100</v>
      </c>
    </row>
    <row r="61" spans="1:10" ht="21" customHeight="1" x14ac:dyDescent="0.15">
      <c r="A61" s="47">
        <v>500121064</v>
      </c>
      <c r="B61" s="48">
        <v>0</v>
      </c>
      <c r="C61" s="48">
        <v>100</v>
      </c>
      <c r="D61" s="48">
        <v>100</v>
      </c>
      <c r="E61" s="48" t="s">
        <v>267</v>
      </c>
      <c r="F61" s="48" t="s">
        <v>267</v>
      </c>
      <c r="G61" s="48" t="s">
        <v>275</v>
      </c>
      <c r="H61" s="48">
        <v>0</v>
      </c>
      <c r="I61" s="48" t="s">
        <v>267</v>
      </c>
      <c r="J61" s="48">
        <f t="shared" si="0"/>
        <v>100</v>
      </c>
    </row>
    <row r="62" spans="1:10" ht="21" customHeight="1" x14ac:dyDescent="0.15">
      <c r="A62" s="47">
        <v>500121065</v>
      </c>
      <c r="B62" s="48">
        <v>1</v>
      </c>
      <c r="C62" s="48">
        <v>200</v>
      </c>
      <c r="D62" s="48">
        <v>100</v>
      </c>
      <c r="E62" s="48" t="s">
        <v>267</v>
      </c>
      <c r="F62" s="48" t="s">
        <v>267</v>
      </c>
      <c r="G62" s="48">
        <v>1</v>
      </c>
      <c r="H62" s="48" t="s">
        <v>267</v>
      </c>
      <c r="I62" s="48" t="s">
        <v>267</v>
      </c>
      <c r="J62" s="48">
        <f t="shared" si="0"/>
        <v>100</v>
      </c>
    </row>
    <row r="63" spans="1:10" ht="21" customHeight="1" x14ac:dyDescent="0.15">
      <c r="A63" s="47">
        <v>500121066</v>
      </c>
      <c r="B63" s="48">
        <v>0</v>
      </c>
      <c r="C63" s="48">
        <v>100</v>
      </c>
      <c r="D63" s="48">
        <v>100</v>
      </c>
      <c r="E63" s="48" t="s">
        <v>267</v>
      </c>
      <c r="F63" s="48" t="s">
        <v>267</v>
      </c>
      <c r="G63" s="48" t="s">
        <v>275</v>
      </c>
      <c r="H63" s="48">
        <v>0</v>
      </c>
      <c r="I63" s="48" t="s">
        <v>267</v>
      </c>
      <c r="J63" s="48">
        <f t="shared" si="0"/>
        <v>100</v>
      </c>
    </row>
    <row r="64" spans="1:10" ht="21" customHeight="1" x14ac:dyDescent="0.15">
      <c r="A64" s="47">
        <v>500121067</v>
      </c>
      <c r="B64" s="48">
        <v>0</v>
      </c>
      <c r="C64" s="48">
        <v>500</v>
      </c>
      <c r="D64" s="48">
        <v>100</v>
      </c>
      <c r="E64" s="48" t="s">
        <v>267</v>
      </c>
      <c r="F64" s="48" t="s">
        <v>267</v>
      </c>
      <c r="G64" s="48">
        <v>1</v>
      </c>
      <c r="H64" s="48">
        <v>3</v>
      </c>
      <c r="I64" s="48" t="s">
        <v>267</v>
      </c>
      <c r="J64" s="48">
        <f t="shared" ref="J64" si="1">D64</f>
        <v>100</v>
      </c>
    </row>
    <row r="65" spans="1:10" ht="21" customHeight="1" x14ac:dyDescent="0.15">
      <c r="A65" s="47">
        <v>500121068</v>
      </c>
      <c r="B65" s="48">
        <v>0</v>
      </c>
      <c r="C65" s="48">
        <v>500</v>
      </c>
      <c r="D65" s="48">
        <v>100</v>
      </c>
      <c r="E65" s="48" t="s">
        <v>267</v>
      </c>
      <c r="F65" s="48" t="s">
        <v>267</v>
      </c>
      <c r="G65" s="48">
        <v>1</v>
      </c>
      <c r="H65" s="48">
        <v>6</v>
      </c>
      <c r="I65" s="48" t="s">
        <v>267</v>
      </c>
      <c r="J65" s="48">
        <f t="shared" ref="J65:J77" si="2">D65</f>
        <v>100</v>
      </c>
    </row>
    <row r="66" spans="1:10" ht="21" customHeight="1" x14ac:dyDescent="0.15">
      <c r="A66" s="47">
        <v>500121072</v>
      </c>
      <c r="B66" s="48">
        <v>1</v>
      </c>
      <c r="C66" s="48">
        <v>300</v>
      </c>
      <c r="D66" s="48">
        <v>100</v>
      </c>
      <c r="E66" s="48" t="s">
        <v>267</v>
      </c>
      <c r="F66" s="48" t="s">
        <v>267</v>
      </c>
      <c r="G66" s="48">
        <v>1</v>
      </c>
      <c r="H66" s="48" t="s">
        <v>267</v>
      </c>
      <c r="I66" s="48">
        <v>726</v>
      </c>
      <c r="J66" s="48">
        <f t="shared" si="2"/>
        <v>100</v>
      </c>
    </row>
    <row r="67" spans="1:10" ht="21" customHeight="1" x14ac:dyDescent="0.15">
      <c r="A67" s="47">
        <v>500121075</v>
      </c>
      <c r="B67" s="48">
        <v>1</v>
      </c>
      <c r="C67" s="48">
        <v>297</v>
      </c>
      <c r="D67" s="48">
        <v>100</v>
      </c>
      <c r="E67" s="48" t="s">
        <v>267</v>
      </c>
      <c r="F67" s="48" t="s">
        <v>267</v>
      </c>
      <c r="G67" s="48">
        <v>1</v>
      </c>
      <c r="H67" s="48" t="s">
        <v>267</v>
      </c>
      <c r="I67" s="48">
        <v>573</v>
      </c>
      <c r="J67" s="48">
        <f t="shared" si="2"/>
        <v>100</v>
      </c>
    </row>
    <row r="68" spans="1:10" ht="21" customHeight="1" x14ac:dyDescent="0.15">
      <c r="A68" s="47">
        <v>500121079</v>
      </c>
      <c r="B68" s="48">
        <v>0</v>
      </c>
      <c r="C68" s="48">
        <v>50</v>
      </c>
      <c r="D68" s="48">
        <v>100</v>
      </c>
      <c r="E68" s="48" t="s">
        <v>427</v>
      </c>
      <c r="F68" s="48" t="s">
        <v>428</v>
      </c>
      <c r="G68" s="48">
        <v>0</v>
      </c>
      <c r="H68" s="48" t="s">
        <v>426</v>
      </c>
      <c r="I68" s="48">
        <v>0</v>
      </c>
      <c r="J68" s="48">
        <f t="shared" si="2"/>
        <v>100</v>
      </c>
    </row>
    <row r="69" spans="1:10" ht="21" customHeight="1" x14ac:dyDescent="0.15">
      <c r="A69" s="47">
        <v>500121080</v>
      </c>
      <c r="B69" s="48">
        <v>0</v>
      </c>
      <c r="C69" s="48">
        <v>100</v>
      </c>
      <c r="D69" s="48">
        <v>100</v>
      </c>
      <c r="E69" s="48" t="s">
        <v>427</v>
      </c>
      <c r="F69" s="48" t="s">
        <v>428</v>
      </c>
      <c r="G69" s="48">
        <v>0</v>
      </c>
      <c r="H69" s="48" t="s">
        <v>426</v>
      </c>
      <c r="I69" s="48">
        <v>1222</v>
      </c>
      <c r="J69" s="48">
        <f t="shared" si="2"/>
        <v>100</v>
      </c>
    </row>
    <row r="70" spans="1:10" ht="21" customHeight="1" x14ac:dyDescent="0.15">
      <c r="A70" s="47">
        <v>500121081</v>
      </c>
      <c r="B70" s="48">
        <v>0</v>
      </c>
      <c r="C70" s="48">
        <v>100</v>
      </c>
      <c r="D70" s="48">
        <v>100</v>
      </c>
      <c r="E70" s="48" t="s">
        <v>427</v>
      </c>
      <c r="F70" s="48" t="s">
        <v>428</v>
      </c>
      <c r="G70" s="48">
        <v>0</v>
      </c>
      <c r="H70" s="48" t="s">
        <v>426</v>
      </c>
      <c r="I70" s="48">
        <v>1223</v>
      </c>
      <c r="J70" s="48">
        <f t="shared" si="2"/>
        <v>100</v>
      </c>
    </row>
    <row r="71" spans="1:10" ht="21" customHeight="1" x14ac:dyDescent="0.15">
      <c r="A71" s="47">
        <v>500121082</v>
      </c>
      <c r="B71" s="48">
        <v>0</v>
      </c>
      <c r="C71" s="48">
        <v>300</v>
      </c>
      <c r="D71" s="48">
        <v>100</v>
      </c>
      <c r="E71" s="48" t="s">
        <v>427</v>
      </c>
      <c r="F71" s="48" t="s">
        <v>428</v>
      </c>
      <c r="G71" s="48">
        <v>0</v>
      </c>
      <c r="H71" s="48" t="s">
        <v>426</v>
      </c>
      <c r="I71" s="48">
        <v>726</v>
      </c>
      <c r="J71" s="48">
        <f t="shared" si="2"/>
        <v>100</v>
      </c>
    </row>
    <row r="72" spans="1:10" ht="21" customHeight="1" x14ac:dyDescent="0.15">
      <c r="A72" s="47">
        <v>500121083</v>
      </c>
      <c r="B72" s="48">
        <v>0</v>
      </c>
      <c r="C72" s="48">
        <v>301</v>
      </c>
      <c r="D72" s="48">
        <v>100</v>
      </c>
      <c r="E72" s="48" t="s">
        <v>427</v>
      </c>
      <c r="F72" s="48" t="s">
        <v>428</v>
      </c>
      <c r="G72" s="48">
        <v>0</v>
      </c>
      <c r="H72" s="48" t="s">
        <v>426</v>
      </c>
      <c r="I72" s="48">
        <v>727</v>
      </c>
      <c r="J72" s="48">
        <f t="shared" si="2"/>
        <v>100</v>
      </c>
    </row>
    <row r="73" spans="1:10" ht="21" customHeight="1" x14ac:dyDescent="0.15">
      <c r="A73" s="47">
        <v>500121084</v>
      </c>
      <c r="B73" s="48">
        <v>0</v>
      </c>
      <c r="C73" s="48">
        <v>302</v>
      </c>
      <c r="D73" s="48">
        <v>100</v>
      </c>
      <c r="E73" s="48" t="s">
        <v>427</v>
      </c>
      <c r="F73" s="48" t="s">
        <v>428</v>
      </c>
      <c r="G73" s="48">
        <v>0</v>
      </c>
      <c r="H73" s="48" t="s">
        <v>426</v>
      </c>
      <c r="I73" s="48">
        <v>1273</v>
      </c>
      <c r="J73" s="48">
        <f t="shared" si="2"/>
        <v>100</v>
      </c>
    </row>
    <row r="74" spans="1:10" ht="21" customHeight="1" x14ac:dyDescent="0.15">
      <c r="A74" s="47">
        <v>500121085</v>
      </c>
      <c r="B74" s="48">
        <v>0</v>
      </c>
      <c r="C74" s="48">
        <v>200</v>
      </c>
      <c r="D74" s="48">
        <v>100</v>
      </c>
      <c r="E74" s="48" t="s">
        <v>427</v>
      </c>
      <c r="F74" s="48" t="s">
        <v>428</v>
      </c>
      <c r="G74" s="48">
        <v>0</v>
      </c>
      <c r="H74" s="48" t="s">
        <v>426</v>
      </c>
      <c r="I74" s="48">
        <v>573</v>
      </c>
      <c r="J74" s="48">
        <f t="shared" si="2"/>
        <v>100</v>
      </c>
    </row>
    <row r="75" spans="1:10" ht="21" customHeight="1" x14ac:dyDescent="0.15">
      <c r="A75" s="47">
        <v>500121086</v>
      </c>
      <c r="B75" s="48">
        <v>0</v>
      </c>
      <c r="C75" s="48">
        <v>201</v>
      </c>
      <c r="D75" s="48">
        <v>100</v>
      </c>
      <c r="E75" s="48" t="s">
        <v>427</v>
      </c>
      <c r="F75" s="48" t="s">
        <v>428</v>
      </c>
      <c r="G75" s="48">
        <v>0</v>
      </c>
      <c r="H75" s="48" t="s">
        <v>426</v>
      </c>
      <c r="I75" s="48">
        <v>574</v>
      </c>
      <c r="J75" s="48">
        <f t="shared" si="2"/>
        <v>100</v>
      </c>
    </row>
    <row r="76" spans="1:10" ht="21" customHeight="1" x14ac:dyDescent="0.15">
      <c r="A76" s="47">
        <v>500121087</v>
      </c>
      <c r="B76" s="48">
        <v>0</v>
      </c>
      <c r="C76" s="48">
        <v>202</v>
      </c>
      <c r="D76" s="48">
        <v>100</v>
      </c>
      <c r="E76" s="48" t="s">
        <v>427</v>
      </c>
      <c r="F76" s="48" t="s">
        <v>428</v>
      </c>
      <c r="G76" s="48">
        <v>0</v>
      </c>
      <c r="H76" s="48" t="s">
        <v>426</v>
      </c>
      <c r="I76" s="48">
        <v>801</v>
      </c>
      <c r="J76" s="48">
        <f t="shared" si="2"/>
        <v>100</v>
      </c>
    </row>
    <row r="77" spans="1:10" ht="21" customHeight="1" x14ac:dyDescent="0.15">
      <c r="A77" s="47">
        <v>500121088</v>
      </c>
      <c r="B77" s="48">
        <v>0</v>
      </c>
      <c r="C77" s="48">
        <v>203</v>
      </c>
      <c r="D77" s="48">
        <v>100</v>
      </c>
      <c r="E77" s="48" t="s">
        <v>427</v>
      </c>
      <c r="F77" s="48" t="s">
        <v>428</v>
      </c>
      <c r="G77" s="48">
        <v>0</v>
      </c>
      <c r="H77" s="48" t="s">
        <v>426</v>
      </c>
      <c r="I77" s="48">
        <v>1180</v>
      </c>
      <c r="J77" s="48">
        <f t="shared" si="2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G15" sqref="G1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3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ht="16" x14ac:dyDescent="0.2">
      <c r="A2" s="57">
        <v>50012</v>
      </c>
      <c r="B2" s="57">
        <v>1</v>
      </c>
      <c r="C2" s="72" t="str">
        <f t="shared" ref="C2:C12" si="0">A2&amp; "_"&amp;B2</f>
        <v>50012_1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06">
        <v>1</v>
      </c>
      <c r="F2" s="106" t="s">
        <v>465</v>
      </c>
      <c r="G2" s="107">
        <v>65000</v>
      </c>
      <c r="H2" s="106" t="s">
        <v>267</v>
      </c>
      <c r="I2" s="106">
        <v>1</v>
      </c>
      <c r="J2" s="106">
        <v>1</v>
      </c>
      <c r="K2" s="106">
        <v>0</v>
      </c>
      <c r="L2" s="106">
        <v>0</v>
      </c>
      <c r="M2" s="106">
        <v>0</v>
      </c>
      <c r="N2" s="106">
        <v>0</v>
      </c>
      <c r="O2" s="106">
        <v>1</v>
      </c>
      <c r="P2" s="106">
        <v>50</v>
      </c>
      <c r="Q2" s="110">
        <v>42090</v>
      </c>
      <c r="R2" s="110">
        <v>390812.375</v>
      </c>
    </row>
    <row r="3" spans="1:18" ht="16" x14ac:dyDescent="0.2">
      <c r="A3" s="57">
        <v>50012</v>
      </c>
      <c r="B3" s="57">
        <v>1</v>
      </c>
      <c r="C3" s="72" t="str">
        <f t="shared" si="0"/>
        <v>50012_1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06">
        <v>2</v>
      </c>
      <c r="F3" s="106" t="s">
        <v>466</v>
      </c>
      <c r="G3" s="107">
        <v>335</v>
      </c>
      <c r="H3" s="106">
        <v>1</v>
      </c>
      <c r="I3" s="106">
        <v>1</v>
      </c>
      <c r="J3" s="106">
        <v>1</v>
      </c>
      <c r="K3" s="106">
        <v>0</v>
      </c>
      <c r="L3" s="106">
        <v>0</v>
      </c>
      <c r="M3" s="106">
        <v>0</v>
      </c>
      <c r="N3" s="106">
        <v>0</v>
      </c>
      <c r="O3" s="106">
        <v>1</v>
      </c>
      <c r="P3" s="106">
        <v>250</v>
      </c>
      <c r="Q3" s="110">
        <v>42090</v>
      </c>
      <c r="R3" s="110">
        <v>390812.375</v>
      </c>
    </row>
    <row r="4" spans="1:18" ht="16" x14ac:dyDescent="0.2">
      <c r="A4" s="57">
        <v>50012</v>
      </c>
      <c r="B4" s="57">
        <v>1</v>
      </c>
      <c r="C4" s="72" t="str">
        <f t="shared" si="0"/>
        <v>50012_1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06">
        <v>3</v>
      </c>
      <c r="F4" s="106" t="s">
        <v>466</v>
      </c>
      <c r="G4" s="107">
        <v>349</v>
      </c>
      <c r="H4" s="106">
        <v>1</v>
      </c>
      <c r="I4" s="106">
        <v>1</v>
      </c>
      <c r="J4" s="106">
        <v>1</v>
      </c>
      <c r="K4" s="106">
        <v>0</v>
      </c>
      <c r="L4" s="106">
        <v>0</v>
      </c>
      <c r="M4" s="106">
        <v>0</v>
      </c>
      <c r="N4" s="106">
        <v>0</v>
      </c>
      <c r="O4" s="106">
        <v>1</v>
      </c>
      <c r="P4" s="106">
        <v>50</v>
      </c>
      <c r="Q4" s="110">
        <v>42090</v>
      </c>
      <c r="R4" s="110">
        <v>390812.375</v>
      </c>
    </row>
    <row r="5" spans="1:18" ht="16" x14ac:dyDescent="0.2">
      <c r="A5" s="57">
        <v>50012</v>
      </c>
      <c r="B5" s="57">
        <v>1</v>
      </c>
      <c r="C5" s="72" t="str">
        <f t="shared" si="0"/>
        <v>50012_1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06">
        <v>4</v>
      </c>
      <c r="F5" s="106" t="s">
        <v>466</v>
      </c>
      <c r="G5" s="107">
        <v>125</v>
      </c>
      <c r="H5" s="106">
        <v>1</v>
      </c>
      <c r="I5" s="106">
        <v>1</v>
      </c>
      <c r="J5" s="106">
        <v>1</v>
      </c>
      <c r="K5" s="106">
        <v>0</v>
      </c>
      <c r="L5" s="106">
        <v>0</v>
      </c>
      <c r="M5" s="106">
        <v>0</v>
      </c>
      <c r="N5" s="106">
        <v>0</v>
      </c>
      <c r="O5" s="106">
        <v>1</v>
      </c>
      <c r="P5" s="106">
        <v>30</v>
      </c>
      <c r="Q5" s="110">
        <v>42090</v>
      </c>
      <c r="R5" s="110">
        <v>390812.375</v>
      </c>
    </row>
    <row r="6" spans="1:18" ht="16" x14ac:dyDescent="0.2">
      <c r="A6" s="57">
        <v>50012</v>
      </c>
      <c r="B6" s="57">
        <v>1</v>
      </c>
      <c r="C6" s="72" t="str">
        <f t="shared" si="0"/>
        <v>50012_1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06">
        <v>5</v>
      </c>
      <c r="F6" s="106" t="s">
        <v>466</v>
      </c>
      <c r="G6" s="107">
        <v>607</v>
      </c>
      <c r="H6" s="106">
        <v>1</v>
      </c>
      <c r="I6" s="106">
        <v>1</v>
      </c>
      <c r="J6" s="106">
        <v>1</v>
      </c>
      <c r="K6" s="106">
        <v>0</v>
      </c>
      <c r="L6" s="106">
        <v>0</v>
      </c>
      <c r="M6" s="106">
        <v>0</v>
      </c>
      <c r="N6" s="106">
        <v>0</v>
      </c>
      <c r="O6" s="106">
        <v>1</v>
      </c>
      <c r="P6" s="106">
        <v>80</v>
      </c>
      <c r="Q6" s="110">
        <v>42090</v>
      </c>
      <c r="R6" s="110">
        <v>390812.375</v>
      </c>
    </row>
    <row r="7" spans="1:18" ht="16" x14ac:dyDescent="0.2">
      <c r="A7" s="57">
        <v>50012</v>
      </c>
      <c r="B7" s="57">
        <v>1</v>
      </c>
      <c r="C7" s="72" t="str">
        <f t="shared" si="0"/>
        <v>50012_1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06">
        <v>6</v>
      </c>
      <c r="F7" s="106" t="s">
        <v>466</v>
      </c>
      <c r="G7" s="107">
        <v>608</v>
      </c>
      <c r="H7" s="106">
        <v>1</v>
      </c>
      <c r="I7" s="106">
        <v>1</v>
      </c>
      <c r="J7" s="106">
        <v>1</v>
      </c>
      <c r="K7" s="106">
        <v>0</v>
      </c>
      <c r="L7" s="106">
        <v>0</v>
      </c>
      <c r="M7" s="106">
        <v>0</v>
      </c>
      <c r="N7" s="106">
        <v>0</v>
      </c>
      <c r="O7" s="106">
        <v>1</v>
      </c>
      <c r="P7" s="106">
        <v>80</v>
      </c>
      <c r="Q7" s="110">
        <v>42090</v>
      </c>
      <c r="R7" s="110">
        <v>390812.375</v>
      </c>
    </row>
    <row r="8" spans="1:18" ht="16" x14ac:dyDescent="0.2">
      <c r="A8" s="57">
        <v>50012</v>
      </c>
      <c r="B8" s="57">
        <v>1</v>
      </c>
      <c r="C8" s="72" t="str">
        <f t="shared" si="0"/>
        <v>50012_1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06">
        <v>7</v>
      </c>
      <c r="F8" s="106" t="s">
        <v>466</v>
      </c>
      <c r="G8" s="107">
        <v>609</v>
      </c>
      <c r="H8" s="106">
        <v>1</v>
      </c>
      <c r="I8" s="106">
        <v>1</v>
      </c>
      <c r="J8" s="106">
        <v>1</v>
      </c>
      <c r="K8" s="106">
        <v>0</v>
      </c>
      <c r="L8" s="106">
        <v>0</v>
      </c>
      <c r="M8" s="106">
        <v>0</v>
      </c>
      <c r="N8" s="106">
        <v>0</v>
      </c>
      <c r="O8" s="106">
        <v>1</v>
      </c>
      <c r="P8" s="106">
        <v>80</v>
      </c>
      <c r="Q8" s="110">
        <v>42090</v>
      </c>
      <c r="R8" s="110">
        <v>390812.375</v>
      </c>
    </row>
    <row r="9" spans="1:18" ht="16" x14ac:dyDescent="0.2">
      <c r="A9" s="57">
        <v>50012</v>
      </c>
      <c r="B9" s="57">
        <v>1</v>
      </c>
      <c r="C9" s="72" t="str">
        <f t="shared" si="0"/>
        <v>50012_1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06">
        <v>8</v>
      </c>
      <c r="F9" s="106" t="s">
        <v>466</v>
      </c>
      <c r="G9" s="107">
        <v>610</v>
      </c>
      <c r="H9" s="106">
        <v>1</v>
      </c>
      <c r="I9" s="106">
        <v>1</v>
      </c>
      <c r="J9" s="106">
        <v>1</v>
      </c>
      <c r="K9" s="106">
        <v>0</v>
      </c>
      <c r="L9" s="106">
        <v>0</v>
      </c>
      <c r="M9" s="106">
        <v>0</v>
      </c>
      <c r="N9" s="106">
        <v>0</v>
      </c>
      <c r="O9" s="106">
        <v>1</v>
      </c>
      <c r="P9" s="106">
        <v>20</v>
      </c>
      <c r="Q9" s="110">
        <v>42090</v>
      </c>
      <c r="R9" s="110">
        <v>390812.375</v>
      </c>
    </row>
    <row r="10" spans="1:18" ht="16" x14ac:dyDescent="0.2">
      <c r="A10" s="57">
        <v>50012</v>
      </c>
      <c r="B10" s="57">
        <v>1</v>
      </c>
      <c r="C10" s="72" t="str">
        <f t="shared" si="0"/>
        <v>50012_1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06">
        <v>9</v>
      </c>
      <c r="F10" s="106" t="s">
        <v>466</v>
      </c>
      <c r="G10" s="107">
        <v>611</v>
      </c>
      <c r="H10" s="106">
        <v>1</v>
      </c>
      <c r="I10" s="106">
        <v>1</v>
      </c>
      <c r="J10" s="106">
        <v>1</v>
      </c>
      <c r="K10" s="106">
        <v>0</v>
      </c>
      <c r="L10" s="106">
        <v>0</v>
      </c>
      <c r="M10" s="106">
        <v>0</v>
      </c>
      <c r="N10" s="106">
        <v>0</v>
      </c>
      <c r="O10" s="106">
        <v>1</v>
      </c>
      <c r="P10" s="106">
        <v>30</v>
      </c>
      <c r="Q10" s="110">
        <v>42090</v>
      </c>
      <c r="R10" s="110">
        <v>390812.375</v>
      </c>
    </row>
    <row r="11" spans="1:18" ht="16" x14ac:dyDescent="0.2">
      <c r="A11" s="57">
        <v>50012</v>
      </c>
      <c r="B11" s="57">
        <v>1</v>
      </c>
      <c r="C11" s="72" t="str">
        <f t="shared" si="0"/>
        <v>50012_1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06">
        <v>10</v>
      </c>
      <c r="F11" s="106" t="s">
        <v>466</v>
      </c>
      <c r="G11" s="107">
        <v>612</v>
      </c>
      <c r="H11" s="106">
        <v>1</v>
      </c>
      <c r="I11" s="106">
        <v>1</v>
      </c>
      <c r="J11" s="106">
        <v>1</v>
      </c>
      <c r="K11" s="106">
        <v>0</v>
      </c>
      <c r="L11" s="106">
        <v>0</v>
      </c>
      <c r="M11" s="106">
        <v>0</v>
      </c>
      <c r="N11" s="106">
        <v>0</v>
      </c>
      <c r="O11" s="106">
        <v>1</v>
      </c>
      <c r="P11" s="106">
        <v>30</v>
      </c>
      <c r="Q11" s="110">
        <v>42090</v>
      </c>
      <c r="R11" s="110">
        <v>390812.375</v>
      </c>
    </row>
    <row r="12" spans="1:18" ht="16" x14ac:dyDescent="0.2">
      <c r="A12" s="57">
        <v>50012</v>
      </c>
      <c r="B12" s="57">
        <v>1</v>
      </c>
      <c r="C12" s="72" t="str">
        <f t="shared" si="0"/>
        <v>50012_1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6">
        <v>11</v>
      </c>
      <c r="F12" s="106" t="s">
        <v>466</v>
      </c>
      <c r="G12" s="107">
        <v>613</v>
      </c>
      <c r="H12" s="106">
        <v>1</v>
      </c>
      <c r="I12" s="106">
        <v>1</v>
      </c>
      <c r="J12" s="106">
        <v>1</v>
      </c>
      <c r="K12" s="106">
        <v>0</v>
      </c>
      <c r="L12" s="106">
        <v>0</v>
      </c>
      <c r="M12" s="106">
        <v>0</v>
      </c>
      <c r="N12" s="106">
        <v>0</v>
      </c>
      <c r="O12" s="106">
        <v>1</v>
      </c>
      <c r="P12" s="106">
        <v>30</v>
      </c>
      <c r="Q12" s="110">
        <v>42090</v>
      </c>
      <c r="R12" s="110">
        <v>390812.375</v>
      </c>
    </row>
    <row r="13" spans="1:18" ht="16" x14ac:dyDescent="0.2">
      <c r="A13" s="57">
        <v>50012</v>
      </c>
      <c r="B13" s="57">
        <v>1</v>
      </c>
      <c r="C13" s="72" t="str">
        <f t="shared" ref="C13:C15" si="1">A13&amp; "_"&amp;B13</f>
        <v>50012_1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06">
        <v>12</v>
      </c>
      <c r="F13" s="106" t="s">
        <v>466</v>
      </c>
      <c r="G13" s="107">
        <v>614</v>
      </c>
      <c r="H13" s="106">
        <v>1</v>
      </c>
      <c r="I13" s="106">
        <v>1</v>
      </c>
      <c r="J13" s="106">
        <v>1</v>
      </c>
      <c r="K13" s="106">
        <v>0</v>
      </c>
      <c r="L13" s="106">
        <v>0</v>
      </c>
      <c r="M13" s="106">
        <v>0</v>
      </c>
      <c r="N13" s="106">
        <v>0</v>
      </c>
      <c r="O13" s="106">
        <v>1</v>
      </c>
      <c r="P13" s="106">
        <v>10</v>
      </c>
      <c r="Q13" s="110">
        <v>42090</v>
      </c>
      <c r="R13" s="110">
        <v>390812.375</v>
      </c>
    </row>
    <row r="14" spans="1:18" ht="16" x14ac:dyDescent="0.2">
      <c r="A14" s="57">
        <v>50012</v>
      </c>
      <c r="B14" s="57">
        <v>1</v>
      </c>
      <c r="C14" s="72" t="str">
        <f t="shared" si="1"/>
        <v>50012_1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06">
        <v>13</v>
      </c>
      <c r="F14" s="106" t="s">
        <v>466</v>
      </c>
      <c r="G14" s="107">
        <v>837</v>
      </c>
      <c r="H14" s="106">
        <v>1</v>
      </c>
      <c r="I14" s="106">
        <v>1</v>
      </c>
      <c r="J14" s="106">
        <v>1</v>
      </c>
      <c r="K14" s="106">
        <v>0</v>
      </c>
      <c r="L14" s="106">
        <v>0</v>
      </c>
      <c r="M14" s="106">
        <v>0</v>
      </c>
      <c r="N14" s="106">
        <v>0</v>
      </c>
      <c r="O14" s="106">
        <v>1</v>
      </c>
      <c r="P14" s="106">
        <v>10</v>
      </c>
      <c r="Q14" s="110">
        <v>42090</v>
      </c>
      <c r="R14" s="110">
        <v>390812.375</v>
      </c>
    </row>
    <row r="15" spans="1:18" ht="16" x14ac:dyDescent="0.2">
      <c r="A15" s="57">
        <v>50012</v>
      </c>
      <c r="B15" s="57">
        <v>1</v>
      </c>
      <c r="C15" s="72" t="str">
        <f t="shared" si="1"/>
        <v>50012_1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06">
        <v>14</v>
      </c>
      <c r="F15" s="106" t="s">
        <v>466</v>
      </c>
      <c r="G15" s="107">
        <v>1242</v>
      </c>
      <c r="H15" s="106">
        <v>1</v>
      </c>
      <c r="I15" s="106">
        <v>1</v>
      </c>
      <c r="J15" s="106">
        <v>1</v>
      </c>
      <c r="K15" s="106">
        <v>0</v>
      </c>
      <c r="L15" s="106">
        <v>0</v>
      </c>
      <c r="M15" s="106">
        <v>0</v>
      </c>
      <c r="N15" s="106">
        <v>0</v>
      </c>
      <c r="O15" s="106">
        <v>1</v>
      </c>
      <c r="P15" s="106">
        <v>250</v>
      </c>
      <c r="Q15" s="110">
        <v>42090</v>
      </c>
      <c r="R15" s="110">
        <v>390812.375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N137" sqref="N137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183</v>
      </c>
      <c r="B1" s="74" t="s">
        <v>184</v>
      </c>
      <c r="C1" s="78" t="s">
        <v>185</v>
      </c>
      <c r="D1" s="78" t="s">
        <v>33</v>
      </c>
      <c r="E1" s="74" t="s">
        <v>186</v>
      </c>
      <c r="F1" s="78" t="s">
        <v>187</v>
      </c>
      <c r="G1" s="78" t="s">
        <v>33</v>
      </c>
      <c r="H1" s="74" t="s">
        <v>188</v>
      </c>
      <c r="I1" s="92" t="s">
        <v>190</v>
      </c>
      <c r="J1" s="80" t="s">
        <v>125</v>
      </c>
      <c r="K1" s="79" t="s">
        <v>182</v>
      </c>
      <c r="L1" s="93" t="s">
        <v>181</v>
      </c>
      <c r="M1" s="81" t="s">
        <v>191</v>
      </c>
    </row>
    <row r="2" spans="1:13" x14ac:dyDescent="0.15">
      <c r="A2"/>
    </row>
    <row r="3" spans="1:13" x14ac:dyDescent="0.15">
      <c r="A3"/>
    </row>
    <row r="4" spans="1:13" x14ac:dyDescent="0.15">
      <c r="A4"/>
    </row>
    <row r="5" spans="1:13" x14ac:dyDescent="0.15">
      <c r="A5"/>
    </row>
    <row r="6" spans="1:13" x14ac:dyDescent="0.15">
      <c r="A6"/>
    </row>
    <row r="7" spans="1:13" x14ac:dyDescent="0.15">
      <c r="A7"/>
    </row>
    <row r="8" spans="1:13" x14ac:dyDescent="0.15">
      <c r="A8"/>
    </row>
    <row r="9" spans="1:13" x14ac:dyDescent="0.15">
      <c r="A9"/>
    </row>
    <row r="10" spans="1:13" x14ac:dyDescent="0.15">
      <c r="A10"/>
    </row>
    <row r="11" spans="1:13" x14ac:dyDescent="0.15">
      <c r="A11"/>
    </row>
    <row r="12" spans="1:13" x14ac:dyDescent="0.15">
      <c r="A12"/>
    </row>
    <row r="13" spans="1:13" x14ac:dyDescent="0.15">
      <c r="A13"/>
    </row>
    <row r="14" spans="1:13" x14ac:dyDescent="0.15">
      <c r="A14"/>
    </row>
    <row r="15" spans="1:13" x14ac:dyDescent="0.15">
      <c r="A15"/>
    </row>
    <row r="16" spans="1:13" x14ac:dyDescent="0.15">
      <c r="A16"/>
    </row>
    <row r="17" spans="1:1" x14ac:dyDescent="0.15">
      <c r="A17"/>
    </row>
    <row r="18" spans="1:1" x14ac:dyDescent="0.15">
      <c r="A18"/>
    </row>
    <row r="19" spans="1:1" x14ac:dyDescent="0.15">
      <c r="A19"/>
    </row>
    <row r="20" spans="1:1" x14ac:dyDescent="0.15">
      <c r="A20"/>
    </row>
    <row r="21" spans="1:1" x14ac:dyDescent="0.15">
      <c r="A21"/>
    </row>
    <row r="22" spans="1:1" x14ac:dyDescent="0.15">
      <c r="A22"/>
    </row>
    <row r="23" spans="1:1" x14ac:dyDescent="0.15">
      <c r="A23"/>
    </row>
    <row r="24" spans="1:1" x14ac:dyDescent="0.15">
      <c r="A24"/>
    </row>
    <row r="25" spans="1:1" x14ac:dyDescent="0.15">
      <c r="A25"/>
    </row>
    <row r="26" spans="1:1" x14ac:dyDescent="0.15">
      <c r="A26"/>
    </row>
    <row r="27" spans="1:1" x14ac:dyDescent="0.15">
      <c r="A27"/>
    </row>
    <row r="28" spans="1:1" x14ac:dyDescent="0.15">
      <c r="A28"/>
    </row>
    <row r="29" spans="1:1" x14ac:dyDescent="0.15">
      <c r="A29"/>
    </row>
    <row r="30" spans="1:1" x14ac:dyDescent="0.15">
      <c r="A30"/>
    </row>
    <row r="31" spans="1:1" x14ac:dyDescent="0.15">
      <c r="A31"/>
    </row>
    <row r="32" spans="1:1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  <row r="38" spans="1:1" x14ac:dyDescent="0.15">
      <c r="A38"/>
    </row>
    <row r="39" spans="1:1" x14ac:dyDescent="0.15">
      <c r="A39"/>
    </row>
    <row r="40" spans="1:1" x14ac:dyDescent="0.15">
      <c r="A40"/>
    </row>
    <row r="41" spans="1:1" x14ac:dyDescent="0.15">
      <c r="A41"/>
    </row>
    <row r="42" spans="1:1" x14ac:dyDescent="0.15">
      <c r="A42"/>
    </row>
    <row r="43" spans="1:1" x14ac:dyDescent="0.15">
      <c r="A43"/>
    </row>
    <row r="44" spans="1:1" x14ac:dyDescent="0.15">
      <c r="A44"/>
    </row>
    <row r="45" spans="1:1" x14ac:dyDescent="0.15">
      <c r="A45"/>
    </row>
    <row r="46" spans="1:1" x14ac:dyDescent="0.15">
      <c r="A46"/>
    </row>
    <row r="47" spans="1:1" x14ac:dyDescent="0.15">
      <c r="A47"/>
    </row>
    <row r="48" spans="1:1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  <row r="116" spans="1:1" x14ac:dyDescent="0.15">
      <c r="A116"/>
    </row>
    <row r="117" spans="1:1" x14ac:dyDescent="0.15">
      <c r="A117"/>
    </row>
    <row r="118" spans="1:1" x14ac:dyDescent="0.15">
      <c r="A118"/>
    </row>
    <row r="119" spans="1:1" x14ac:dyDescent="0.15">
      <c r="A119"/>
    </row>
    <row r="120" spans="1:1" x14ac:dyDescent="0.15">
      <c r="A120"/>
    </row>
    <row r="121" spans="1:1" x14ac:dyDescent="0.15">
      <c r="A121"/>
    </row>
    <row r="122" spans="1:1" x14ac:dyDescent="0.15">
      <c r="A122"/>
    </row>
    <row r="123" spans="1:1" x14ac:dyDescent="0.15">
      <c r="A123"/>
    </row>
    <row r="124" spans="1:1" x14ac:dyDescent="0.15">
      <c r="A124"/>
    </row>
    <row r="125" spans="1:1" x14ac:dyDescent="0.15">
      <c r="A125"/>
    </row>
    <row r="126" spans="1:1" x14ac:dyDescent="0.15">
      <c r="A126"/>
    </row>
    <row r="127" spans="1:1" x14ac:dyDescent="0.15">
      <c r="A127"/>
    </row>
    <row r="128" spans="1:1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9"/>
  <sheetViews>
    <sheetView showGridLines="0" workbookViewId="0">
      <pane ySplit="1" topLeftCell="A2" activePane="bottomLeft" state="frozen"/>
      <selection pane="bottomLeft" activeCell="M14" sqref="M14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183</v>
      </c>
      <c r="B1" s="74" t="s">
        <v>149</v>
      </c>
      <c r="C1" s="78" t="s">
        <v>185</v>
      </c>
      <c r="D1" s="78" t="s">
        <v>33</v>
      </c>
      <c r="E1" s="74" t="s">
        <v>186</v>
      </c>
      <c r="F1" s="78" t="s">
        <v>18</v>
      </c>
      <c r="G1" s="78" t="s">
        <v>33</v>
      </c>
      <c r="H1" s="74" t="s">
        <v>188</v>
      </c>
      <c r="I1" s="90" t="s">
        <v>189</v>
      </c>
      <c r="J1" s="92" t="s">
        <v>190</v>
      </c>
      <c r="K1" s="80" t="s">
        <v>125</v>
      </c>
      <c r="L1" s="79" t="s">
        <v>182</v>
      </c>
      <c r="M1" s="93" t="s">
        <v>181</v>
      </c>
      <c r="N1" s="81" t="s">
        <v>191</v>
      </c>
    </row>
    <row r="2" spans="1:14" ht="42" x14ac:dyDescent="0.15">
      <c r="A2" s="82" t="s">
        <v>192</v>
      </c>
      <c r="B2" s="83">
        <f>floors!$C$2</f>
        <v>50012</v>
      </c>
      <c r="C2" s="84" t="str">
        <f ca="1">VLOOKUP($B2,OFFSET([2]quests!$A$1,0,0,COUNTA([2]quests!$A:$A),MATCH(C$1,[2]quests!$1:$1,0)-MATCH($B$1,[2]quests!$1:$1,0)+1),MATCH(C$1,[2]quests!$1:$1,0)-MATCH($B$1,[2]quests!$1:$1,0)+1,FALSE)</f>
        <v>豊臣秀吉襲来！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超降臨11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【超ウィザード級】豊臣秀吉襲来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超降臨11</v>
      </c>
      <c r="H2" s="86">
        <v>1</v>
      </c>
      <c r="I2" s="91">
        <f>ROW()-1</f>
        <v>1</v>
      </c>
      <c r="J2" s="87" t="str">
        <f>B2&amp;TEXT(I2,"00")</f>
        <v>5001201</v>
      </c>
      <c r="K2" s="85" t="s">
        <v>193</v>
      </c>
      <c r="L2" s="88" t="s">
        <v>194</v>
      </c>
      <c r="M2" s="109" t="s">
        <v>416</v>
      </c>
      <c r="N2" s="57" t="s">
        <v>195</v>
      </c>
    </row>
    <row r="3" spans="1:14" ht="28" x14ac:dyDescent="0.15">
      <c r="A3" s="82" t="s">
        <v>192</v>
      </c>
      <c r="B3" s="83">
        <f>floors!$C$2</f>
        <v>50012</v>
      </c>
      <c r="C3" s="84" t="str">
        <f ca="1">VLOOKUP($B3,OFFSET([2]quests!$A$1,0,0,COUNTA([2]quests!$A:$A),MATCH(C$1,[2]quests!$1:$1,0)-MATCH($B$1,[2]quests!$1:$1,0)+1),MATCH(C$1,[2]quests!$1:$1,0)-MATCH($B$1,[2]quests!$1:$1,0)+1,FALSE)</f>
        <v>豊臣秀吉襲来！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超降臨11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【超ウィザード級】豊臣秀吉襲来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超降臨11</v>
      </c>
      <c r="H3" s="86">
        <v>2</v>
      </c>
      <c r="I3" s="91">
        <f t="shared" ref="I3:I9" si="0">ROW()-1</f>
        <v>2</v>
      </c>
      <c r="J3" s="87" t="str">
        <f t="shared" ref="J3:J9" si="1">B3&amp;TEXT(I3,"00")</f>
        <v>5001202</v>
      </c>
      <c r="K3" s="85" t="s">
        <v>126</v>
      </c>
      <c r="L3" s="88" t="s">
        <v>194</v>
      </c>
      <c r="M3" s="109" t="s">
        <v>417</v>
      </c>
      <c r="N3" s="57" t="s">
        <v>195</v>
      </c>
    </row>
    <row r="4" spans="1:14" ht="28" x14ac:dyDescent="0.15">
      <c r="A4" s="82" t="s">
        <v>192</v>
      </c>
      <c r="B4" s="83">
        <f>floors!$C$2</f>
        <v>50012</v>
      </c>
      <c r="C4" s="84" t="str">
        <f ca="1">VLOOKUP($B4,OFFSET([2]quests!$A$1,0,0,COUNTA([2]quests!$A:$A),MATCH(C$1,[2]quests!$1:$1,0)-MATCH($B$1,[2]quests!$1:$1,0)+1),MATCH(C$1,[2]quests!$1:$1,0)-MATCH($B$1,[2]quests!$1:$1,0)+1,FALSE)</f>
        <v>豊臣秀吉襲来！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超降臨11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【超ウィザード級】豊臣秀吉襲来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超降臨11</v>
      </c>
      <c r="H4" s="86">
        <v>3</v>
      </c>
      <c r="I4" s="91">
        <f t="shared" si="0"/>
        <v>3</v>
      </c>
      <c r="J4" s="87" t="str">
        <f t="shared" si="1"/>
        <v>5001203</v>
      </c>
      <c r="K4" s="85" t="s">
        <v>126</v>
      </c>
      <c r="L4" s="88" t="s">
        <v>194</v>
      </c>
      <c r="M4" s="109" t="s">
        <v>460</v>
      </c>
      <c r="N4" s="57" t="s">
        <v>195</v>
      </c>
    </row>
    <row r="5" spans="1:14" ht="56" x14ac:dyDescent="0.15">
      <c r="A5" s="82" t="s">
        <v>192</v>
      </c>
      <c r="B5" s="83">
        <f>floors!$C$2</f>
        <v>50012</v>
      </c>
      <c r="C5" s="84" t="str">
        <f ca="1">VLOOKUP($B5,OFFSET([2]quests!$A$1,0,0,COUNTA([2]quests!$A:$A),MATCH(C$1,[2]quests!$1:$1,0)-MATCH($B$1,[2]quests!$1:$1,0)+1),MATCH(C$1,[2]quests!$1:$1,0)-MATCH($B$1,[2]quests!$1:$1,0)+1,FALSE)</f>
        <v>豊臣秀吉襲来！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超降臨11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【超ウィザード級】豊臣秀吉襲来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超降臨11</v>
      </c>
      <c r="H5" s="86">
        <v>4</v>
      </c>
      <c r="I5" s="91">
        <f t="shared" si="0"/>
        <v>4</v>
      </c>
      <c r="J5" s="87" t="str">
        <f t="shared" si="1"/>
        <v>5001204</v>
      </c>
      <c r="K5" s="85" t="s">
        <v>126</v>
      </c>
      <c r="L5" s="88" t="s">
        <v>194</v>
      </c>
      <c r="M5" s="109" t="s">
        <v>418</v>
      </c>
      <c r="N5" s="57" t="s">
        <v>195</v>
      </c>
    </row>
    <row r="6" spans="1:14" ht="42" x14ac:dyDescent="0.15">
      <c r="A6" s="82" t="s">
        <v>192</v>
      </c>
      <c r="B6" s="83">
        <f>floors!$C$2</f>
        <v>50012</v>
      </c>
      <c r="C6" s="84" t="str">
        <f ca="1">VLOOKUP($B6,OFFSET([2]quests!$A$1,0,0,COUNTA([2]quests!$A:$A),MATCH(C$1,[2]quests!$1:$1,0)-MATCH($B$1,[2]quests!$1:$1,0)+1),MATCH(C$1,[2]quests!$1:$1,0)-MATCH($B$1,[2]quests!$1:$1,0)+1,FALSE)</f>
        <v>豊臣秀吉襲来！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超降臨11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【超ウィザード級】豊臣秀吉襲来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超降臨11</v>
      </c>
      <c r="H6" s="86">
        <v>4</v>
      </c>
      <c r="I6" s="91">
        <f t="shared" si="0"/>
        <v>5</v>
      </c>
      <c r="J6" s="87" t="str">
        <f t="shared" si="1"/>
        <v>5001205</v>
      </c>
      <c r="K6" s="85" t="s">
        <v>126</v>
      </c>
      <c r="L6" s="88" t="s">
        <v>194</v>
      </c>
      <c r="M6" s="109" t="s">
        <v>419</v>
      </c>
      <c r="N6" s="57" t="s">
        <v>195</v>
      </c>
    </row>
    <row r="7" spans="1:14" ht="56" x14ac:dyDescent="0.15">
      <c r="A7" s="82" t="s">
        <v>196</v>
      </c>
      <c r="B7" s="83">
        <f>floors!$C$2</f>
        <v>50012</v>
      </c>
      <c r="C7" s="84" t="str">
        <f ca="1">VLOOKUP($B7,OFFSET([2]quests!$A$1,0,0,COUNTA([2]quests!$A:$A),MATCH(C$1,[2]quests!$1:$1,0)-MATCH($B$1,[2]quests!$1:$1,0)+1),MATCH(C$1,[2]quests!$1:$1,0)-MATCH($B$1,[2]quests!$1:$1,0)+1,FALSE)</f>
        <v>豊臣秀吉襲来！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超降臨11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【超ウィザード級】豊臣秀吉襲来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超降臨11</v>
      </c>
      <c r="H7" s="86">
        <v>0</v>
      </c>
      <c r="I7" s="91">
        <f t="shared" si="0"/>
        <v>6</v>
      </c>
      <c r="J7" s="87" t="str">
        <f t="shared" si="1"/>
        <v>5001206</v>
      </c>
      <c r="K7" s="85" t="s">
        <v>126</v>
      </c>
      <c r="L7" s="88" t="s">
        <v>425</v>
      </c>
      <c r="M7" s="109" t="s">
        <v>422</v>
      </c>
      <c r="N7" s="57" t="s">
        <v>195</v>
      </c>
    </row>
    <row r="8" spans="1:14" ht="56" x14ac:dyDescent="0.15">
      <c r="A8" s="82" t="s">
        <v>196</v>
      </c>
      <c r="B8" s="83">
        <f>floors!$C$2</f>
        <v>50012</v>
      </c>
      <c r="C8" s="84" t="str">
        <f ca="1">VLOOKUP($B8,OFFSET([2]quests!$A$1,0,0,COUNTA([2]quests!$A:$A),MATCH(C$1,[2]quests!$1:$1,0)-MATCH($B$1,[2]quests!$1:$1,0)+1),MATCH(C$1,[2]quests!$1:$1,0)-MATCH($B$1,[2]quests!$1:$1,0)+1,FALSE)</f>
        <v>豊臣秀吉襲来！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超降臨11</v>
      </c>
      <c r="E8" s="85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【超ウィザード級】豊臣秀吉襲来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超降臨11</v>
      </c>
      <c r="H8" s="86">
        <v>0</v>
      </c>
      <c r="I8" s="91">
        <f t="shared" si="0"/>
        <v>7</v>
      </c>
      <c r="J8" s="87" t="str">
        <f t="shared" si="1"/>
        <v>5001207</v>
      </c>
      <c r="K8" s="85" t="s">
        <v>126</v>
      </c>
      <c r="L8" s="88" t="s">
        <v>420</v>
      </c>
      <c r="M8" s="109" t="s">
        <v>423</v>
      </c>
      <c r="N8" s="57" t="s">
        <v>195</v>
      </c>
    </row>
    <row r="9" spans="1:14" ht="42" x14ac:dyDescent="0.15">
      <c r="A9" s="82" t="s">
        <v>196</v>
      </c>
      <c r="B9" s="83">
        <f>floors!$C$2</f>
        <v>50012</v>
      </c>
      <c r="C9" s="84" t="str">
        <f ca="1">VLOOKUP($B9,OFFSET([2]quests!$A$1,0,0,COUNTA([2]quests!$A:$A),MATCH(C$1,[2]quests!$1:$1,0)-MATCH($B$1,[2]quests!$1:$1,0)+1),MATCH(C$1,[2]quests!$1:$1,0)-MATCH($B$1,[2]quests!$1:$1,0)+1,FALSE)</f>
        <v>豊臣秀吉襲来！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超降臨11</v>
      </c>
      <c r="E9" s="85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【超ウィザード級】豊臣秀吉襲来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超降臨11</v>
      </c>
      <c r="H9" s="86">
        <v>0</v>
      </c>
      <c r="I9" s="91">
        <f t="shared" si="0"/>
        <v>8</v>
      </c>
      <c r="J9" s="87" t="str">
        <f t="shared" si="1"/>
        <v>5001208</v>
      </c>
      <c r="K9" s="85" t="s">
        <v>126</v>
      </c>
      <c r="L9" s="88" t="s">
        <v>421</v>
      </c>
      <c r="M9" s="109" t="s">
        <v>424</v>
      </c>
      <c r="N9" s="57" t="s">
        <v>195</v>
      </c>
    </row>
  </sheetData>
  <phoneticPr fontId="5"/>
  <dataValidations count="1">
    <dataValidation type="list" allowBlank="1" showInputMessage="1" showErrorMessage="1" sqref="A2:A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I16" sqref="I16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208</v>
      </c>
      <c r="B1" s="96" t="s">
        <v>209</v>
      </c>
      <c r="C1" s="78" t="s">
        <v>210</v>
      </c>
      <c r="D1" s="78" t="s">
        <v>33</v>
      </c>
      <c r="E1" s="96" t="s">
        <v>211</v>
      </c>
      <c r="F1" s="78" t="s">
        <v>212</v>
      </c>
      <c r="G1" s="78" t="s">
        <v>33</v>
      </c>
      <c r="H1" s="96" t="s">
        <v>213</v>
      </c>
      <c r="I1" s="96" t="s">
        <v>214</v>
      </c>
      <c r="J1" s="96" t="s">
        <v>215</v>
      </c>
      <c r="K1" s="74" t="s">
        <v>216</v>
      </c>
      <c r="L1" s="74" t="s">
        <v>217</v>
      </c>
      <c r="M1" s="74" t="s">
        <v>155</v>
      </c>
      <c r="N1" s="78" t="s">
        <v>16</v>
      </c>
      <c r="O1" s="74" t="s">
        <v>218</v>
      </c>
      <c r="P1" s="74" t="s">
        <v>56</v>
      </c>
      <c r="Q1" s="74" t="s">
        <v>219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220</v>
      </c>
      <c r="X1" s="74" t="s">
        <v>221</v>
      </c>
    </row>
    <row r="2" spans="1:24" x14ac:dyDescent="0.15">
      <c r="A2" s="97" t="str">
        <f>B2&amp;"_"&amp;E2&amp;"_"&amp;H2&amp;"_"&amp;I2&amp;"_"&amp;J2</f>
        <v>50012_1_everyone_full_member_1</v>
      </c>
      <c r="B2" s="83">
        <v>50012</v>
      </c>
      <c r="C2" s="84" t="str">
        <f ca="1">VLOOKUP($B2,OFFSET([2]quests!$A$1,0,0,COUNTA([2]quests!$A:$A),MATCH(C$1,[2]quests!$1:$1,0)-MATCH($B$1,[2]quests!$1:$1,0)+1),MATCH(C$1,[2]quests!$1:$1,0)-MATCH($B$1,[2]quests!$1:$1,0)+1,FALSE)</f>
        <v>豊臣秀吉襲来！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超降臨11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【超ウィザード級】豊臣秀吉襲来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超降臨11</v>
      </c>
      <c r="H2" s="86" t="s">
        <v>222</v>
      </c>
      <c r="I2" s="85" t="s">
        <v>395</v>
      </c>
      <c r="J2" s="85">
        <v>1</v>
      </c>
      <c r="K2" s="85">
        <v>100</v>
      </c>
      <c r="L2" s="85" t="s">
        <v>223</v>
      </c>
      <c r="M2" s="85">
        <v>1242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豊臣秀吉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99" t="s">
        <v>224</v>
      </c>
      <c r="X2" s="100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2017-05-08T08:09:05Z</dcterms:modified>
</cp:coreProperties>
</file>