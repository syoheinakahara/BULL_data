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ototakashiro/BULL_data/master_excel/"/>
    </mc:Choice>
  </mc:AlternateContent>
  <bookViews>
    <workbookView xWindow="-38460" yWindow="460" windowWidth="38460" windowHeight="21140" tabRatio="943" activeTab="2"/>
  </bookViews>
  <sheets>
    <sheet name="Sheet1" sheetId="107" r:id="rId1"/>
    <sheet name="output" sheetId="103" r:id="rId2"/>
    <sheet name="tables_7304" sheetId="114" r:id="rId3"/>
    <sheet name="tables_7305" sheetId="115" r:id="rId4"/>
    <sheet name="gacha_bonus_tables" sheetId="98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2" hidden="1">tables_7304!$A$1:$V$3</definedName>
    <definedName name="_xlnm._FilterDatabase" localSheetId="3" hidden="1">tables_7305!$A$1:$V$3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7" i="115" l="1"/>
  <c r="I28" i="114"/>
  <c r="D28" i="114"/>
  <c r="J28" i="114"/>
  <c r="E28" i="114"/>
  <c r="F28" i="114"/>
  <c r="C28" i="114"/>
  <c r="H28" i="114"/>
  <c r="K28" i="114"/>
  <c r="L28" i="114"/>
  <c r="M28" i="114"/>
  <c r="N28" i="114"/>
  <c r="P28" i="114"/>
  <c r="P28" i="115"/>
  <c r="I28" i="115"/>
  <c r="D28" i="115"/>
  <c r="J28" i="115"/>
  <c r="E28" i="115"/>
  <c r="F28" i="115"/>
  <c r="C28" i="115"/>
  <c r="H28" i="115"/>
  <c r="K28" i="115"/>
  <c r="L28" i="115"/>
  <c r="M28" i="115"/>
  <c r="N28" i="115"/>
  <c r="I24" i="115"/>
  <c r="D24" i="115"/>
  <c r="J24" i="115"/>
  <c r="E24" i="115"/>
  <c r="F24" i="115"/>
  <c r="C24" i="115"/>
  <c r="H24" i="115"/>
  <c r="K24" i="115"/>
  <c r="L24" i="115"/>
  <c r="M24" i="115"/>
  <c r="N24" i="115"/>
  <c r="P24" i="115"/>
  <c r="I25" i="115"/>
  <c r="D25" i="115"/>
  <c r="J25" i="115"/>
  <c r="E25" i="115"/>
  <c r="F25" i="115"/>
  <c r="C25" i="115"/>
  <c r="H25" i="115"/>
  <c r="K25" i="115"/>
  <c r="L25" i="115"/>
  <c r="M25" i="115"/>
  <c r="N25" i="115"/>
  <c r="P25" i="115"/>
  <c r="I26" i="115"/>
  <c r="D26" i="115"/>
  <c r="J26" i="115"/>
  <c r="E26" i="115"/>
  <c r="F26" i="115"/>
  <c r="C26" i="115"/>
  <c r="H26" i="115"/>
  <c r="K26" i="115"/>
  <c r="L26" i="115"/>
  <c r="M26" i="115"/>
  <c r="N26" i="115"/>
  <c r="P26" i="115"/>
  <c r="I27" i="115"/>
  <c r="D27" i="115"/>
  <c r="J27" i="115"/>
  <c r="E27" i="115"/>
  <c r="F27" i="115"/>
  <c r="C27" i="115"/>
  <c r="H27" i="115"/>
  <c r="K27" i="115"/>
  <c r="L27" i="115"/>
  <c r="M27" i="115"/>
  <c r="N27" i="115"/>
  <c r="I24" i="114"/>
  <c r="D24" i="114"/>
  <c r="J24" i="114"/>
  <c r="E24" i="114"/>
  <c r="F24" i="114"/>
  <c r="C24" i="114"/>
  <c r="H24" i="114"/>
  <c r="K24" i="114"/>
  <c r="L24" i="114"/>
  <c r="M24" i="114"/>
  <c r="N24" i="114"/>
  <c r="P24" i="114"/>
  <c r="I25" i="114"/>
  <c r="D25" i="114"/>
  <c r="J25" i="114"/>
  <c r="E25" i="114"/>
  <c r="F25" i="114"/>
  <c r="C25" i="114"/>
  <c r="H25" i="114"/>
  <c r="K25" i="114"/>
  <c r="L25" i="114"/>
  <c r="M25" i="114"/>
  <c r="N25" i="114"/>
  <c r="P25" i="114"/>
  <c r="I26" i="114"/>
  <c r="D26" i="114"/>
  <c r="J26" i="114"/>
  <c r="E26" i="114"/>
  <c r="F26" i="114"/>
  <c r="C26" i="114"/>
  <c r="H26" i="114"/>
  <c r="K26" i="114"/>
  <c r="L26" i="114"/>
  <c r="M26" i="114"/>
  <c r="N26" i="114"/>
  <c r="P26" i="114"/>
  <c r="I27" i="114"/>
  <c r="D27" i="114"/>
  <c r="J27" i="114"/>
  <c r="E27" i="114"/>
  <c r="F27" i="114"/>
  <c r="C27" i="114"/>
  <c r="H27" i="114"/>
  <c r="K27" i="114"/>
  <c r="L27" i="114"/>
  <c r="M27" i="114"/>
  <c r="N27" i="114"/>
  <c r="P27" i="114"/>
  <c r="P23" i="115"/>
  <c r="N23" i="115"/>
  <c r="M23" i="115"/>
  <c r="L23" i="115"/>
  <c r="K23" i="115"/>
  <c r="J23" i="115"/>
  <c r="I23" i="115"/>
  <c r="H23" i="115"/>
  <c r="F23" i="115"/>
  <c r="E23" i="115"/>
  <c r="D23" i="115"/>
  <c r="C23" i="115"/>
  <c r="P22" i="115"/>
  <c r="N22" i="115"/>
  <c r="M22" i="115"/>
  <c r="L22" i="115"/>
  <c r="K22" i="115"/>
  <c r="J22" i="115"/>
  <c r="I22" i="115"/>
  <c r="H22" i="115"/>
  <c r="F22" i="115"/>
  <c r="E22" i="115"/>
  <c r="D22" i="115"/>
  <c r="C22" i="115"/>
  <c r="P21" i="115"/>
  <c r="N21" i="115"/>
  <c r="M21" i="115"/>
  <c r="L21" i="115"/>
  <c r="K21" i="115"/>
  <c r="J21" i="115"/>
  <c r="I21" i="115"/>
  <c r="H21" i="115"/>
  <c r="F21" i="115"/>
  <c r="E21" i="115"/>
  <c r="D21" i="115"/>
  <c r="C21" i="115"/>
  <c r="P20" i="115"/>
  <c r="N20" i="115"/>
  <c r="M20" i="115"/>
  <c r="L20" i="115"/>
  <c r="K20" i="115"/>
  <c r="J20" i="115"/>
  <c r="I20" i="115"/>
  <c r="H20" i="115"/>
  <c r="F20" i="115"/>
  <c r="E20" i="115"/>
  <c r="D20" i="115"/>
  <c r="C20" i="115"/>
  <c r="P19" i="115"/>
  <c r="N19" i="115"/>
  <c r="M19" i="115"/>
  <c r="L19" i="115"/>
  <c r="K19" i="115"/>
  <c r="J19" i="115"/>
  <c r="I19" i="115"/>
  <c r="H19" i="115"/>
  <c r="F19" i="115"/>
  <c r="E19" i="115"/>
  <c r="D19" i="115"/>
  <c r="C19" i="115"/>
  <c r="P18" i="115"/>
  <c r="N18" i="115"/>
  <c r="M18" i="115"/>
  <c r="L18" i="115"/>
  <c r="K18" i="115"/>
  <c r="J18" i="115"/>
  <c r="I18" i="115"/>
  <c r="H18" i="115"/>
  <c r="F18" i="115"/>
  <c r="E18" i="115"/>
  <c r="D18" i="115"/>
  <c r="C18" i="115"/>
  <c r="P17" i="115"/>
  <c r="N17" i="115"/>
  <c r="M17" i="115"/>
  <c r="L17" i="115"/>
  <c r="K17" i="115"/>
  <c r="J17" i="115"/>
  <c r="I17" i="115"/>
  <c r="H17" i="115"/>
  <c r="F17" i="115"/>
  <c r="E17" i="115"/>
  <c r="D17" i="115"/>
  <c r="C17" i="115"/>
  <c r="P16" i="115"/>
  <c r="N16" i="115"/>
  <c r="M16" i="115"/>
  <c r="L16" i="115"/>
  <c r="K16" i="115"/>
  <c r="J16" i="115"/>
  <c r="I16" i="115"/>
  <c r="H16" i="115"/>
  <c r="F16" i="115"/>
  <c r="E16" i="115"/>
  <c r="D16" i="115"/>
  <c r="C16" i="115"/>
  <c r="P15" i="115"/>
  <c r="N15" i="115"/>
  <c r="M15" i="115"/>
  <c r="L15" i="115"/>
  <c r="K15" i="115"/>
  <c r="J15" i="115"/>
  <c r="I15" i="115"/>
  <c r="H15" i="115"/>
  <c r="F15" i="115"/>
  <c r="E15" i="115"/>
  <c r="D15" i="115"/>
  <c r="C15" i="115"/>
  <c r="P14" i="115"/>
  <c r="N14" i="115"/>
  <c r="M14" i="115"/>
  <c r="L14" i="115"/>
  <c r="K14" i="115"/>
  <c r="J14" i="115"/>
  <c r="I14" i="115"/>
  <c r="H14" i="115"/>
  <c r="F14" i="115"/>
  <c r="E14" i="115"/>
  <c r="D14" i="115"/>
  <c r="C14" i="115"/>
  <c r="P13" i="115"/>
  <c r="N13" i="115"/>
  <c r="M13" i="115"/>
  <c r="L13" i="115"/>
  <c r="K13" i="115"/>
  <c r="J13" i="115"/>
  <c r="I13" i="115"/>
  <c r="H13" i="115"/>
  <c r="F13" i="115"/>
  <c r="E13" i="115"/>
  <c r="D13" i="115"/>
  <c r="C13" i="115"/>
  <c r="P12" i="115"/>
  <c r="N12" i="115"/>
  <c r="M12" i="115"/>
  <c r="L12" i="115"/>
  <c r="K12" i="115"/>
  <c r="J12" i="115"/>
  <c r="I12" i="115"/>
  <c r="H12" i="115"/>
  <c r="F12" i="115"/>
  <c r="E12" i="115"/>
  <c r="D12" i="115"/>
  <c r="C12" i="115"/>
  <c r="P11" i="115"/>
  <c r="N11" i="115"/>
  <c r="M11" i="115"/>
  <c r="L11" i="115"/>
  <c r="K11" i="115"/>
  <c r="J11" i="115"/>
  <c r="I11" i="115"/>
  <c r="H11" i="115"/>
  <c r="F11" i="115"/>
  <c r="E11" i="115"/>
  <c r="D11" i="115"/>
  <c r="C11" i="115"/>
  <c r="P10" i="115"/>
  <c r="N10" i="115"/>
  <c r="M10" i="115"/>
  <c r="L10" i="115"/>
  <c r="K10" i="115"/>
  <c r="J10" i="115"/>
  <c r="I10" i="115"/>
  <c r="H10" i="115"/>
  <c r="F10" i="115"/>
  <c r="E10" i="115"/>
  <c r="D10" i="115"/>
  <c r="C10" i="115"/>
  <c r="P9" i="115"/>
  <c r="N9" i="115"/>
  <c r="M9" i="115"/>
  <c r="L9" i="115"/>
  <c r="K9" i="115"/>
  <c r="J9" i="115"/>
  <c r="I9" i="115"/>
  <c r="H9" i="115"/>
  <c r="F9" i="115"/>
  <c r="E9" i="115"/>
  <c r="D9" i="115"/>
  <c r="C9" i="115"/>
  <c r="P8" i="115"/>
  <c r="N8" i="115"/>
  <c r="M8" i="115"/>
  <c r="L8" i="115"/>
  <c r="K8" i="115"/>
  <c r="J8" i="115"/>
  <c r="I8" i="115"/>
  <c r="H8" i="115"/>
  <c r="F8" i="115"/>
  <c r="E8" i="115"/>
  <c r="D8" i="115"/>
  <c r="C8" i="115"/>
  <c r="P7" i="115"/>
  <c r="N7" i="115"/>
  <c r="M7" i="115"/>
  <c r="L7" i="115"/>
  <c r="K7" i="115"/>
  <c r="J7" i="115"/>
  <c r="I7" i="115"/>
  <c r="H7" i="115"/>
  <c r="F7" i="115"/>
  <c r="E7" i="115"/>
  <c r="D7" i="115"/>
  <c r="C7" i="115"/>
  <c r="P6" i="115"/>
  <c r="N6" i="115"/>
  <c r="M6" i="115"/>
  <c r="L6" i="115"/>
  <c r="K6" i="115"/>
  <c r="J6" i="115"/>
  <c r="I6" i="115"/>
  <c r="H6" i="115"/>
  <c r="F6" i="115"/>
  <c r="E6" i="115"/>
  <c r="D6" i="115"/>
  <c r="C6" i="115"/>
  <c r="P5" i="115"/>
  <c r="N5" i="115"/>
  <c r="M5" i="115"/>
  <c r="L5" i="115"/>
  <c r="K5" i="115"/>
  <c r="J5" i="115"/>
  <c r="I5" i="115"/>
  <c r="H5" i="115"/>
  <c r="F5" i="115"/>
  <c r="E5" i="115"/>
  <c r="D5" i="115"/>
  <c r="C5" i="115"/>
  <c r="P4" i="115"/>
  <c r="N4" i="115"/>
  <c r="M4" i="115"/>
  <c r="L4" i="115"/>
  <c r="K4" i="115"/>
  <c r="J4" i="115"/>
  <c r="I4" i="115"/>
  <c r="H4" i="115"/>
  <c r="F4" i="115"/>
  <c r="E4" i="115"/>
  <c r="D4" i="115"/>
  <c r="C4" i="115"/>
  <c r="P3" i="115"/>
  <c r="N3" i="115"/>
  <c r="M3" i="115"/>
  <c r="L3" i="115"/>
  <c r="K3" i="115"/>
  <c r="J3" i="115"/>
  <c r="I3" i="115"/>
  <c r="H3" i="115"/>
  <c r="F3" i="115"/>
  <c r="E3" i="115"/>
  <c r="D3" i="115"/>
  <c r="C3" i="115"/>
  <c r="P2" i="115"/>
  <c r="N2" i="115"/>
  <c r="M2" i="115"/>
  <c r="L2" i="115"/>
  <c r="K2" i="115"/>
  <c r="J2" i="115"/>
  <c r="I2" i="115"/>
  <c r="H2" i="115"/>
  <c r="F2" i="115"/>
  <c r="E2" i="115"/>
  <c r="D2" i="115"/>
  <c r="C2" i="115"/>
  <c r="P23" i="114"/>
  <c r="N23" i="114"/>
  <c r="M23" i="114"/>
  <c r="L23" i="114"/>
  <c r="K23" i="114"/>
  <c r="J23" i="114"/>
  <c r="I23" i="114"/>
  <c r="H23" i="114"/>
  <c r="F23" i="114"/>
  <c r="E23" i="114"/>
  <c r="D23" i="114"/>
  <c r="C23" i="114"/>
  <c r="P22" i="114"/>
  <c r="N22" i="114"/>
  <c r="M22" i="114"/>
  <c r="L22" i="114"/>
  <c r="K22" i="114"/>
  <c r="J22" i="114"/>
  <c r="I22" i="114"/>
  <c r="H22" i="114"/>
  <c r="F22" i="114"/>
  <c r="E22" i="114"/>
  <c r="D22" i="114"/>
  <c r="C22" i="114"/>
  <c r="P21" i="114"/>
  <c r="N21" i="114"/>
  <c r="M21" i="114"/>
  <c r="L21" i="114"/>
  <c r="K21" i="114"/>
  <c r="J21" i="114"/>
  <c r="I21" i="114"/>
  <c r="H21" i="114"/>
  <c r="F21" i="114"/>
  <c r="E21" i="114"/>
  <c r="D21" i="114"/>
  <c r="C21" i="114"/>
  <c r="P20" i="114"/>
  <c r="N20" i="114"/>
  <c r="M20" i="114"/>
  <c r="L20" i="114"/>
  <c r="K20" i="114"/>
  <c r="J20" i="114"/>
  <c r="I20" i="114"/>
  <c r="H20" i="114"/>
  <c r="F20" i="114"/>
  <c r="E20" i="114"/>
  <c r="D20" i="114"/>
  <c r="C20" i="114"/>
  <c r="P19" i="114"/>
  <c r="N19" i="114"/>
  <c r="M19" i="114"/>
  <c r="L19" i="114"/>
  <c r="K19" i="114"/>
  <c r="J19" i="114"/>
  <c r="I19" i="114"/>
  <c r="H19" i="114"/>
  <c r="F19" i="114"/>
  <c r="E19" i="114"/>
  <c r="D19" i="114"/>
  <c r="C19" i="114"/>
  <c r="P18" i="114"/>
  <c r="N18" i="114"/>
  <c r="M18" i="114"/>
  <c r="L18" i="114"/>
  <c r="K18" i="114"/>
  <c r="J18" i="114"/>
  <c r="I18" i="114"/>
  <c r="H18" i="114"/>
  <c r="F18" i="114"/>
  <c r="E18" i="114"/>
  <c r="D18" i="114"/>
  <c r="C18" i="114"/>
  <c r="I15" i="114"/>
  <c r="D15" i="114"/>
  <c r="J15" i="114"/>
  <c r="E15" i="114"/>
  <c r="F15" i="114"/>
  <c r="C15" i="114"/>
  <c r="H15" i="114"/>
  <c r="K15" i="114"/>
  <c r="L15" i="114"/>
  <c r="M15" i="114"/>
  <c r="N15" i="114"/>
  <c r="P15" i="114"/>
  <c r="I16" i="114"/>
  <c r="D16" i="114"/>
  <c r="J16" i="114"/>
  <c r="E16" i="114"/>
  <c r="F16" i="114"/>
  <c r="C16" i="114"/>
  <c r="H16" i="114"/>
  <c r="K16" i="114"/>
  <c r="L16" i="114"/>
  <c r="M16" i="114"/>
  <c r="N16" i="114"/>
  <c r="P16" i="114"/>
  <c r="I17" i="114"/>
  <c r="D17" i="114"/>
  <c r="J17" i="114"/>
  <c r="E17" i="114"/>
  <c r="F17" i="114"/>
  <c r="C17" i="114"/>
  <c r="H17" i="114"/>
  <c r="K17" i="114"/>
  <c r="L17" i="114"/>
  <c r="M17" i="114"/>
  <c r="N17" i="114"/>
  <c r="P17" i="114"/>
  <c r="P14" i="114"/>
  <c r="N14" i="114"/>
  <c r="M14" i="114"/>
  <c r="L14" i="114"/>
  <c r="K14" i="114"/>
  <c r="J14" i="114"/>
  <c r="I14" i="114"/>
  <c r="H14" i="114"/>
  <c r="F14" i="114"/>
  <c r="E14" i="114"/>
  <c r="D14" i="114"/>
  <c r="C14" i="114"/>
  <c r="P13" i="114"/>
  <c r="N13" i="114"/>
  <c r="M13" i="114"/>
  <c r="L13" i="114"/>
  <c r="K13" i="114"/>
  <c r="J13" i="114"/>
  <c r="I13" i="114"/>
  <c r="H13" i="114"/>
  <c r="F13" i="114"/>
  <c r="E13" i="114"/>
  <c r="D13" i="114"/>
  <c r="C13" i="114"/>
  <c r="P12" i="114"/>
  <c r="N12" i="114"/>
  <c r="M12" i="114"/>
  <c r="L12" i="114"/>
  <c r="K12" i="114"/>
  <c r="J12" i="114"/>
  <c r="I12" i="114"/>
  <c r="H12" i="114"/>
  <c r="F12" i="114"/>
  <c r="E12" i="114"/>
  <c r="D12" i="114"/>
  <c r="C12" i="114"/>
  <c r="P11" i="114"/>
  <c r="N11" i="114"/>
  <c r="M11" i="114"/>
  <c r="L11" i="114"/>
  <c r="K11" i="114"/>
  <c r="J11" i="114"/>
  <c r="I11" i="114"/>
  <c r="H11" i="114"/>
  <c r="F11" i="114"/>
  <c r="E11" i="114"/>
  <c r="D11" i="114"/>
  <c r="C11" i="114"/>
  <c r="P10" i="114"/>
  <c r="N10" i="114"/>
  <c r="M10" i="114"/>
  <c r="L10" i="114"/>
  <c r="K10" i="114"/>
  <c r="J10" i="114"/>
  <c r="I10" i="114"/>
  <c r="H10" i="114"/>
  <c r="F10" i="114"/>
  <c r="E10" i="114"/>
  <c r="D10" i="114"/>
  <c r="C10" i="114"/>
  <c r="P9" i="114"/>
  <c r="N9" i="114"/>
  <c r="M9" i="114"/>
  <c r="L9" i="114"/>
  <c r="K9" i="114"/>
  <c r="J9" i="114"/>
  <c r="I9" i="114"/>
  <c r="H9" i="114"/>
  <c r="F9" i="114"/>
  <c r="E9" i="114"/>
  <c r="D9" i="114"/>
  <c r="C9" i="114"/>
  <c r="P8" i="114"/>
  <c r="N8" i="114"/>
  <c r="M8" i="114"/>
  <c r="L8" i="114"/>
  <c r="K8" i="114"/>
  <c r="J8" i="114"/>
  <c r="I8" i="114"/>
  <c r="H8" i="114"/>
  <c r="F8" i="114"/>
  <c r="E8" i="114"/>
  <c r="D8" i="114"/>
  <c r="C8" i="114"/>
  <c r="P7" i="114"/>
  <c r="N7" i="114"/>
  <c r="M7" i="114"/>
  <c r="L7" i="114"/>
  <c r="K7" i="114"/>
  <c r="J7" i="114"/>
  <c r="I7" i="114"/>
  <c r="H7" i="114"/>
  <c r="F7" i="114"/>
  <c r="E7" i="114"/>
  <c r="D7" i="114"/>
  <c r="C7" i="114"/>
  <c r="I4" i="114"/>
  <c r="D4" i="114"/>
  <c r="J4" i="114"/>
  <c r="E4" i="114"/>
  <c r="F4" i="114"/>
  <c r="C4" i="114"/>
  <c r="H4" i="114"/>
  <c r="K4" i="114"/>
  <c r="L4" i="114"/>
  <c r="M4" i="114"/>
  <c r="N4" i="114"/>
  <c r="P4" i="114"/>
  <c r="I5" i="114"/>
  <c r="D5" i="114"/>
  <c r="J5" i="114"/>
  <c r="E5" i="114"/>
  <c r="F5" i="114"/>
  <c r="C5" i="114"/>
  <c r="H5" i="114"/>
  <c r="K5" i="114"/>
  <c r="L5" i="114"/>
  <c r="M5" i="114"/>
  <c r="N5" i="114"/>
  <c r="P5" i="114"/>
  <c r="I6" i="114"/>
  <c r="D6" i="114"/>
  <c r="J6" i="114"/>
  <c r="E6" i="114"/>
  <c r="F6" i="114"/>
  <c r="C6" i="114"/>
  <c r="H6" i="114"/>
  <c r="K6" i="114"/>
  <c r="L6" i="114"/>
  <c r="M6" i="114"/>
  <c r="N6" i="114"/>
  <c r="P6" i="114"/>
  <c r="E4" i="103"/>
  <c r="E3" i="103"/>
  <c r="J3" i="114"/>
  <c r="I2" i="114"/>
  <c r="D2" i="114"/>
  <c r="J2" i="114"/>
  <c r="E2" i="114"/>
  <c r="F2" i="114"/>
  <c r="C2" i="114"/>
  <c r="I3" i="114"/>
  <c r="D3" i="114"/>
  <c r="E3" i="114"/>
  <c r="F3" i="114"/>
  <c r="C3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<sst xmlns="http://schemas.openxmlformats.org/spreadsheetml/2006/main" count="155" uniqueCount="87">
  <si>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</si>
  <si>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</si>
  <si>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</si>
  <si>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</si>
  <si>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</si>
  <si>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</si>
  <si>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</si>
  <si>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</si>
  <si>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</si>
  <si>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</si>
  <si>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</si>
  <si>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</si>
  <si>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</si>
  <si>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</si>
  <si>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</si>
  <si>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</si>
  <si>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</si>
  <si>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</si>
  <si>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</si>
  <si>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</si>
  <si>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</si>
  <si>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</si>
  <si>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</si>
  <si>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</si>
  <si>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</si>
  <si>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</si>
  <si>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</si>
  <si>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</si>
  <si>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</si>
  <si>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</si>
  <si>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</si>
  <si>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</si>
  <si>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</si>
  <si>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</si>
  <si>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</si>
  <si>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</si>
  <si>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</si>
  <si>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</si>
  <si>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</si>
  <si>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</si>
  <si>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</si>
  <si>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</si>
  <si>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</si>
  <si>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</si>
  <si>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</si>
  <si>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</si>
  <si>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</si>
  <si>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</si>
  <si>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</si>
  <si>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</si>
  <si>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</si>
  <si>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</si>
  <si>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</si>
  <si>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</si>
  <si>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</si>
  <si>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hogehoge</t>
    <phoneticPr fontId="18"/>
  </si>
  <si>
    <t>性別</t>
    <rPh sb="0" eb="2">
      <t>セイベツ</t>
    </rPh>
    <phoneticPr fontId="18"/>
  </si>
  <si>
    <t>ピックアップ確率</t>
    <rPh sb="6" eb="8">
      <t>カクリツ</t>
    </rPh>
    <phoneticPr fontId="18"/>
  </si>
  <si>
    <t>確率</t>
    <rPh sb="0" eb="2">
      <t>カクリツ</t>
    </rPh>
    <phoneticPr fontId="18"/>
  </si>
  <si>
    <t>名前</t>
    <rPh sb="0" eb="2">
      <t>ナマエ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</si>
  <si>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</si>
  <si>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</si>
  <si>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</si>
  <si>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</si>
  <si>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</si>
  <si>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</si>
  <si>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</si>
  <si>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</si>
  <si>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</si>
  <si>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</si>
  <si>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</si>
  <si>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</si>
  <si>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</si>
  <si>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</si>
  <si>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</si>
  <si>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</si>
  <si>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</si>
  <si>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color2</t>
    <phoneticPr fontId="18"/>
  </si>
  <si>
    <t>gacha_select_tables_</t>
    <phoneticPr fontId="18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</si>
  <si>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</si>
  <si>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</si>
  <si>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old</t>
    <phoneticPr fontId="18"/>
  </si>
  <si>
    <t>gacha_settle_tables_</t>
    <phoneticPr fontId="18"/>
  </si>
  <si>
    <t>tables_settle_7301</t>
    <phoneticPr fontId="18"/>
  </si>
  <si>
    <t>skip</t>
    <phoneticPr fontId="18"/>
  </si>
  <si>
    <t>tables_7304</t>
    <phoneticPr fontId="18"/>
  </si>
  <si>
    <t>tables_7305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</si>
</sst>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48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27" borderId="1" xfId="0" applyFont="1" applyFill="1" applyBorder="1" applyAlignment="1">
      <alignment horizontal="left" vertical="center"/>
    </xf>
    <xf numFmtId="0" fontId="23" fillId="24" borderId="1" xfId="2" applyFont="1" applyFill="1" applyBorder="1" applyAlignment="1">
      <alignment horizontal="left" vertical="center"/>
    </xf>
    <xf numFmtId="0" fontId="22" fillId="24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4" fillId="0" borderId="1" xfId="3036" applyFont="1" applyBorder="1"/>
    <xf numFmtId="0" fontId="3" fillId="4" borderId="1" xfId="2978" applyFont="1" applyFill="1" applyBorder="1"/>
    <xf numFmtId="0" fontId="3" fillId="0" borderId="1" xfId="2978" applyFont="1" applyBorder="1"/>
    <xf numFmtId="0" fontId="2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balance</v>
          </cell>
          <cell r="L1233" t="str">
            <v>バランスタイプ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balance</v>
          </cell>
          <cell r="L1234" t="str">
            <v>バランスタイプ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6001</v>
          </cell>
          <cell r="B1298" t="str">
            <v>ja</v>
          </cell>
          <cell r="C1298" t="str">
            <v>ジェリー</v>
          </cell>
          <cell r="D1298" t="str">
            <v>ノーマルクエスト</v>
          </cell>
          <cell r="E1298" t="str">
            <v>QoH</v>
          </cell>
          <cell r="F1298" t="str">
            <v>世界観</v>
          </cell>
          <cell r="G1298" t="str">
            <v>不明</v>
          </cell>
          <cell r="H1298" t="str">
            <v>red</v>
          </cell>
          <cell r="I1298">
            <v>1</v>
          </cell>
          <cell r="J1298" t="str">
            <v>Drop1T</v>
          </cell>
          <cell r="K1298" t="str">
            <v>ra</v>
          </cell>
          <cell r="L1298" t="str">
            <v>ラグランジュチャレンジ</v>
          </cell>
          <cell r="M1298" t="str">
            <v>unknown</v>
          </cell>
        </row>
        <row r="1299">
          <cell r="A1299">
            <v>6002</v>
          </cell>
          <cell r="B1299" t="str">
            <v>ja</v>
          </cell>
          <cell r="C1299" t="str">
            <v>ヨシタカ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男性</v>
          </cell>
          <cell r="H1299" t="str">
            <v>red</v>
          </cell>
          <cell r="I1299">
            <v>2</v>
          </cell>
          <cell r="J1299" t="str">
            <v>Drop1N</v>
          </cell>
          <cell r="K1299" t="str">
            <v>ra</v>
          </cell>
          <cell r="L1299" t="str">
            <v>ラグランジュチャレンジ</v>
          </cell>
          <cell r="M1299" t="str">
            <v>human</v>
          </cell>
        </row>
        <row r="1300">
          <cell r="A1300">
            <v>6003</v>
          </cell>
          <cell r="B1300" t="str">
            <v>ja</v>
          </cell>
          <cell r="C1300" t="str">
            <v>朱雀</v>
          </cell>
          <cell r="D1300" t="str">
            <v>リンクガチャ:4神</v>
          </cell>
          <cell r="E1300" t="str">
            <v>守護神</v>
          </cell>
          <cell r="F1300" t="str">
            <v>格好いい</v>
          </cell>
          <cell r="G1300" t="str">
            <v>不明</v>
          </cell>
          <cell r="H1300" t="str">
            <v>red</v>
          </cell>
          <cell r="I1300">
            <v>3</v>
          </cell>
          <cell r="J1300" t="str">
            <v>Drop2N</v>
          </cell>
          <cell r="K1300" t="str">
            <v>ra</v>
          </cell>
          <cell r="L1300" t="str">
            <v>ラグランジュチャレンジ</v>
          </cell>
          <cell r="M1300" t="str">
            <v>animal</v>
          </cell>
        </row>
        <row r="1301">
          <cell r="A1301">
            <v>6004</v>
          </cell>
          <cell r="B1301" t="str">
            <v>ja</v>
          </cell>
          <cell r="C1301" t="str">
            <v>ブレット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不明</v>
          </cell>
          <cell r="H1301" t="str">
            <v>red</v>
          </cell>
          <cell r="I1301">
            <v>1</v>
          </cell>
          <cell r="J1301" t="str">
            <v>Drop1W</v>
          </cell>
          <cell r="K1301" t="str">
            <v>ra</v>
          </cell>
          <cell r="L1301" t="str">
            <v>ラグランジュチャレンジ</v>
          </cell>
          <cell r="M1301" t="str">
            <v>animal</v>
          </cell>
        </row>
        <row r="1302">
          <cell r="A1302">
            <v>6005</v>
          </cell>
          <cell r="B1302" t="str">
            <v>ja</v>
          </cell>
          <cell r="C1302" t="str">
            <v>孤神 テティス</v>
          </cell>
          <cell r="D1302" t="str">
            <v>初期ガチャ</v>
          </cell>
          <cell r="E1302" t="str">
            <v>管理者</v>
          </cell>
          <cell r="F1302" t="str">
            <v>美しい</v>
          </cell>
          <cell r="G1302" t="str">
            <v>女性</v>
          </cell>
          <cell r="H1302" t="str">
            <v>blue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god</v>
          </cell>
        </row>
        <row r="1303">
          <cell r="A1303">
            <v>6006</v>
          </cell>
          <cell r="B1303" t="str">
            <v>ja</v>
          </cell>
          <cell r="C1303" t="str">
            <v>海底の孤高神 テティス</v>
          </cell>
          <cell r="D1303" t="str">
            <v>初期ガチャ</v>
          </cell>
          <cell r="E1303" t="str">
            <v>管理者</v>
          </cell>
          <cell r="F1303" t="str">
            <v>美しい</v>
          </cell>
          <cell r="G1303" t="str">
            <v>女性</v>
          </cell>
          <cell r="H1303" t="str">
            <v>blue</v>
          </cell>
          <cell r="I1303">
            <v>5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6007</v>
          </cell>
          <cell r="B1304" t="str">
            <v>ja</v>
          </cell>
          <cell r="C1304" t="str">
            <v>番犬 ケルベロス</v>
          </cell>
          <cell r="D1304" t="str">
            <v>初期ガチャ</v>
          </cell>
          <cell r="E1304" t="str">
            <v>破界者</v>
          </cell>
          <cell r="F1304" t="str">
            <v>可愛い</v>
          </cell>
          <cell r="G1304" t="str">
            <v>女性</v>
          </cell>
          <cell r="H1304" t="str">
            <v>red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6008</v>
          </cell>
          <cell r="B1305" t="str">
            <v>ja</v>
          </cell>
          <cell r="C1305" t="str">
            <v>焔神 プロメテウス</v>
          </cell>
          <cell r="D1305" t="str">
            <v>初期ガチャ</v>
          </cell>
          <cell r="E1305" t="str">
            <v>管理者</v>
          </cell>
          <cell r="F1305" t="str">
            <v>格好いい</v>
          </cell>
          <cell r="G1305" t="str">
            <v>男性</v>
          </cell>
          <cell r="H1305" t="str">
            <v>red</v>
          </cell>
          <cell r="I1305">
            <v>4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6009</v>
          </cell>
          <cell r="B1306" t="str">
            <v>ja</v>
          </cell>
          <cell r="C1306" t="str">
            <v>超越自我 ラグランジュ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女性</v>
          </cell>
          <cell r="H1306" t="str">
            <v>red</v>
          </cell>
          <cell r="I1306">
            <v>5</v>
          </cell>
          <cell r="J1306" t="str">
            <v>PremiumSSS</v>
          </cell>
          <cell r="K1306" t="str">
            <v>ra</v>
          </cell>
          <cell r="L1306" t="str">
            <v>ラグランジュチャレンジ</v>
          </cell>
          <cell r="M1306" t="str">
            <v>human</v>
          </cell>
        </row>
        <row r="1307">
          <cell r="A1307">
            <v>6010</v>
          </cell>
          <cell r="B1307" t="str">
            <v>ja</v>
          </cell>
          <cell r="C1307" t="str">
            <v>超越凌駕 ラグランジュ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女性</v>
          </cell>
          <cell r="H1307" t="str">
            <v>red</v>
          </cell>
          <cell r="I1307">
            <v>6</v>
          </cell>
          <cell r="J1307" t="str">
            <v>PremiumSSS</v>
          </cell>
          <cell r="K1307" t="str">
            <v>ra</v>
          </cell>
          <cell r="L1307" t="str">
            <v>ラグランジュチャレンジ</v>
          </cell>
          <cell r="M1307" t="str">
            <v>human</v>
          </cell>
        </row>
        <row r="1308">
          <cell r="A1308">
            <v>6011</v>
          </cell>
          <cell r="B1308" t="str">
            <v>ja</v>
          </cell>
          <cell r="C1308" t="str">
            <v>パトドッグリーダー ポチ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Drop1T</v>
          </cell>
          <cell r="K1308" t="str">
            <v>ra002</v>
          </cell>
          <cell r="L1308" t="str">
            <v>ユークリッドチャレンジ</v>
          </cell>
          <cell r="M1308" t="str">
            <v>unknown</v>
          </cell>
        </row>
        <row r="1309">
          <cell r="A1309">
            <v>6012</v>
          </cell>
          <cell r="B1309" t="str">
            <v>ja</v>
          </cell>
          <cell r="C1309" t="str">
            <v>ミミ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yellow</v>
          </cell>
          <cell r="I1309">
            <v>1</v>
          </cell>
          <cell r="J1309" t="str">
            <v>Drop1W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6013</v>
          </cell>
          <cell r="B1310" t="str">
            <v>ja</v>
          </cell>
          <cell r="C1310" t="str">
            <v>護衛機人 スケアクロウ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Drop1N</v>
          </cell>
          <cell r="K1310" t="str">
            <v>ra002</v>
          </cell>
          <cell r="L1310" t="str">
            <v>ユークリッドチャレンジ</v>
          </cell>
          <cell r="M1310" t="str">
            <v>machine</v>
          </cell>
        </row>
        <row r="1311">
          <cell r="A1311">
            <v>6014</v>
          </cell>
          <cell r="B1311" t="str">
            <v>ja</v>
          </cell>
          <cell r="C1311" t="str">
            <v>月下の人狼 ローレンス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4</v>
          </cell>
          <cell r="J1311" t="str">
            <v>PremiumW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6015</v>
          </cell>
          <cell r="B1312" t="str">
            <v>ja</v>
          </cell>
          <cell r="C1312" t="str">
            <v>フレイヤ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4</v>
          </cell>
          <cell r="J1312" t="str">
            <v>PremiumSS</v>
          </cell>
          <cell r="K1312" t="str">
            <v>ra002</v>
          </cell>
          <cell r="L1312" t="str">
            <v>ユークリッドチャレンジ</v>
          </cell>
          <cell r="M1312" t="str">
            <v>animal</v>
          </cell>
        </row>
        <row r="1313">
          <cell r="A1313">
            <v>6016</v>
          </cell>
          <cell r="B1313" t="str">
            <v>ja</v>
          </cell>
          <cell r="C1313" t="str">
            <v>根原論理 ユークリッド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5</v>
          </cell>
          <cell r="J1313" t="str">
            <v>PremiumSSS</v>
          </cell>
          <cell r="K1313" t="str">
            <v>ra002</v>
          </cell>
          <cell r="L1313" t="str">
            <v>ユークリッドチャレンジ</v>
          </cell>
          <cell r="M1313" t="str">
            <v>human</v>
          </cell>
        </row>
        <row r="1314">
          <cell r="A1314">
            <v>6017</v>
          </cell>
          <cell r="B1314" t="str">
            <v>ja</v>
          </cell>
          <cell r="C1314" t="str">
            <v>不朽の極論 ユークリッド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6</v>
          </cell>
          <cell r="J1314" t="str">
            <v>PremiumSSS</v>
          </cell>
          <cell r="K1314" t="str">
            <v>ra002</v>
          </cell>
          <cell r="L1314" t="str">
            <v>ユークリッドチャレンジ</v>
          </cell>
          <cell r="M1314" t="str">
            <v>human</v>
          </cell>
        </row>
        <row r="1315">
          <cell r="A1315">
            <v>6018</v>
          </cell>
          <cell r="B1315" t="str">
            <v>ja</v>
          </cell>
          <cell r="C1315" t="str">
            <v>ハヅル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red</v>
          </cell>
          <cell r="I1315">
            <v>4</v>
          </cell>
          <cell r="J1315" t="str">
            <v>PremiumSS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6019</v>
          </cell>
          <cell r="B1316" t="str">
            <v>ja</v>
          </cell>
          <cell r="C1316" t="str">
            <v>天織羽鶴 ハヅル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red</v>
          </cell>
          <cell r="I1316">
            <v>5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6020</v>
          </cell>
          <cell r="B1317" t="str">
            <v>ja</v>
          </cell>
          <cell r="C1317" t="str">
            <v>ミズチ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4</v>
          </cell>
          <cell r="J1317" t="str">
            <v>PremiumS</v>
          </cell>
          <cell r="K1317" t="str">
            <v>ra002</v>
          </cell>
          <cell r="L1317" t="str">
            <v>ユークリッドチャレンジ</v>
          </cell>
          <cell r="M1317" t="str">
            <v>dragon</v>
          </cell>
        </row>
        <row r="1318">
          <cell r="A1318">
            <v>8001</v>
          </cell>
          <cell r="B1318" t="str">
            <v>ja</v>
          </cell>
          <cell r="C1318" t="str">
            <v>媽祖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女性</v>
          </cell>
          <cell r="H1318" t="str">
            <v>yellow</v>
          </cell>
          <cell r="I1318">
            <v>5</v>
          </cell>
          <cell r="J1318" t="str">
            <v>PremiumSS</v>
          </cell>
          <cell r="K1318" t="str">
            <v>attack</v>
          </cell>
          <cell r="L1318" t="str">
            <v>攻撃タイプ</v>
          </cell>
          <cell r="M1318" t="str">
            <v>god</v>
          </cell>
        </row>
        <row r="1319">
          <cell r="A1319">
            <v>8002</v>
          </cell>
          <cell r="B1319" t="str">
            <v>ja</v>
          </cell>
          <cell r="C1319" t="str">
            <v>天后 媽祖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女性</v>
          </cell>
          <cell r="H1319" t="str">
            <v>yellow</v>
          </cell>
          <cell r="I1319">
            <v>6</v>
          </cell>
          <cell r="J1319" t="str">
            <v>PremiumSS</v>
          </cell>
          <cell r="K1319" t="str">
            <v>attack</v>
          </cell>
          <cell r="L1319" t="str">
            <v>攻撃タイプ</v>
          </cell>
          <cell r="M1319" t="str">
            <v>god</v>
          </cell>
        </row>
        <row r="1320">
          <cell r="A1320">
            <v>8003</v>
          </cell>
          <cell r="B1320" t="str">
            <v>ja</v>
          </cell>
          <cell r="C1320" t="str">
            <v>蛟龍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DropWizS</v>
          </cell>
          <cell r="K1320" t="str">
            <v>hp</v>
          </cell>
          <cell r="L1320" t="str">
            <v>体力タイプ</v>
          </cell>
          <cell r="M1320" t="str">
            <v>dragon</v>
          </cell>
        </row>
        <row r="1321">
          <cell r="A1321">
            <v>8004</v>
          </cell>
          <cell r="B1321" t="str">
            <v>ja</v>
          </cell>
          <cell r="C1321" t="str">
            <v>深海蛟龍怪‧晏公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DropWizS</v>
          </cell>
          <cell r="K1321" t="str">
            <v>hp</v>
          </cell>
          <cell r="L1321" t="str">
            <v>体力タイプ</v>
          </cell>
          <cell r="M1321" t="str">
            <v>dragon</v>
          </cell>
        </row>
        <row r="1322">
          <cell r="A1322">
            <v>8005</v>
          </cell>
          <cell r="B1322" t="str">
            <v>ja</v>
          </cell>
          <cell r="C1322" t="str">
            <v>三蔵法師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human</v>
          </cell>
        </row>
        <row r="1323">
          <cell r="A1323">
            <v>8006</v>
          </cell>
          <cell r="B1323" t="str">
            <v>ja</v>
          </cell>
          <cell r="C1323" t="str">
            <v>三蔵法師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human</v>
          </cell>
        </row>
        <row r="1324">
          <cell r="A1324">
            <v>8007</v>
          </cell>
          <cell r="B1324" t="str">
            <v>ja</v>
          </cell>
          <cell r="C1324" t="str">
            <v>孫悟空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red</v>
          </cell>
          <cell r="I1324">
            <v>5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animal</v>
          </cell>
        </row>
        <row r="1325">
          <cell r="A1325">
            <v>8008</v>
          </cell>
          <cell r="B1325" t="str">
            <v>ja</v>
          </cell>
          <cell r="C1325" t="str">
            <v>孫悟空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red</v>
          </cell>
          <cell r="I1325">
            <v>6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animal</v>
          </cell>
        </row>
        <row r="1326">
          <cell r="A1326">
            <v>8009</v>
          </cell>
          <cell r="B1326" t="str">
            <v>ja</v>
          </cell>
          <cell r="C1326" t="str">
            <v>西王娘娘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green</v>
          </cell>
          <cell r="I1326">
            <v>5</v>
          </cell>
          <cell r="J1326" t="str">
            <v>PremiumSS</v>
          </cell>
          <cell r="K1326" t="str">
            <v>attack</v>
          </cell>
          <cell r="L1326" t="str">
            <v>攻撃タイプ</v>
          </cell>
          <cell r="M1326" t="str">
            <v>god</v>
          </cell>
        </row>
        <row r="1327">
          <cell r="A1327">
            <v>8010</v>
          </cell>
          <cell r="B1327" t="str">
            <v>ja</v>
          </cell>
          <cell r="C1327" t="str">
            <v>西王娘娘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green</v>
          </cell>
          <cell r="I1327">
            <v>6</v>
          </cell>
          <cell r="J1327" t="str">
            <v>PremiumSS</v>
          </cell>
          <cell r="K1327" t="str">
            <v>attack</v>
          </cell>
          <cell r="L1327" t="str">
            <v>攻撃タイプ</v>
          </cell>
          <cell r="M1327" t="str">
            <v>god</v>
          </cell>
        </row>
        <row r="1328">
          <cell r="A1328">
            <v>8011</v>
          </cell>
          <cell r="B1328" t="str">
            <v>ja</v>
          </cell>
          <cell r="C1328" t="str">
            <v>月下老人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5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god</v>
          </cell>
        </row>
        <row r="1329">
          <cell r="A1329">
            <v>8012</v>
          </cell>
          <cell r="B1329" t="str">
            <v>ja</v>
          </cell>
          <cell r="C1329" t="str">
            <v>良緣祈福 月下老人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6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god</v>
          </cell>
        </row>
        <row r="1330">
          <cell r="A1330">
            <v>8013</v>
          </cell>
          <cell r="B1330" t="str">
            <v>ja</v>
          </cell>
          <cell r="C1330" t="str">
            <v>初音ミクV3</v>
          </cell>
          <cell r="D1330" t="str">
            <v>初音ミクV3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4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unknown</v>
          </cell>
        </row>
        <row r="1331">
          <cell r="A1331">
            <v>8014</v>
          </cell>
          <cell r="B1331" t="str">
            <v>ja</v>
          </cell>
          <cell r="C1331" t="str">
            <v>初音ミクV3</v>
          </cell>
          <cell r="D1331" t="str">
            <v>初音ミクV3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unknown</v>
          </cell>
        </row>
        <row r="1332">
          <cell r="A1332">
            <v>8015</v>
          </cell>
          <cell r="B1332" t="str">
            <v>ja</v>
          </cell>
          <cell r="C1332" t="str">
            <v>初音ミク・アペンド</v>
          </cell>
          <cell r="D1332" t="str">
            <v>初音ミク・アペンド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technical</v>
          </cell>
          <cell r="L1332" t="str">
            <v>テクニカルタイプ</v>
          </cell>
          <cell r="M1332" t="str">
            <v>unknown</v>
          </cell>
        </row>
        <row r="1333">
          <cell r="A1333">
            <v>8016</v>
          </cell>
          <cell r="B1333" t="str">
            <v>ja</v>
          </cell>
          <cell r="C1333" t="str">
            <v>初音ミク・アペンド</v>
          </cell>
          <cell r="D1333" t="str">
            <v>初音ミク・アペンド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technical</v>
          </cell>
          <cell r="L1333" t="str">
            <v>テクニカルタイプ</v>
          </cell>
          <cell r="M1333" t="str">
            <v>unknown</v>
          </cell>
        </row>
        <row r="1334">
          <cell r="A1334">
            <v>8017</v>
          </cell>
          <cell r="B1334" t="str">
            <v>ja</v>
          </cell>
          <cell r="C1334" t="str">
            <v>初音ミク</v>
          </cell>
          <cell r="D1334" t="str">
            <v>初音ミク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8018</v>
          </cell>
          <cell r="B1335" t="str">
            <v>ja</v>
          </cell>
          <cell r="C1335" t="str">
            <v>初音ミク</v>
          </cell>
          <cell r="D1335" t="str">
            <v>初音ミク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8019</v>
          </cell>
          <cell r="B1336" t="str">
            <v>ja</v>
          </cell>
          <cell r="C1336" t="str">
            <v>鏡音リン</v>
          </cell>
          <cell r="D1336" t="str">
            <v>鏡音リン</v>
          </cell>
          <cell r="E1336" t="str">
            <v>執行者</v>
          </cell>
          <cell r="F1336" t="str">
            <v>格好いい</v>
          </cell>
          <cell r="G1336" t="str">
            <v>男性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8020</v>
          </cell>
          <cell r="B1337" t="str">
            <v>ja</v>
          </cell>
          <cell r="C1337" t="str">
            <v>鏡音リン</v>
          </cell>
          <cell r="D1337" t="str">
            <v>鏡音リン</v>
          </cell>
          <cell r="E1337" t="str">
            <v>執行者</v>
          </cell>
          <cell r="F1337" t="str">
            <v>格好いい</v>
          </cell>
          <cell r="G1337" t="str">
            <v>男性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8021</v>
          </cell>
          <cell r="B1338" t="str">
            <v>ja</v>
          </cell>
          <cell r="C1338" t="str">
            <v>鏡音レン</v>
          </cell>
          <cell r="D1338" t="str">
            <v>鏡音レン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heal</v>
          </cell>
          <cell r="L1338" t="str">
            <v>回復タイプ</v>
          </cell>
          <cell r="M1338" t="str">
            <v>unknown</v>
          </cell>
        </row>
        <row r="1339">
          <cell r="A1339">
            <v>8022</v>
          </cell>
          <cell r="B1339" t="str">
            <v>ja</v>
          </cell>
          <cell r="C1339" t="str">
            <v>鏡音レン</v>
          </cell>
          <cell r="D1339" t="str">
            <v>鏡音レン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heal</v>
          </cell>
          <cell r="L1339" t="str">
            <v>回復タイプ</v>
          </cell>
          <cell r="M1339" t="str">
            <v>unknown</v>
          </cell>
        </row>
        <row r="1340">
          <cell r="A1340">
            <v>8023</v>
          </cell>
          <cell r="B1340" t="str">
            <v>ja</v>
          </cell>
          <cell r="C1340" t="str">
            <v>巡音ルカ</v>
          </cell>
          <cell r="D1340" t="str">
            <v>巡音ルカ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attack</v>
          </cell>
          <cell r="L1340" t="str">
            <v>攻撃タイプ</v>
          </cell>
          <cell r="M1340" t="str">
            <v>unknown</v>
          </cell>
        </row>
        <row r="1341">
          <cell r="A1341">
            <v>8024</v>
          </cell>
          <cell r="B1341" t="str">
            <v>ja</v>
          </cell>
          <cell r="C1341" t="str">
            <v>巡音ルカ</v>
          </cell>
          <cell r="D1341" t="str">
            <v>巡音ルカ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attack</v>
          </cell>
          <cell r="L1341" t="str">
            <v>攻撃タイプ</v>
          </cell>
          <cell r="M1341" t="str">
            <v>unknown</v>
          </cell>
        </row>
        <row r="1342">
          <cell r="A1342">
            <v>8025</v>
          </cell>
          <cell r="B1342" t="str">
            <v>ja</v>
          </cell>
          <cell r="C1342" t="str">
            <v>MEIKO</v>
          </cell>
          <cell r="D1342" t="str">
            <v>MEIKO</v>
          </cell>
          <cell r="E1342" t="str">
            <v>執行者</v>
          </cell>
          <cell r="F1342" t="str">
            <v>格好いい</v>
          </cell>
          <cell r="G1342" t="str">
            <v>男性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hp</v>
          </cell>
          <cell r="L1342" t="str">
            <v>体力タイプ</v>
          </cell>
          <cell r="M1342" t="str">
            <v>unknown</v>
          </cell>
        </row>
        <row r="1343">
          <cell r="A1343">
            <v>8026</v>
          </cell>
          <cell r="B1343" t="str">
            <v>ja</v>
          </cell>
          <cell r="C1343" t="str">
            <v>MEIKO</v>
          </cell>
          <cell r="D1343" t="str">
            <v>MEIKO</v>
          </cell>
          <cell r="E1343" t="str">
            <v>執行者</v>
          </cell>
          <cell r="F1343" t="str">
            <v>格好いい</v>
          </cell>
          <cell r="G1343" t="str">
            <v>男性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hp</v>
          </cell>
          <cell r="L1343" t="str">
            <v>体力タイプ</v>
          </cell>
          <cell r="M1343" t="str">
            <v>unknown</v>
          </cell>
        </row>
        <row r="1344">
          <cell r="A1344">
            <v>8027</v>
          </cell>
          <cell r="B1344" t="str">
            <v>ja</v>
          </cell>
          <cell r="C1344" t="str">
            <v>KAITO</v>
          </cell>
          <cell r="D1344" t="str">
            <v>KAITO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3</v>
          </cell>
          <cell r="J1344" t="str">
            <v>PremiumS</v>
          </cell>
          <cell r="K1344" t="str">
            <v>technical</v>
          </cell>
          <cell r="L1344" t="str">
            <v>テクニカルタイプ</v>
          </cell>
          <cell r="M1344" t="str">
            <v>unknown</v>
          </cell>
        </row>
        <row r="1345">
          <cell r="A1345">
            <v>8028</v>
          </cell>
          <cell r="B1345" t="str">
            <v>ja</v>
          </cell>
          <cell r="C1345" t="str">
            <v>KAITO</v>
          </cell>
          <cell r="D1345" t="str">
            <v>KAITO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PremiumS</v>
          </cell>
          <cell r="K1345" t="str">
            <v>technical</v>
          </cell>
          <cell r="L1345" t="str">
            <v>テクニカルタイプ</v>
          </cell>
          <cell r="M1345" t="str">
            <v>unknown</v>
          </cell>
        </row>
        <row r="1346">
          <cell r="A1346">
            <v>8029</v>
          </cell>
          <cell r="B1346" t="str">
            <v>ja</v>
          </cell>
          <cell r="C1346" t="str">
            <v>Expoミク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4</v>
          </cell>
          <cell r="J1346" t="str">
            <v>Drop2N</v>
          </cell>
          <cell r="K1346" t="str">
            <v>heal</v>
          </cell>
          <cell r="L1346" t="str">
            <v>回復タイプ</v>
          </cell>
          <cell r="M1346" t="str">
            <v>unknown</v>
          </cell>
        </row>
        <row r="1347">
          <cell r="A1347">
            <v>8030</v>
          </cell>
          <cell r="B1347" t="str">
            <v>ja</v>
          </cell>
          <cell r="C1347" t="str">
            <v>Expoミク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Drop2N</v>
          </cell>
          <cell r="K1347" t="str">
            <v>heal</v>
          </cell>
          <cell r="L1347" t="str">
            <v>回復タイプ</v>
          </cell>
          <cell r="M1347" t="str">
            <v>unknown</v>
          </cell>
        </row>
        <row r="1348">
          <cell r="A1348">
            <v>8031</v>
          </cell>
          <cell r="B1348" t="str">
            <v>ja</v>
          </cell>
          <cell r="C1348" t="str">
            <v>閻羅王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red</v>
          </cell>
          <cell r="I1348">
            <v>5</v>
          </cell>
          <cell r="J1348" t="str">
            <v>PremiumSS</v>
          </cell>
          <cell r="K1348" t="str">
            <v>balance</v>
          </cell>
          <cell r="L1348" t="str">
            <v>バランスタイプ</v>
          </cell>
          <cell r="M1348" t="str">
            <v>god</v>
          </cell>
        </row>
        <row r="1349">
          <cell r="A1349">
            <v>8032</v>
          </cell>
          <cell r="B1349" t="str">
            <v>ja</v>
          </cell>
          <cell r="C1349" t="str">
            <v>十殿閻羅王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red</v>
          </cell>
          <cell r="I1349">
            <v>6</v>
          </cell>
          <cell r="J1349" t="str">
            <v>PremiumSS</v>
          </cell>
          <cell r="K1349" t="str">
            <v>balance</v>
          </cell>
          <cell r="L1349" t="str">
            <v>バランスタイプ</v>
          </cell>
          <cell r="M1349" t="str">
            <v>god</v>
          </cell>
        </row>
        <row r="1350">
          <cell r="A1350">
            <v>8033</v>
          </cell>
          <cell r="B1350" t="str">
            <v>ja</v>
          </cell>
          <cell r="C1350" t="str">
            <v>牛頭馬面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green</v>
          </cell>
          <cell r="I1350">
            <v>5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god</v>
          </cell>
        </row>
        <row r="1351">
          <cell r="A1351">
            <v>8034</v>
          </cell>
          <cell r="B1351" t="str">
            <v>ja</v>
          </cell>
          <cell r="C1351" t="str">
            <v>牛頭馬面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green</v>
          </cell>
          <cell r="I1351">
            <v>6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god</v>
          </cell>
        </row>
        <row r="1352">
          <cell r="A1352">
            <v>8035</v>
          </cell>
          <cell r="B1352" t="str">
            <v>ja</v>
          </cell>
          <cell r="C1352" t="str">
            <v>嫦娥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8036</v>
          </cell>
          <cell r="B1353" t="str">
            <v>ja</v>
          </cell>
          <cell r="C1353" t="str">
            <v>嫦娥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8037</v>
          </cell>
          <cell r="B1354" t="str">
            <v>ja</v>
          </cell>
          <cell r="C1354" t="str">
            <v>后羿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8038</v>
          </cell>
          <cell r="B1355" t="str">
            <v>ja</v>
          </cell>
          <cell r="C1355" t="str">
            <v>后羿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8039</v>
          </cell>
          <cell r="B1356" t="str">
            <v>ja</v>
          </cell>
          <cell r="C1356" t="str">
            <v>何仙姑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8040</v>
          </cell>
          <cell r="B1357" t="str">
            <v>ja</v>
          </cell>
          <cell r="C1357" t="str">
            <v>何仙姑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8041</v>
          </cell>
          <cell r="B1358" t="str">
            <v>ja</v>
          </cell>
          <cell r="C1358" t="str">
            <v>藍采和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8042</v>
          </cell>
          <cell r="B1359" t="str">
            <v>ja</v>
          </cell>
          <cell r="C1359" t="str">
            <v>藍采和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8043</v>
          </cell>
          <cell r="B1360" t="str">
            <v>ja</v>
          </cell>
          <cell r="C1360" t="str">
            <v>サンリオキャラ大集合+アザゼル</v>
          </cell>
          <cell r="D1360" t="str">
            <v>サンリオキャラ大集合+アザゼル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green</v>
          </cell>
          <cell r="I1360">
            <v>5</v>
          </cell>
          <cell r="J1360" t="str">
            <v>DropWizS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8044</v>
          </cell>
          <cell r="B1361" t="str">
            <v>ja</v>
          </cell>
          <cell r="C1361" t="str">
            <v>サンリオキャラ大集合+アザゼル</v>
          </cell>
          <cell r="D1361" t="str">
            <v>サンリオキャラ大集合+アザゼル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green</v>
          </cell>
          <cell r="I1361">
            <v>6</v>
          </cell>
          <cell r="J1361" t="str">
            <v>DropWizS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8045</v>
          </cell>
          <cell r="B1362" t="str">
            <v>ja</v>
          </cell>
          <cell r="C1362" t="str">
            <v>ニムダ_サンリオキャラ混じり</v>
          </cell>
          <cell r="D1362" t="str">
            <v>ニムダ_サンリオキャラ混じり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yellow</v>
          </cell>
          <cell r="I1362">
            <v>4</v>
          </cell>
          <cell r="J1362" t="str">
            <v>Drop2N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8046</v>
          </cell>
          <cell r="B1363" t="str">
            <v>ja</v>
          </cell>
          <cell r="C1363" t="str">
            <v>ニムダ_サンリオキャラ混じり</v>
          </cell>
          <cell r="D1363" t="str">
            <v>ニムダ_サンリオキャラ混じり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yellow</v>
          </cell>
          <cell r="I1363">
            <v>5</v>
          </cell>
          <cell r="J1363" t="str">
            <v>Drop2N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8047</v>
          </cell>
          <cell r="B1364" t="str">
            <v>ja</v>
          </cell>
          <cell r="C1364" t="str">
            <v>ハローキティ</v>
          </cell>
          <cell r="D1364" t="str">
            <v>ハローキティ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balance</v>
          </cell>
          <cell r="L1364" t="str">
            <v>バランスタイプ</v>
          </cell>
          <cell r="M1364" t="str">
            <v>ss</v>
          </cell>
        </row>
        <row r="1365">
          <cell r="A1365">
            <v>8048</v>
          </cell>
          <cell r="B1365" t="str">
            <v>ja</v>
          </cell>
          <cell r="C1365" t="str">
            <v>ハローキティ</v>
          </cell>
          <cell r="D1365" t="str">
            <v>ハローキティ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balance</v>
          </cell>
          <cell r="L1365" t="str">
            <v>バランスタイプ</v>
          </cell>
          <cell r="M1365" t="str">
            <v>ss</v>
          </cell>
        </row>
        <row r="1366">
          <cell r="A1366">
            <v>8049</v>
          </cell>
          <cell r="B1366" t="str">
            <v>ja</v>
          </cell>
          <cell r="C1366" t="str">
            <v>KIRIMIちゃん</v>
          </cell>
          <cell r="D1366" t="str">
            <v>KIRIMIちゃん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hp</v>
          </cell>
          <cell r="L1366" t="str">
            <v>体力タイプ</v>
          </cell>
          <cell r="M1366" t="str">
            <v>ss</v>
          </cell>
        </row>
        <row r="1367">
          <cell r="A1367">
            <v>8050</v>
          </cell>
          <cell r="B1367" t="str">
            <v>ja</v>
          </cell>
          <cell r="C1367" t="str">
            <v>KIRIMIちゃん</v>
          </cell>
          <cell r="D1367" t="str">
            <v>KIRIMIちゃん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hp</v>
          </cell>
          <cell r="L1367" t="str">
            <v>体力タイプ</v>
          </cell>
          <cell r="M1367" t="str">
            <v>ss</v>
          </cell>
        </row>
        <row r="1368">
          <cell r="A1368">
            <v>8051</v>
          </cell>
          <cell r="B1368" t="str">
            <v>ja</v>
          </cell>
          <cell r="C1368" t="str">
            <v>ハローキティのリボン</v>
          </cell>
          <cell r="D1368" t="str">
            <v>ハローキティのリボン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Drop2N</v>
          </cell>
          <cell r="K1368" t="str">
            <v>evolution</v>
          </cell>
          <cell r="L1368" t="str">
            <v>覚醒素材タイプ</v>
          </cell>
          <cell r="M1368" t="str">
            <v>ss</v>
          </cell>
        </row>
        <row r="1369">
          <cell r="A1369">
            <v>8052</v>
          </cell>
          <cell r="B1369" t="str">
            <v>ja</v>
          </cell>
          <cell r="C1369" t="str">
            <v>ママの作ったアップルパイ</v>
          </cell>
          <cell r="D1369" t="str">
            <v>ママの作ったアップルパイ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4</v>
          </cell>
          <cell r="J1369" t="str">
            <v>Drop2N</v>
          </cell>
          <cell r="K1369" t="str">
            <v>evolution</v>
          </cell>
          <cell r="L1369" t="str">
            <v>覚醒素材タイプ</v>
          </cell>
          <cell r="M1369" t="str">
            <v>ss</v>
          </cell>
        </row>
        <row r="1370">
          <cell r="A1370">
            <v>8053</v>
          </cell>
          <cell r="B1370" t="str">
            <v>ja</v>
          </cell>
          <cell r="C1370" t="str">
            <v>D.R.T.H__キティコスプレ</v>
          </cell>
          <cell r="D1370" t="str">
            <v>D.R.T.H__キティコスプレ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balance</v>
          </cell>
          <cell r="L1370" t="str">
            <v>バランスタイプ</v>
          </cell>
          <cell r="M1370" t="str">
            <v>ss</v>
          </cell>
        </row>
        <row r="1371">
          <cell r="A1371">
            <v>8054</v>
          </cell>
          <cell r="B1371" t="str">
            <v>ja</v>
          </cell>
          <cell r="C1371" t="str">
            <v>D.R.T.H__キティコスプレ</v>
          </cell>
          <cell r="D1371" t="str">
            <v>D.R.T.H__キティコスプレ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balance</v>
          </cell>
          <cell r="L1371" t="str">
            <v>バランスタイプ</v>
          </cell>
          <cell r="M1371" t="str">
            <v>ss</v>
          </cell>
        </row>
        <row r="1372">
          <cell r="A1372">
            <v>8055</v>
          </cell>
          <cell r="B1372" t="str">
            <v>ja</v>
          </cell>
          <cell r="C1372" t="str">
            <v>マイメロディ</v>
          </cell>
          <cell r="D1372" t="str">
            <v>マイメロディ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4</v>
          </cell>
          <cell r="J1372" t="str">
            <v>PremiumS</v>
          </cell>
          <cell r="K1372" t="str">
            <v>attack</v>
          </cell>
          <cell r="L1372" t="str">
            <v>攻撃タイプ</v>
          </cell>
          <cell r="M1372" t="str">
            <v>ss</v>
          </cell>
        </row>
        <row r="1373">
          <cell r="A1373">
            <v>8056</v>
          </cell>
          <cell r="B1373" t="str">
            <v>ja</v>
          </cell>
          <cell r="C1373" t="str">
            <v>マイメロディ</v>
          </cell>
          <cell r="D1373" t="str">
            <v>マイメロディ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5</v>
          </cell>
          <cell r="J1373" t="str">
            <v>PremiumS</v>
          </cell>
          <cell r="K1373" t="str">
            <v>attack</v>
          </cell>
          <cell r="L1373" t="str">
            <v>攻撃タイプ</v>
          </cell>
          <cell r="M1373" t="str">
            <v>ss</v>
          </cell>
        </row>
        <row r="1374">
          <cell r="A1374">
            <v>8057</v>
          </cell>
          <cell r="B1374" t="str">
            <v>ja</v>
          </cell>
          <cell r="C1374" t="str">
            <v>ニーベルゲン_シナモロールコスプレ</v>
          </cell>
          <cell r="D1374" t="str">
            <v>ニーベルゲン_シナモロールコスプレ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8058</v>
          </cell>
          <cell r="B1375" t="str">
            <v>ja</v>
          </cell>
          <cell r="C1375" t="str">
            <v>ニーベルゲン_シナモロールコスプレ</v>
          </cell>
          <cell r="D1375" t="str">
            <v>ニーベルゲン_シナモロールコスプレ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8059</v>
          </cell>
          <cell r="B1376" t="str">
            <v>ja</v>
          </cell>
          <cell r="C1376" t="str">
            <v>カカシ_マイメロディコスプレ</v>
          </cell>
          <cell r="D1376" t="str">
            <v>カカシ_マイメロディコスプレ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technical</v>
          </cell>
          <cell r="L1376" t="str">
            <v>テクニカルタイプ</v>
          </cell>
          <cell r="M1376" t="str">
            <v>ss</v>
          </cell>
        </row>
        <row r="1377">
          <cell r="A1377">
            <v>8060</v>
          </cell>
          <cell r="B1377" t="str">
            <v>ja</v>
          </cell>
          <cell r="C1377" t="str">
            <v>カカシ_マイメロディコスプレ</v>
          </cell>
          <cell r="D1377" t="str">
            <v>カカシ_マイメロディコスプレ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technical</v>
          </cell>
          <cell r="L1377" t="str">
            <v>テクニカルタイプ</v>
          </cell>
          <cell r="M1377" t="str">
            <v>ss</v>
          </cell>
        </row>
        <row r="1378">
          <cell r="A1378">
            <v>8061</v>
          </cell>
          <cell r="B1378" t="str">
            <v>ja</v>
          </cell>
          <cell r="C1378" t="str">
            <v>ケロケロけろっぴ</v>
          </cell>
          <cell r="D1378" t="str">
            <v>ケロケロけろっぴ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3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8062</v>
          </cell>
          <cell r="B1379" t="str">
            <v>ja</v>
          </cell>
          <cell r="C1379" t="str">
            <v>ケロケロけろっぴ</v>
          </cell>
          <cell r="D1379" t="str">
            <v>ケロケロけろっぴ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4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8063</v>
          </cell>
          <cell r="B1380" t="str">
            <v>ja</v>
          </cell>
          <cell r="C1380" t="str">
            <v>モルドレッド_ポムポムプリンコスプレ</v>
          </cell>
          <cell r="D1380" t="str">
            <v>モルドレッド_ポムポムプリンコスプレ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5</v>
          </cell>
          <cell r="J1380" t="str">
            <v>PremiumSS</v>
          </cell>
          <cell r="K1380" t="str">
            <v>heal</v>
          </cell>
          <cell r="L1380" t="str">
            <v>回復タイプ</v>
          </cell>
          <cell r="M1380" t="str">
            <v>ss</v>
          </cell>
        </row>
        <row r="1381">
          <cell r="A1381">
            <v>8064</v>
          </cell>
          <cell r="B1381" t="str">
            <v>ja</v>
          </cell>
          <cell r="C1381" t="str">
            <v>モルドレッド_ポムポムプリンコスプレ</v>
          </cell>
          <cell r="D1381" t="str">
            <v>モルドレッド_ポムポムプリンコスプレ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6</v>
          </cell>
          <cell r="J1381" t="str">
            <v>PremiumSS</v>
          </cell>
          <cell r="K1381" t="str">
            <v>heal</v>
          </cell>
          <cell r="L1381" t="str">
            <v>回復タイプ</v>
          </cell>
          <cell r="M1381" t="str">
            <v>ss</v>
          </cell>
        </row>
        <row r="1382">
          <cell r="A1382">
            <v>8065</v>
          </cell>
          <cell r="B1382" t="str">
            <v>ja</v>
          </cell>
          <cell r="C1382" t="str">
            <v>クロミ</v>
          </cell>
          <cell r="D1382" t="str">
            <v>クロミ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technical</v>
          </cell>
          <cell r="L1382" t="str">
            <v>テクニカルタイプ</v>
          </cell>
          <cell r="M1382" t="str">
            <v>ss</v>
          </cell>
        </row>
        <row r="1383">
          <cell r="A1383">
            <v>8066</v>
          </cell>
          <cell r="B1383" t="str">
            <v>ja</v>
          </cell>
          <cell r="C1383" t="str">
            <v>クロミ</v>
          </cell>
          <cell r="D1383" t="str">
            <v>クロミ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technical</v>
          </cell>
          <cell r="L1383" t="str">
            <v>テクニカルタイプ</v>
          </cell>
          <cell r="M1383" t="str">
            <v>ss</v>
          </cell>
        </row>
        <row r="1384">
          <cell r="A1384">
            <v>8067</v>
          </cell>
          <cell r="B1384" t="str">
            <v>ja</v>
          </cell>
          <cell r="C1384" t="str">
            <v>バッドばつ丸</v>
          </cell>
          <cell r="D1384" t="str">
            <v>バッドばつ丸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attack</v>
          </cell>
          <cell r="L1384" t="str">
            <v>攻撃タイプ</v>
          </cell>
          <cell r="M1384" t="str">
            <v>ss</v>
          </cell>
        </row>
        <row r="1385">
          <cell r="A1385">
            <v>8068</v>
          </cell>
          <cell r="B1385" t="str">
            <v>ja</v>
          </cell>
          <cell r="C1385" t="str">
            <v>バッドばつ丸</v>
          </cell>
          <cell r="D1385" t="str">
            <v>バッドばつ丸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attack</v>
          </cell>
          <cell r="L1385" t="str">
            <v>攻撃タイプ</v>
          </cell>
          <cell r="M1385" t="str">
            <v>ss</v>
          </cell>
        </row>
        <row r="1386">
          <cell r="A1386">
            <v>8069</v>
          </cell>
          <cell r="B1386" t="str">
            <v>ja</v>
          </cell>
          <cell r="C1386" t="str">
            <v>シナモロール</v>
          </cell>
          <cell r="D1386" t="str">
            <v>シナモロール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4</v>
          </cell>
          <cell r="J1386" t="str">
            <v>PremiumS</v>
          </cell>
          <cell r="K1386" t="str">
            <v>heal</v>
          </cell>
          <cell r="L1386" t="str">
            <v>回復タイプ</v>
          </cell>
          <cell r="M1386" t="str">
            <v>ss</v>
          </cell>
        </row>
        <row r="1387">
          <cell r="A1387">
            <v>8070</v>
          </cell>
          <cell r="B1387" t="str">
            <v>ja</v>
          </cell>
          <cell r="C1387" t="str">
            <v>シナモロール</v>
          </cell>
          <cell r="D1387" t="str">
            <v>シナモロール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heal</v>
          </cell>
          <cell r="L1387" t="str">
            <v>回復タイプ</v>
          </cell>
          <cell r="M1387" t="str">
            <v>ss</v>
          </cell>
        </row>
        <row r="1388">
          <cell r="A1388">
            <v>8071</v>
          </cell>
          <cell r="B1388" t="str">
            <v>ja</v>
          </cell>
          <cell r="C1388" t="str">
            <v>ポムポムプリン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3</v>
          </cell>
          <cell r="J1388" t="str">
            <v>PremiumS</v>
          </cell>
          <cell r="K1388" t="str">
            <v>hp</v>
          </cell>
          <cell r="L1388" t="str">
            <v>体力タイプ</v>
          </cell>
          <cell r="M1388" t="str">
            <v>ss</v>
          </cell>
        </row>
        <row r="1389">
          <cell r="A1389">
            <v>8072</v>
          </cell>
          <cell r="B1389" t="str">
            <v>ja</v>
          </cell>
          <cell r="C1389" t="str">
            <v>ポムポムプリン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4</v>
          </cell>
          <cell r="J1389" t="str">
            <v>PremiumS</v>
          </cell>
          <cell r="K1389" t="str">
            <v>hp</v>
          </cell>
          <cell r="L1389" t="str">
            <v>体力タイプ</v>
          </cell>
          <cell r="M1389" t="str">
            <v>ss</v>
          </cell>
        </row>
        <row r="1390">
          <cell r="A1390">
            <v>8077</v>
          </cell>
          <cell r="B1390" t="str">
            <v>ja</v>
          </cell>
          <cell r="C1390" t="str">
            <v>鄭成功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PremiumSS</v>
          </cell>
          <cell r="K1390" t="str">
            <v>attack</v>
          </cell>
          <cell r="L1390" t="str">
            <v>攻撃タイプ</v>
          </cell>
          <cell r="M1390" t="str">
            <v>human</v>
          </cell>
        </row>
        <row r="1391">
          <cell r="A1391">
            <v>8078</v>
          </cell>
          <cell r="B1391" t="str">
            <v>ja</v>
          </cell>
          <cell r="C1391" t="str">
            <v>レア６鄭成功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blue</v>
          </cell>
          <cell r="I1391">
            <v>6</v>
          </cell>
          <cell r="J1391" t="str">
            <v>PremiumSS</v>
          </cell>
          <cell r="K1391" t="str">
            <v>attack</v>
          </cell>
          <cell r="L1391" t="str">
            <v>攻撃タイプ</v>
          </cell>
          <cell r="M1391" t="str">
            <v>human</v>
          </cell>
        </row>
        <row r="1392">
          <cell r="A1392">
            <v>8079</v>
          </cell>
          <cell r="B1392" t="str">
            <v>ja</v>
          </cell>
          <cell r="C1392" t="str">
            <v>赤鬼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red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dragon</v>
          </cell>
        </row>
        <row r="1393">
          <cell r="A1393">
            <v>8080</v>
          </cell>
          <cell r="B1393" t="str">
            <v>ja</v>
          </cell>
          <cell r="C1393" t="str">
            <v>レア６赤鬼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D19" sqref="D19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3" t="s">
        <v>81</v>
      </c>
      <c r="B2" s="42" t="s">
        <v>78</v>
      </c>
      <c r="C2" s="37">
        <v>7304</v>
      </c>
      <c r="D2" s="17" t="s">
        <v>46</v>
      </c>
      <c r="E2" s="15" t="str">
        <f t="shared" ref="E2:E7" si="0">B2&amp;C2&amp;D2</f>
        <v>gacha_select_tables_7304.tmp</v>
      </c>
      <c r="F2" s="47" t="s">
        <v>85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3" t="s">
        <v>81</v>
      </c>
      <c r="B3" s="42" t="s">
        <v>78</v>
      </c>
      <c r="C3" s="37">
        <v>7305</v>
      </c>
      <c r="D3" s="17" t="s">
        <v>46</v>
      </c>
      <c r="E3" s="15" t="str">
        <f t="shared" ref="E3" si="1">B3&amp;C3&amp;D3</f>
        <v>gacha_select_tables_7305.tmp</v>
      </c>
      <c r="F3" s="47" t="s">
        <v>86</v>
      </c>
      <c r="G3" s="36" t="s">
        <v>65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46" t="s">
        <v>84</v>
      </c>
      <c r="B4" s="45" t="s">
        <v>82</v>
      </c>
      <c r="C4" s="37">
        <v>7301</v>
      </c>
      <c r="D4" s="17" t="s">
        <v>46</v>
      </c>
      <c r="E4" s="15" t="str">
        <f>B4&amp;C4&amp;D4</f>
        <v>gacha_settle_tables_7301.tmp</v>
      </c>
      <c r="F4" s="44" t="s">
        <v>83</v>
      </c>
      <c r="G4" s="36" t="s">
        <v>65</v>
      </c>
      <c r="H4" s="20" t="s">
        <v>0</v>
      </c>
      <c r="I4" s="20" t="s">
        <v>3</v>
      </c>
      <c r="J4" s="20" t="s">
        <v>4</v>
      </c>
      <c r="K4" s="20" t="s">
        <v>5</v>
      </c>
      <c r="L4" s="20" t="s">
        <v>6</v>
      </c>
      <c r="M4" s="20" t="s">
        <v>7</v>
      </c>
      <c r="N4" s="20" t="s">
        <v>8</v>
      </c>
      <c r="O4" s="20" t="s">
        <v>9</v>
      </c>
    </row>
    <row r="5" spans="1:21" x14ac:dyDescent="0.15">
      <c r="A5" s="29" t="s">
        <v>54</v>
      </c>
      <c r="B5" s="25" t="s">
        <v>51</v>
      </c>
      <c r="C5" s="30" t="s">
        <v>55</v>
      </c>
      <c r="D5" s="17" t="s">
        <v>47</v>
      </c>
      <c r="E5" s="15" t="str">
        <f t="shared" si="0"/>
        <v>gacha_bonus_tables_hogehoge.tmp</v>
      </c>
      <c r="F5" s="17" t="s">
        <v>48</v>
      </c>
      <c r="G5" s="19" t="s">
        <v>11</v>
      </c>
      <c r="H5" s="21" t="s">
        <v>14</v>
      </c>
      <c r="I5" s="19" t="s">
        <v>12</v>
      </c>
      <c r="J5" s="18"/>
      <c r="K5" s="18"/>
      <c r="L5" s="18"/>
      <c r="M5" s="18"/>
      <c r="N5" s="18"/>
      <c r="O5" s="18"/>
    </row>
    <row r="6" spans="1:21" x14ac:dyDescent="0.15">
      <c r="A6" s="29" t="s">
        <v>54</v>
      </c>
      <c r="B6" s="17" t="s">
        <v>49</v>
      </c>
      <c r="C6" s="30" t="s">
        <v>55</v>
      </c>
      <c r="D6" s="17" t="s">
        <v>47</v>
      </c>
      <c r="E6" s="15" t="str">
        <f t="shared" si="0"/>
        <v>gifts_tmp_hogehoge.tmp</v>
      </c>
      <c r="F6" s="17" t="s">
        <v>48</v>
      </c>
      <c r="G6" s="21" t="s">
        <v>22</v>
      </c>
      <c r="H6" s="22" t="s">
        <v>30</v>
      </c>
      <c r="I6" s="21" t="s">
        <v>23</v>
      </c>
      <c r="J6" s="21" t="s">
        <v>24</v>
      </c>
      <c r="K6" s="21" t="s">
        <v>24</v>
      </c>
      <c r="L6" s="21" t="s">
        <v>25</v>
      </c>
      <c r="M6" s="21" t="s">
        <v>25</v>
      </c>
      <c r="N6" s="21" t="s">
        <v>25</v>
      </c>
      <c r="O6" s="38" t="s">
        <v>7</v>
      </c>
      <c r="P6" s="38" t="s">
        <v>9</v>
      </c>
      <c r="Q6" s="38" t="s">
        <v>6</v>
      </c>
      <c r="R6" s="38" t="s">
        <v>66</v>
      </c>
      <c r="S6" s="38" t="s">
        <v>8</v>
      </c>
      <c r="T6" s="38" t="s">
        <v>67</v>
      </c>
      <c r="U6" s="38" t="s">
        <v>5</v>
      </c>
    </row>
    <row r="7" spans="1:21" x14ac:dyDescent="0.15">
      <c r="A7" s="29" t="s">
        <v>54</v>
      </c>
      <c r="B7" s="17" t="s">
        <v>50</v>
      </c>
      <c r="C7" s="30" t="s">
        <v>55</v>
      </c>
      <c r="D7" s="17" t="s">
        <v>47</v>
      </c>
      <c r="E7" s="15" t="str">
        <f t="shared" si="0"/>
        <v>gifts_i18n_hogehoge.tmp</v>
      </c>
      <c r="F7" s="17" t="s">
        <v>48</v>
      </c>
      <c r="G7" s="21" t="s">
        <v>13</v>
      </c>
      <c r="H7" s="23" t="s">
        <v>26</v>
      </c>
      <c r="I7" s="23" t="s">
        <v>27</v>
      </c>
      <c r="J7" s="23" t="s">
        <v>28</v>
      </c>
      <c r="K7" s="23" t="s">
        <v>29</v>
      </c>
      <c r="L7" s="24"/>
      <c r="M7" s="21"/>
      <c r="N7" s="21"/>
      <c r="O7" s="17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"/>
  <sheetViews>
    <sheetView showGridLines="0" tabSelected="1" workbookViewId="0">
      <pane ySplit="1" topLeftCell="A2" activePane="bottomLeft" state="frozen"/>
      <selection activeCell="A266" sqref="A266:XFD266"/>
      <selection pane="bottomLeft" activeCell="M30" sqref="M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7304010</v>
      </c>
      <c r="B2" s="6">
        <v>837</v>
      </c>
      <c r="C2" s="7" t="str">
        <f t="shared" ref="C2:C3" si="0">D2&amp;J2&amp;E2&amp;F2&amp;G2</f>
        <v>Premium6R3less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リトルハンプティ</v>
      </c>
      <c r="I2" s="7" t="str">
        <f>VLOOKUP(B2,[1]characters!$A:$J,10,FALSE)</f>
        <v>material</v>
      </c>
      <c r="J2" s="7">
        <f>VLOOKUP(B2,[1]characters!$A:$I,9,FALSE)</f>
        <v>6</v>
      </c>
      <c r="K2" s="7" t="str">
        <f>VLOOKUP(B2,[1]characters!$A:$H,8,FALSE)</f>
        <v>yellow</v>
      </c>
      <c r="L2" s="7" t="str">
        <f>VLOOKUP(B2,[1]characters!$A:$K,11,FALSE)</f>
        <v>evolution</v>
      </c>
      <c r="M2" s="7" t="str">
        <f>VLOOKUP(B2,[1]characters!$A:$M,13,FALSE)</f>
        <v>unknown</v>
      </c>
      <c r="N2" s="7" t="str">
        <f>VLOOKUP(B2,[1]characters!$A:$G,7,FALSE)</f>
        <v>男性</v>
      </c>
      <c r="O2" s="34">
        <v>20</v>
      </c>
      <c r="P2" s="35">
        <f t="shared" ref="P2:P27" si="2">O2/SUM(O:O)</f>
        <v>1.8018018018018018E-2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7304010</v>
      </c>
      <c r="B3" s="6">
        <v>334</v>
      </c>
      <c r="C3" s="7" t="str">
        <f t="shared" si="0"/>
        <v>Premium5R3less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炎のメタルダック</v>
      </c>
      <c r="I3" s="7" t="str">
        <f>VLOOKUP(B3,[1]characters!$A:$J,10,FALSE)</f>
        <v>Material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exp</v>
      </c>
      <c r="M3" s="7" t="str">
        <f>VLOOKUP(B3,[1]characters!$A:$M,13,FALSE)</f>
        <v>unknown</v>
      </c>
      <c r="N3" s="7" t="str">
        <f>VLOOKUP(B3,[1]characters!$A:$G,7,FALSE)</f>
        <v>不明</v>
      </c>
      <c r="O3" s="34">
        <v>40</v>
      </c>
      <c r="P3" s="35">
        <f t="shared" si="2"/>
        <v>3.6036036036036036E-2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7304010</v>
      </c>
      <c r="B4" s="6">
        <v>338</v>
      </c>
      <c r="C4" s="7" t="str">
        <f t="shared" ref="C4:C7" si="3">D4&amp;J4&amp;E4&amp;F4&amp;G4</f>
        <v>Premium5R3less</v>
      </c>
      <c r="D4" s="7" t="str">
        <f t="shared" ref="D4:D7" si="4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森のメタルダック</v>
      </c>
      <c r="I4" s="7" t="str">
        <f>VLOOKUP(B4,[1]characters!$A:$J,10,FALSE)</f>
        <v>Material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v>40</v>
      </c>
      <c r="P4" s="35">
        <f t="shared" si="2"/>
        <v>3.6036036036036036E-2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7304010</v>
      </c>
      <c r="B5" s="6">
        <v>342</v>
      </c>
      <c r="C5" s="7" t="str">
        <f t="shared" si="3"/>
        <v>Premium5R3less</v>
      </c>
      <c r="D5" s="7" t="str">
        <f t="shared" si="4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水のメタルダック</v>
      </c>
      <c r="I5" s="7" t="str">
        <f>VLOOKUP(B5,[1]characters!$A:$J,10,FALSE)</f>
        <v>Material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v>40</v>
      </c>
      <c r="P5" s="35">
        <f t="shared" si="2"/>
        <v>3.6036036036036036E-2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7304010</v>
      </c>
      <c r="B6" s="6">
        <v>346</v>
      </c>
      <c r="C6" s="7" t="str">
        <f t="shared" si="3"/>
        <v>Premium5R3less</v>
      </c>
      <c r="D6" s="7" t="str">
        <f t="shared" si="4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雷のメタルダック</v>
      </c>
      <c r="I6" s="7" t="str">
        <f>VLOOKUP(B6,[1]characters!$A:$J,10,FALSE)</f>
        <v>Material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v>40</v>
      </c>
      <c r="P6" s="35">
        <f t="shared" si="2"/>
        <v>3.6036036036036036E-2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7304010</v>
      </c>
      <c r="B7" s="6">
        <v>335</v>
      </c>
      <c r="C7" s="7" t="str">
        <f t="shared" si="3"/>
        <v>Premium6R3less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炎のメタルジェントル</v>
      </c>
      <c r="I7" s="7" t="str">
        <f>VLOOKUP(B7,[1]characters!$A:$J,10,FALSE)</f>
        <v>Material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v>50</v>
      </c>
      <c r="P7" s="35">
        <f t="shared" si="2"/>
        <v>4.5045045045045043E-2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7304010</v>
      </c>
      <c r="B8" s="6">
        <v>339</v>
      </c>
      <c r="C8" s="7" t="str">
        <f t="shared" ref="C8:C10" si="5">D8&amp;J8&amp;E8&amp;F8&amp;G8</f>
        <v>Premium6R3less</v>
      </c>
      <c r="D8" s="7" t="str">
        <f t="shared" ref="D8:D10" si="6">IF(I8="PremiumSS",I8,IF(I8="PremiumSSS",I8,IF(I8="PremiumW",I8,"Premium")))</f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森のメタルジェントル</v>
      </c>
      <c r="I8" s="7" t="str">
        <f>VLOOKUP(B8,[1]characters!$A:$J,10,FALSE)</f>
        <v>Material</v>
      </c>
      <c r="J8" s="7">
        <f>VLOOKUP(B8,[1]characters!$A:$I,9,FALSE)</f>
        <v>6</v>
      </c>
      <c r="K8" s="7" t="str">
        <f>VLOOKUP(B8,[1]characters!$A:$H,8,FALSE)</f>
        <v>green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v>50</v>
      </c>
      <c r="P8" s="35">
        <f t="shared" si="2"/>
        <v>4.5045045045045043E-2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7304010</v>
      </c>
      <c r="B9" s="6">
        <v>343</v>
      </c>
      <c r="C9" s="7" t="str">
        <f t="shared" si="5"/>
        <v>Premium6R3less</v>
      </c>
      <c r="D9" s="7" t="str">
        <f t="shared" si="6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水のメタルジェントル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blue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v>50</v>
      </c>
      <c r="P9" s="35">
        <f t="shared" si="2"/>
        <v>4.5045045045045043E-2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7304010</v>
      </c>
      <c r="B10" s="6">
        <v>347</v>
      </c>
      <c r="C10" s="7" t="str">
        <f t="shared" si="5"/>
        <v>Premium6R3less</v>
      </c>
      <c r="D10" s="7" t="str">
        <f t="shared" si="6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雷のメタルジェントル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yellow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v>50</v>
      </c>
      <c r="P10" s="35">
        <f t="shared" si="2"/>
        <v>4.5045045045045043E-2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7304010</v>
      </c>
      <c r="B11" s="6">
        <v>119</v>
      </c>
      <c r="C11" s="7" t="str">
        <f t="shared" ref="C11:C12" si="7">D11&amp;J11&amp;E11&amp;F11&amp;G11</f>
        <v>Premium5R3less</v>
      </c>
      <c r="D11" s="7" t="str">
        <f t="shared" ref="D11:D12" si="8">IF(I11="PremiumSS",I11,IF(I11="PremiumSSS",I11,IF(I11="PremiumW",I11,"Premium")))</f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ゴールドダック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coin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v>55</v>
      </c>
      <c r="P11" s="35">
        <f t="shared" si="2"/>
        <v>4.954954954954955E-2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7304010</v>
      </c>
      <c r="B12" s="6">
        <v>120</v>
      </c>
      <c r="C12" s="7" t="str">
        <f t="shared" si="7"/>
        <v>Premium6R3less</v>
      </c>
      <c r="D12" s="7" t="str">
        <f t="shared" si="8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ゴールドキング</v>
      </c>
      <c r="I12" s="7" t="str">
        <f>VLOOKUP(B12,[1]characters!$A:$J,10,FALSE)</f>
        <v>Material</v>
      </c>
      <c r="J12" s="7">
        <f>VLOOKUP(B12,[1]characters!$A:$I,9,FALSE)</f>
        <v>6</v>
      </c>
      <c r="K12" s="7" t="str">
        <f>VLOOKUP(B12,[1]characters!$A:$H,8,FALSE)</f>
        <v>yellow</v>
      </c>
      <c r="L12" s="7" t="str">
        <f>VLOOKUP(B12,[1]characters!$A:$K,11,FALSE)</f>
        <v>coin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v>30</v>
      </c>
      <c r="P12" s="35">
        <f t="shared" si="2"/>
        <v>2.7027027027027029E-2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7304010</v>
      </c>
      <c r="B13" s="6">
        <v>125</v>
      </c>
      <c r="C13" s="7" t="str">
        <f t="shared" ref="C13:C14" si="9">D13&amp;J13&amp;E13&amp;F13&amp;G13</f>
        <v>Premium3R3less</v>
      </c>
      <c r="D13" s="7" t="str">
        <f t="shared" ref="D13:D14" si="10">IF(I13="PremiumSS",I13,IF(I13="PremiumSSS",I13,IF(I13="PremiumW",I13,"Premium")))</f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秘術の果実</v>
      </c>
      <c r="I13" s="7" t="str">
        <f>VLOOKUP(B13,[1]characters!$A:$J,10,FALSE)</f>
        <v>Material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skilllevel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v>35</v>
      </c>
      <c r="P13" s="35">
        <f t="shared" si="2"/>
        <v>3.1531531531531529E-2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7304010</v>
      </c>
      <c r="B14" s="6">
        <v>610</v>
      </c>
      <c r="C14" s="7" t="str">
        <f t="shared" si="9"/>
        <v>Premium4R3less</v>
      </c>
      <c r="D14" s="7" t="str">
        <f t="shared" si="10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メガ秘術の果実</v>
      </c>
      <c r="I14" s="7" t="str">
        <f>VLOOKUP(B14,[1]characters!$A:$J,10,FALSE)</f>
        <v>Material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skilllevel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v>35</v>
      </c>
      <c r="P14" s="35">
        <f t="shared" si="2"/>
        <v>3.1531531531531529E-2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7304010</v>
      </c>
      <c r="B15" s="6">
        <v>121</v>
      </c>
      <c r="C15" s="7" t="str">
        <f t="shared" ref="C15:C17" si="11">D15&amp;J15&amp;E15&amp;F15&amp;G15</f>
        <v>Premium3R3less</v>
      </c>
      <c r="D15" s="7" t="str">
        <f t="shared" ref="D15:D17" si="12">IF(I15="PremiumSS",I15,IF(I15="PremiumSSS",I15,IF(I15="PremiumW",I15,"Premium")))</f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攻めの果実</v>
      </c>
      <c r="I15" s="7" t="str">
        <f>VLOOKUP(B15,[1]characters!$A:$J,10,FALSE)</f>
        <v>Material</v>
      </c>
      <c r="J15" s="7">
        <f>VLOOKUP(B15,[1]characters!$A:$I,9,FALSE)</f>
        <v>3</v>
      </c>
      <c r="K15" s="7" t="str">
        <f>VLOOKUP(B15,[1]characters!$A:$H,8,FALSE)</f>
        <v>red</v>
      </c>
      <c r="L15" s="7" t="str">
        <f>VLOOKUP(B15,[1]characters!$A:$K,11,FALSE)</f>
        <v>limitbreak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v>40</v>
      </c>
      <c r="P15" s="35">
        <f t="shared" si="2"/>
        <v>3.6036036036036036E-2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7304010</v>
      </c>
      <c r="B16" s="6">
        <v>122</v>
      </c>
      <c r="C16" s="7" t="str">
        <f t="shared" si="11"/>
        <v>Premium3R3less</v>
      </c>
      <c r="D16" s="7" t="str">
        <f t="shared" si="12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生命の果実</v>
      </c>
      <c r="I16" s="7" t="str">
        <f>VLOOKUP(B16,[1]characters!$A:$J,10,FALSE)</f>
        <v>Material</v>
      </c>
      <c r="J16" s="7">
        <f>VLOOKUP(B16,[1]characters!$A:$I,9,FALSE)</f>
        <v>3</v>
      </c>
      <c r="K16" s="7" t="str">
        <f>VLOOKUP(B16,[1]characters!$A:$H,8,FALSE)</f>
        <v>green</v>
      </c>
      <c r="L16" s="7" t="str">
        <f>VLOOKUP(B16,[1]characters!$A:$K,11,FALSE)</f>
        <v>limitbreak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v>40</v>
      </c>
      <c r="P16" s="35">
        <f t="shared" si="2"/>
        <v>3.6036036036036036E-2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7304010</v>
      </c>
      <c r="B17" s="6">
        <v>123</v>
      </c>
      <c r="C17" s="7" t="str">
        <f t="shared" si="11"/>
        <v>Premium3R3less</v>
      </c>
      <c r="D17" s="7" t="str">
        <f t="shared" si="12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癒しの果実</v>
      </c>
      <c r="I17" s="7" t="str">
        <f>VLOOKUP(B17,[1]characters!$A:$J,10,FALSE)</f>
        <v>Material</v>
      </c>
      <c r="J17" s="7">
        <f>VLOOKUP(B17,[1]characters!$A:$I,9,FALSE)</f>
        <v>3</v>
      </c>
      <c r="K17" s="7" t="str">
        <f>VLOOKUP(B17,[1]characters!$A:$H,8,FALSE)</f>
        <v>blue</v>
      </c>
      <c r="L17" s="7" t="str">
        <f>VLOOKUP(B17,[1]characters!$A:$K,11,FALSE)</f>
        <v>limitbreak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v>40</v>
      </c>
      <c r="P17" s="35">
        <f t="shared" si="2"/>
        <v>3.6036036036036036E-2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7304010</v>
      </c>
      <c r="B18" s="6">
        <v>607</v>
      </c>
      <c r="C18" s="7" t="str">
        <f t="shared" ref="C18:C20" si="13">D18&amp;J18&amp;E18&amp;F18&amp;G18</f>
        <v>Premium4R3less</v>
      </c>
      <c r="D18" s="7" t="str">
        <f t="shared" ref="D18:D20" si="14">IF(I18="PremiumSS",I18,IF(I18="PremiumSSS",I18,IF(I18="PremiumW",I18,"Premium")))</f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メガ攻めの果実</v>
      </c>
      <c r="I18" s="7" t="str">
        <f>VLOOKUP(B18,[1]characters!$A:$J,10,FALSE)</f>
        <v>Material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limitbreak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4">
        <v>70</v>
      </c>
      <c r="P18" s="35">
        <f t="shared" si="2"/>
        <v>6.3063063063063057E-2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7304010</v>
      </c>
      <c r="B19" s="6">
        <v>608</v>
      </c>
      <c r="C19" s="7" t="str">
        <f t="shared" si="13"/>
        <v>Premium4R3less</v>
      </c>
      <c r="D19" s="7" t="str">
        <f t="shared" si="14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メガ生命の果実</v>
      </c>
      <c r="I19" s="7" t="str">
        <f>VLOOKUP(B19,[1]characters!$A:$J,10,FALSE)</f>
        <v>Material</v>
      </c>
      <c r="J19" s="7">
        <f>VLOOKUP(B19,[1]characters!$A:$I,9,FALSE)</f>
        <v>4</v>
      </c>
      <c r="K19" s="7" t="str">
        <f>VLOOKUP(B19,[1]characters!$A:$H,8,FALSE)</f>
        <v>green</v>
      </c>
      <c r="L19" s="7" t="str">
        <f>VLOOKUP(B19,[1]characters!$A:$K,11,FALSE)</f>
        <v>limitbreak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4">
        <v>70</v>
      </c>
      <c r="P19" s="35">
        <f t="shared" si="2"/>
        <v>6.3063063063063057E-2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7304010</v>
      </c>
      <c r="B20" s="6">
        <v>609</v>
      </c>
      <c r="C20" s="7" t="str">
        <f t="shared" si="13"/>
        <v>Premium4R3less</v>
      </c>
      <c r="D20" s="7" t="str">
        <f t="shared" si="14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メガ癒しの果実</v>
      </c>
      <c r="I20" s="7" t="str">
        <f>VLOOKUP(B20,[1]characters!$A:$J,10,FALSE)</f>
        <v>Material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limitbreak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4">
        <v>70</v>
      </c>
      <c r="P20" s="35">
        <f t="shared" si="2"/>
        <v>6.3063063063063057E-2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7304010</v>
      </c>
      <c r="B21" s="6">
        <v>611</v>
      </c>
      <c r="C21" s="7" t="str">
        <f t="shared" ref="C21:C23" si="15">D21&amp;J21&amp;E21&amp;F21&amp;G21</f>
        <v>Premium5R3less</v>
      </c>
      <c r="D21" s="7" t="str">
        <f t="shared" ref="D21:D23" si="16">IF(I21="PremiumSS",I21,IF(I21="PremiumSSS",I21,IF(I21="PremiumW",I21,"Premium")))</f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ギガ攻めの果実</v>
      </c>
      <c r="I21" s="7" t="str">
        <f>VLOOKUP(B21,[1]characters!$A:$J,10,FALSE)</f>
        <v>Material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limitbreak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34">
        <v>25</v>
      </c>
      <c r="P21" s="35">
        <f t="shared" si="2"/>
        <v>2.2522522522522521E-2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7304010</v>
      </c>
      <c r="B22" s="6">
        <v>612</v>
      </c>
      <c r="C22" s="7" t="str">
        <f t="shared" si="15"/>
        <v>Premium5R3less</v>
      </c>
      <c r="D22" s="7" t="str">
        <f t="shared" si="16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ギガ生命の果実</v>
      </c>
      <c r="I22" s="7" t="str">
        <f>VLOOKUP(B22,[1]characters!$A:$J,10,FALSE)</f>
        <v>Material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limitbreak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34">
        <v>25</v>
      </c>
      <c r="P22" s="35">
        <f t="shared" si="2"/>
        <v>2.2522522522522521E-2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7304010</v>
      </c>
      <c r="B23" s="6">
        <v>613</v>
      </c>
      <c r="C23" s="7" t="str">
        <f t="shared" si="15"/>
        <v>Premium5R3less</v>
      </c>
      <c r="D23" s="7" t="str">
        <f t="shared" si="16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ギガ癒しの果実</v>
      </c>
      <c r="I23" s="7" t="str">
        <f>VLOOKUP(B23,[1]characters!$A:$J,10,FALSE)</f>
        <v>Material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limitbreak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34">
        <v>25</v>
      </c>
      <c r="P23" s="35">
        <f t="shared" si="2"/>
        <v>2.2522522522522521E-2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>
        <v>7304010</v>
      </c>
      <c r="B24" s="2">
        <v>349</v>
      </c>
      <c r="C24" s="7" t="str">
        <f t="shared" ref="C24:C27" si="17">D24&amp;J24&amp;E24&amp;F24&amp;G24</f>
        <v>Premium4R3less</v>
      </c>
      <c r="D24" s="7" t="str">
        <f t="shared" ref="D24:D27" si="18">IF(I24="PremiumSS",I24,IF(I24="PremiumSSS",I24,IF(I24="PremiumW",I24,"Premium")))</f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炎のメタルフロッグ</v>
      </c>
      <c r="I24" s="7" t="str">
        <f>VLOOKUP(B24,[1]characters!$A:$J,10,FALSE)</f>
        <v>Material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exp</v>
      </c>
      <c r="M24" s="7" t="str">
        <f>VLOOKUP(B24,[1]characters!$A:$M,13,FALSE)</f>
        <v>unknown</v>
      </c>
      <c r="N24" s="7" t="str">
        <f>VLOOKUP(B24,[1]characters!$A:$G,7,FALSE)</f>
        <v>不明</v>
      </c>
      <c r="O24" s="34">
        <v>15</v>
      </c>
      <c r="P24" s="35">
        <f t="shared" si="2"/>
        <v>1.3513513513513514E-2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>
        <v>7304010</v>
      </c>
      <c r="B25" s="2">
        <v>351</v>
      </c>
      <c r="C25" s="7" t="str">
        <f t="shared" si="17"/>
        <v>Premium4R3less</v>
      </c>
      <c r="D25" s="7" t="str">
        <f t="shared" si="18"/>
        <v>Premium</v>
      </c>
      <c r="E25" s="7" t="str">
        <f>IF(COUNTIF('R6追加前'!A:A,B25)=0,IF(I25="PremiumSS","R5only","R3less"),"")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森のメタルフロッグ</v>
      </c>
      <c r="I25" s="7" t="str">
        <f>VLOOKUP(B25,[1]characters!$A:$J,10,FALSE)</f>
        <v>Material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exp</v>
      </c>
      <c r="M25" s="7" t="str">
        <f>VLOOKUP(B25,[1]characters!$A:$M,13,FALSE)</f>
        <v>unknown</v>
      </c>
      <c r="N25" s="7" t="str">
        <f>VLOOKUP(B25,[1]characters!$A:$G,7,FALSE)</f>
        <v>不明</v>
      </c>
      <c r="O25" s="34">
        <v>15</v>
      </c>
      <c r="P25" s="35">
        <f t="shared" si="2"/>
        <v>1.3513513513513514E-2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>
        <v>7304010</v>
      </c>
      <c r="B26" s="2">
        <v>353</v>
      </c>
      <c r="C26" s="7" t="str">
        <f t="shared" si="17"/>
        <v>Premium4R3less</v>
      </c>
      <c r="D26" s="7" t="str">
        <f t="shared" si="18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水のメタルフロッグ</v>
      </c>
      <c r="I26" s="7" t="str">
        <f>VLOOKUP(B26,[1]characters!$A:$J,10,FALSE)</f>
        <v>Material</v>
      </c>
      <c r="J26" s="7">
        <f>VLOOKUP(B26,[1]characters!$A:$I,9,FALSE)</f>
        <v>4</v>
      </c>
      <c r="K26" s="7" t="str">
        <f>VLOOKUP(B26,[1]characters!$A:$H,8,FALSE)</f>
        <v>blue</v>
      </c>
      <c r="L26" s="7" t="str">
        <f>VLOOKUP(B26,[1]characters!$A:$K,11,FALSE)</f>
        <v>exp</v>
      </c>
      <c r="M26" s="7" t="str">
        <f>VLOOKUP(B26,[1]characters!$A:$M,13,FALSE)</f>
        <v>unknown</v>
      </c>
      <c r="N26" s="7" t="str">
        <f>VLOOKUP(B26,[1]characters!$A:$G,7,FALSE)</f>
        <v>不明</v>
      </c>
      <c r="O26" s="34">
        <v>15</v>
      </c>
      <c r="P26" s="35">
        <f t="shared" si="2"/>
        <v>1.3513513513513514E-2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>
        <v>7304010</v>
      </c>
      <c r="B27" s="2">
        <v>355</v>
      </c>
      <c r="C27" s="7" t="str">
        <f t="shared" si="17"/>
        <v>Premium4R3less</v>
      </c>
      <c r="D27" s="7" t="str">
        <f t="shared" si="18"/>
        <v>Premium</v>
      </c>
      <c r="E27" s="7" t="str">
        <f>IF(COUNTIF('R6追加前'!A:A,B27)=0,IF(I27="PremiumSS","R5only","R3less"),"")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雷のメタルフロッグ</v>
      </c>
      <c r="I27" s="7" t="str">
        <f>VLOOKUP(B27,[1]characters!$A:$J,10,FALSE)</f>
        <v>Material</v>
      </c>
      <c r="J27" s="7">
        <f>VLOOKUP(B27,[1]characters!$A:$I,9,FALSE)</f>
        <v>4</v>
      </c>
      <c r="K27" s="7" t="str">
        <f>VLOOKUP(B27,[1]characters!$A:$H,8,FALSE)</f>
        <v>yellow</v>
      </c>
      <c r="L27" s="7" t="str">
        <f>VLOOKUP(B27,[1]characters!$A:$K,11,FALSE)</f>
        <v>exp</v>
      </c>
      <c r="M27" s="7" t="str">
        <f>VLOOKUP(B27,[1]characters!$A:$M,13,FALSE)</f>
        <v>unknown</v>
      </c>
      <c r="N27" s="7" t="str">
        <f>VLOOKUP(B27,[1]characters!$A:$G,7,FALSE)</f>
        <v>不明</v>
      </c>
      <c r="O27" s="34">
        <v>15</v>
      </c>
      <c r="P27" s="35">
        <f t="shared" si="2"/>
        <v>1.3513513513513514E-2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>
        <v>7304010</v>
      </c>
      <c r="B28" s="2">
        <v>1191</v>
      </c>
      <c r="C28" s="7" t="str">
        <f t="shared" ref="C28" si="19">D28&amp;J28&amp;E28&amp;F28&amp;G28</f>
        <v>Premium5R3less</v>
      </c>
      <c r="D28" s="7" t="str">
        <f t="shared" ref="D28" si="20">IF(I28="PremiumSS",I28,IF(I28="PremiumSSS",I28,IF(I28="PremiumW",I28,"Premium")))</f>
        <v>Premium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ドルチェ</v>
      </c>
      <c r="I28" s="7" t="str">
        <f>VLOOKUP(B28,[1]characters!$A:$J,10,FALSE)</f>
        <v>DropWizS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technical</v>
      </c>
      <c r="M28" s="7" t="str">
        <f>VLOOKUP(B28,[1]characters!$A:$M,13,FALSE)</f>
        <v>unknown</v>
      </c>
      <c r="N28" s="7" t="str">
        <f>VLOOKUP(B28,[1]characters!$A:$G,7,FALSE)</f>
        <v>不明</v>
      </c>
      <c r="O28" s="34">
        <v>110</v>
      </c>
      <c r="P28" s="35">
        <f t="shared" ref="P28" si="21">O28/SUM(O:O)</f>
        <v>9.90990990990991E-2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</sheetData>
  <autoFilter ref="A1:V3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8"/>
  <sheetViews>
    <sheetView showGridLines="0" zoomScale="90" zoomScaleNormal="90" zoomScalePageLayoutView="90" workbookViewId="0">
      <pane ySplit="1" topLeftCell="A2" activePane="bottomLeft" state="frozen"/>
      <selection activeCell="A266" sqref="A266:XFD266"/>
      <selection pane="bottomLeft" activeCell="O2" sqref="O2:O2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7305100</v>
      </c>
      <c r="B2" s="6">
        <v>837</v>
      </c>
      <c r="C2" s="7" t="str">
        <f t="shared" ref="C2:C23" si="0">D2&amp;J2&amp;E2&amp;F2&amp;G2</f>
        <v>Premium6R3less</v>
      </c>
      <c r="D2" s="7" t="str">
        <f t="shared" ref="D2:D23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リトルハンプティ</v>
      </c>
      <c r="I2" s="7" t="str">
        <f>VLOOKUP(B2,[1]characters!$A:$J,10,FALSE)</f>
        <v>material</v>
      </c>
      <c r="J2" s="7">
        <f>VLOOKUP(B2,[1]characters!$A:$I,9,FALSE)</f>
        <v>6</v>
      </c>
      <c r="K2" s="7" t="str">
        <f>VLOOKUP(B2,[1]characters!$A:$H,8,FALSE)</f>
        <v>yellow</v>
      </c>
      <c r="L2" s="7" t="str">
        <f>VLOOKUP(B2,[1]characters!$A:$K,11,FALSE)</f>
        <v>evolution</v>
      </c>
      <c r="M2" s="7" t="str">
        <f>VLOOKUP(B2,[1]characters!$A:$M,13,FALSE)</f>
        <v>unknown</v>
      </c>
      <c r="N2" s="7" t="str">
        <f>VLOOKUP(B2,[1]characters!$A:$G,7,FALSE)</f>
        <v>男性</v>
      </c>
      <c r="O2" s="34">
        <v>20</v>
      </c>
      <c r="P2" s="35">
        <f t="shared" ref="P2:P27" si="2">O2/SUM(O:O)</f>
        <v>1.8018018018018018E-2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7305100</v>
      </c>
      <c r="B3" s="6">
        <v>334</v>
      </c>
      <c r="C3" s="7" t="str">
        <f t="shared" si="0"/>
        <v>Premium5R3less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炎のメタルダック</v>
      </c>
      <c r="I3" s="7" t="str">
        <f>VLOOKUP(B3,[1]characters!$A:$J,10,FALSE)</f>
        <v>Material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exp</v>
      </c>
      <c r="M3" s="7" t="str">
        <f>VLOOKUP(B3,[1]characters!$A:$M,13,FALSE)</f>
        <v>unknown</v>
      </c>
      <c r="N3" s="7" t="str">
        <f>VLOOKUP(B3,[1]characters!$A:$G,7,FALSE)</f>
        <v>不明</v>
      </c>
      <c r="O3" s="34">
        <v>40</v>
      </c>
      <c r="P3" s="35">
        <f t="shared" si="2"/>
        <v>3.6036036036036036E-2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7305100</v>
      </c>
      <c r="B4" s="6">
        <v>338</v>
      </c>
      <c r="C4" s="7" t="str">
        <f t="shared" si="0"/>
        <v>Premium5R3less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森のメタルダック</v>
      </c>
      <c r="I4" s="7" t="str">
        <f>VLOOKUP(B4,[1]characters!$A:$J,10,FALSE)</f>
        <v>Material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v>40</v>
      </c>
      <c r="P4" s="35">
        <f t="shared" si="2"/>
        <v>3.6036036036036036E-2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7305100</v>
      </c>
      <c r="B5" s="6">
        <v>342</v>
      </c>
      <c r="C5" s="7" t="str">
        <f t="shared" si="0"/>
        <v>Premium5R3less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水のメタルダック</v>
      </c>
      <c r="I5" s="7" t="str">
        <f>VLOOKUP(B5,[1]characters!$A:$J,10,FALSE)</f>
        <v>Material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v>40</v>
      </c>
      <c r="P5" s="35">
        <f t="shared" si="2"/>
        <v>3.6036036036036036E-2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7305100</v>
      </c>
      <c r="B6" s="6">
        <v>346</v>
      </c>
      <c r="C6" s="7" t="str">
        <f t="shared" si="0"/>
        <v>Premium5R3less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雷のメタルダック</v>
      </c>
      <c r="I6" s="7" t="str">
        <f>VLOOKUP(B6,[1]characters!$A:$J,10,FALSE)</f>
        <v>Material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v>40</v>
      </c>
      <c r="P6" s="35">
        <f t="shared" si="2"/>
        <v>3.6036036036036036E-2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7305100</v>
      </c>
      <c r="B7" s="6">
        <v>335</v>
      </c>
      <c r="C7" s="7" t="str">
        <f t="shared" si="0"/>
        <v>Premium6R3less</v>
      </c>
      <c r="D7" s="7" t="str">
        <f t="shared" si="1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炎のメタルジェントル</v>
      </c>
      <c r="I7" s="7" t="str">
        <f>VLOOKUP(B7,[1]characters!$A:$J,10,FALSE)</f>
        <v>Material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v>50</v>
      </c>
      <c r="P7" s="35">
        <f t="shared" si="2"/>
        <v>4.5045045045045043E-2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7305100</v>
      </c>
      <c r="B8" s="6">
        <v>339</v>
      </c>
      <c r="C8" s="7" t="str">
        <f t="shared" si="0"/>
        <v>Premium6R3less</v>
      </c>
      <c r="D8" s="7" t="str">
        <f t="shared" si="1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森のメタルジェントル</v>
      </c>
      <c r="I8" s="7" t="str">
        <f>VLOOKUP(B8,[1]characters!$A:$J,10,FALSE)</f>
        <v>Material</v>
      </c>
      <c r="J8" s="7">
        <f>VLOOKUP(B8,[1]characters!$A:$I,9,FALSE)</f>
        <v>6</v>
      </c>
      <c r="K8" s="7" t="str">
        <f>VLOOKUP(B8,[1]characters!$A:$H,8,FALSE)</f>
        <v>green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v>50</v>
      </c>
      <c r="P8" s="35">
        <f t="shared" si="2"/>
        <v>4.5045045045045043E-2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7305100</v>
      </c>
      <c r="B9" s="6">
        <v>343</v>
      </c>
      <c r="C9" s="7" t="str">
        <f t="shared" si="0"/>
        <v>Premium6R3less</v>
      </c>
      <c r="D9" s="7" t="str">
        <f t="shared" si="1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水のメタルジェントル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blue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v>50</v>
      </c>
      <c r="P9" s="35">
        <f t="shared" si="2"/>
        <v>4.5045045045045043E-2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7305100</v>
      </c>
      <c r="B10" s="6">
        <v>347</v>
      </c>
      <c r="C10" s="7" t="str">
        <f t="shared" si="0"/>
        <v>Premium6R3less</v>
      </c>
      <c r="D10" s="7" t="str">
        <f t="shared" si="1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雷のメタルジェントル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yellow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v>50</v>
      </c>
      <c r="P10" s="35">
        <f t="shared" si="2"/>
        <v>4.5045045045045043E-2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7305100</v>
      </c>
      <c r="B11" s="6">
        <v>119</v>
      </c>
      <c r="C11" s="7" t="str">
        <f t="shared" si="0"/>
        <v>Premium5R3less</v>
      </c>
      <c r="D11" s="7" t="str">
        <f t="shared" si="1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ゴールドダック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coin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v>55</v>
      </c>
      <c r="P11" s="35">
        <f t="shared" si="2"/>
        <v>4.954954954954955E-2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7305100</v>
      </c>
      <c r="B12" s="6">
        <v>120</v>
      </c>
      <c r="C12" s="7" t="str">
        <f t="shared" si="0"/>
        <v>Premium6R3less</v>
      </c>
      <c r="D12" s="7" t="str">
        <f t="shared" si="1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ゴールドキング</v>
      </c>
      <c r="I12" s="7" t="str">
        <f>VLOOKUP(B12,[1]characters!$A:$J,10,FALSE)</f>
        <v>Material</v>
      </c>
      <c r="J12" s="7">
        <f>VLOOKUP(B12,[1]characters!$A:$I,9,FALSE)</f>
        <v>6</v>
      </c>
      <c r="K12" s="7" t="str">
        <f>VLOOKUP(B12,[1]characters!$A:$H,8,FALSE)</f>
        <v>yellow</v>
      </c>
      <c r="L12" s="7" t="str">
        <f>VLOOKUP(B12,[1]characters!$A:$K,11,FALSE)</f>
        <v>coin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v>30</v>
      </c>
      <c r="P12" s="35">
        <f t="shared" si="2"/>
        <v>2.7027027027027029E-2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7305100</v>
      </c>
      <c r="B13" s="6">
        <v>125</v>
      </c>
      <c r="C13" s="7" t="str">
        <f t="shared" si="0"/>
        <v>Premium3R3less</v>
      </c>
      <c r="D13" s="7" t="str">
        <f t="shared" si="1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秘術の果実</v>
      </c>
      <c r="I13" s="7" t="str">
        <f>VLOOKUP(B13,[1]characters!$A:$J,10,FALSE)</f>
        <v>Material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skilllevel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v>35</v>
      </c>
      <c r="P13" s="35">
        <f t="shared" si="2"/>
        <v>3.1531531531531529E-2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7305100</v>
      </c>
      <c r="B14" s="6">
        <v>610</v>
      </c>
      <c r="C14" s="7" t="str">
        <f t="shared" si="0"/>
        <v>Premium4R3less</v>
      </c>
      <c r="D14" s="7" t="str">
        <f t="shared" si="1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メガ秘術の果実</v>
      </c>
      <c r="I14" s="7" t="str">
        <f>VLOOKUP(B14,[1]characters!$A:$J,10,FALSE)</f>
        <v>Material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skilllevel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v>35</v>
      </c>
      <c r="P14" s="35">
        <f t="shared" si="2"/>
        <v>3.1531531531531529E-2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7305100</v>
      </c>
      <c r="B15" s="6">
        <v>121</v>
      </c>
      <c r="C15" s="7" t="str">
        <f t="shared" si="0"/>
        <v>Premium3R3less</v>
      </c>
      <c r="D15" s="7" t="str">
        <f t="shared" si="1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攻めの果実</v>
      </c>
      <c r="I15" s="7" t="str">
        <f>VLOOKUP(B15,[1]characters!$A:$J,10,FALSE)</f>
        <v>Material</v>
      </c>
      <c r="J15" s="7">
        <f>VLOOKUP(B15,[1]characters!$A:$I,9,FALSE)</f>
        <v>3</v>
      </c>
      <c r="K15" s="7" t="str">
        <f>VLOOKUP(B15,[1]characters!$A:$H,8,FALSE)</f>
        <v>red</v>
      </c>
      <c r="L15" s="7" t="str">
        <f>VLOOKUP(B15,[1]characters!$A:$K,11,FALSE)</f>
        <v>limitbreak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v>40</v>
      </c>
      <c r="P15" s="35">
        <f t="shared" si="2"/>
        <v>3.6036036036036036E-2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7305100</v>
      </c>
      <c r="B16" s="6">
        <v>122</v>
      </c>
      <c r="C16" s="7" t="str">
        <f t="shared" si="0"/>
        <v>Premium3R3less</v>
      </c>
      <c r="D16" s="7" t="str">
        <f t="shared" si="1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生命の果実</v>
      </c>
      <c r="I16" s="7" t="str">
        <f>VLOOKUP(B16,[1]characters!$A:$J,10,FALSE)</f>
        <v>Material</v>
      </c>
      <c r="J16" s="7">
        <f>VLOOKUP(B16,[1]characters!$A:$I,9,FALSE)</f>
        <v>3</v>
      </c>
      <c r="K16" s="7" t="str">
        <f>VLOOKUP(B16,[1]characters!$A:$H,8,FALSE)</f>
        <v>green</v>
      </c>
      <c r="L16" s="7" t="str">
        <f>VLOOKUP(B16,[1]characters!$A:$K,11,FALSE)</f>
        <v>limitbreak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v>40</v>
      </c>
      <c r="P16" s="35">
        <f t="shared" si="2"/>
        <v>3.6036036036036036E-2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7305100</v>
      </c>
      <c r="B17" s="6">
        <v>123</v>
      </c>
      <c r="C17" s="7" t="str">
        <f t="shared" si="0"/>
        <v>Premium3R3less</v>
      </c>
      <c r="D17" s="7" t="str">
        <f t="shared" si="1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癒しの果実</v>
      </c>
      <c r="I17" s="7" t="str">
        <f>VLOOKUP(B17,[1]characters!$A:$J,10,FALSE)</f>
        <v>Material</v>
      </c>
      <c r="J17" s="7">
        <f>VLOOKUP(B17,[1]characters!$A:$I,9,FALSE)</f>
        <v>3</v>
      </c>
      <c r="K17" s="7" t="str">
        <f>VLOOKUP(B17,[1]characters!$A:$H,8,FALSE)</f>
        <v>blue</v>
      </c>
      <c r="L17" s="7" t="str">
        <f>VLOOKUP(B17,[1]characters!$A:$K,11,FALSE)</f>
        <v>limitbreak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v>40</v>
      </c>
      <c r="P17" s="35">
        <f t="shared" si="2"/>
        <v>3.6036036036036036E-2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7305100</v>
      </c>
      <c r="B18" s="6">
        <v>607</v>
      </c>
      <c r="C18" s="7" t="str">
        <f t="shared" si="0"/>
        <v>Premium4R3less</v>
      </c>
      <c r="D18" s="7" t="str">
        <f t="shared" si="1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メガ攻めの果実</v>
      </c>
      <c r="I18" s="7" t="str">
        <f>VLOOKUP(B18,[1]characters!$A:$J,10,FALSE)</f>
        <v>Material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limitbreak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4">
        <v>70</v>
      </c>
      <c r="P18" s="35">
        <f t="shared" si="2"/>
        <v>6.3063063063063057E-2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7305100</v>
      </c>
      <c r="B19" s="6">
        <v>608</v>
      </c>
      <c r="C19" s="7" t="str">
        <f t="shared" si="0"/>
        <v>Premium4R3less</v>
      </c>
      <c r="D19" s="7" t="str">
        <f t="shared" si="1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メガ生命の果実</v>
      </c>
      <c r="I19" s="7" t="str">
        <f>VLOOKUP(B19,[1]characters!$A:$J,10,FALSE)</f>
        <v>Material</v>
      </c>
      <c r="J19" s="7">
        <f>VLOOKUP(B19,[1]characters!$A:$I,9,FALSE)</f>
        <v>4</v>
      </c>
      <c r="K19" s="7" t="str">
        <f>VLOOKUP(B19,[1]characters!$A:$H,8,FALSE)</f>
        <v>green</v>
      </c>
      <c r="L19" s="7" t="str">
        <f>VLOOKUP(B19,[1]characters!$A:$K,11,FALSE)</f>
        <v>limitbreak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4">
        <v>70</v>
      </c>
      <c r="P19" s="35">
        <f t="shared" si="2"/>
        <v>6.3063063063063057E-2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7305100</v>
      </c>
      <c r="B20" s="6">
        <v>609</v>
      </c>
      <c r="C20" s="7" t="str">
        <f t="shared" si="0"/>
        <v>Premium4R3less</v>
      </c>
      <c r="D20" s="7" t="str">
        <f t="shared" si="1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メガ癒しの果実</v>
      </c>
      <c r="I20" s="7" t="str">
        <f>VLOOKUP(B20,[1]characters!$A:$J,10,FALSE)</f>
        <v>Material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limitbreak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4">
        <v>70</v>
      </c>
      <c r="P20" s="35">
        <f t="shared" si="2"/>
        <v>6.3063063063063057E-2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7305100</v>
      </c>
      <c r="B21" s="6">
        <v>611</v>
      </c>
      <c r="C21" s="7" t="str">
        <f t="shared" si="0"/>
        <v>Premium5R3less</v>
      </c>
      <c r="D21" s="7" t="str">
        <f t="shared" si="1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ギガ攻めの果実</v>
      </c>
      <c r="I21" s="7" t="str">
        <f>VLOOKUP(B21,[1]characters!$A:$J,10,FALSE)</f>
        <v>Material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limitbreak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34">
        <v>25</v>
      </c>
      <c r="P21" s="35">
        <f t="shared" si="2"/>
        <v>2.2522522522522521E-2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7305100</v>
      </c>
      <c r="B22" s="6">
        <v>612</v>
      </c>
      <c r="C22" s="7" t="str">
        <f t="shared" si="0"/>
        <v>Premium5R3less</v>
      </c>
      <c r="D22" s="7" t="str">
        <f t="shared" si="1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ギガ生命の果実</v>
      </c>
      <c r="I22" s="7" t="str">
        <f>VLOOKUP(B22,[1]characters!$A:$J,10,FALSE)</f>
        <v>Material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limitbreak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34">
        <v>25</v>
      </c>
      <c r="P22" s="35">
        <f t="shared" si="2"/>
        <v>2.2522522522522521E-2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7305100</v>
      </c>
      <c r="B23" s="6">
        <v>613</v>
      </c>
      <c r="C23" s="7" t="str">
        <f t="shared" si="0"/>
        <v>Premium5R3less</v>
      </c>
      <c r="D23" s="7" t="str">
        <f t="shared" si="1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ギガ癒しの果実</v>
      </c>
      <c r="I23" s="7" t="str">
        <f>VLOOKUP(B23,[1]characters!$A:$J,10,FALSE)</f>
        <v>Material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limitbreak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34">
        <v>25</v>
      </c>
      <c r="P23" s="35">
        <f t="shared" si="2"/>
        <v>2.2522522522522521E-2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>
        <v>7305100</v>
      </c>
      <c r="B24" s="2">
        <v>349</v>
      </c>
      <c r="C24" s="7" t="str">
        <f t="shared" ref="C24:C27" si="3">D24&amp;J24&amp;E24&amp;F24&amp;G24</f>
        <v>Premium4R3less</v>
      </c>
      <c r="D24" s="7" t="str">
        <f t="shared" ref="D24:D27" si="4">IF(I24="PremiumSS",I24,IF(I24="PremiumSSS",I24,IF(I24="PremiumW",I24,"Premium")))</f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炎のメタルフロッグ</v>
      </c>
      <c r="I24" s="7" t="str">
        <f>VLOOKUP(B24,[1]characters!$A:$J,10,FALSE)</f>
        <v>Material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exp</v>
      </c>
      <c r="M24" s="7" t="str">
        <f>VLOOKUP(B24,[1]characters!$A:$M,13,FALSE)</f>
        <v>unknown</v>
      </c>
      <c r="N24" s="7" t="str">
        <f>VLOOKUP(B24,[1]characters!$A:$G,7,FALSE)</f>
        <v>不明</v>
      </c>
      <c r="O24" s="34">
        <v>15</v>
      </c>
      <c r="P24" s="35">
        <f t="shared" si="2"/>
        <v>1.3513513513513514E-2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>
        <v>7305100</v>
      </c>
      <c r="B25" s="2">
        <v>351</v>
      </c>
      <c r="C25" s="7" t="str">
        <f t="shared" si="3"/>
        <v>Premium4R3less</v>
      </c>
      <c r="D25" s="7" t="str">
        <f t="shared" si="4"/>
        <v>Premium</v>
      </c>
      <c r="E25" s="7" t="str">
        <f>IF(COUNTIF('R6追加前'!A:A,B25)=0,IF(I25="PremiumSS","R5only","R3less"),"")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森のメタルフロッグ</v>
      </c>
      <c r="I25" s="7" t="str">
        <f>VLOOKUP(B25,[1]characters!$A:$J,10,FALSE)</f>
        <v>Material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exp</v>
      </c>
      <c r="M25" s="7" t="str">
        <f>VLOOKUP(B25,[1]characters!$A:$M,13,FALSE)</f>
        <v>unknown</v>
      </c>
      <c r="N25" s="7" t="str">
        <f>VLOOKUP(B25,[1]characters!$A:$G,7,FALSE)</f>
        <v>不明</v>
      </c>
      <c r="O25" s="34">
        <v>15</v>
      </c>
      <c r="P25" s="35">
        <f t="shared" si="2"/>
        <v>1.3513513513513514E-2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>
        <v>7305100</v>
      </c>
      <c r="B26" s="2">
        <v>353</v>
      </c>
      <c r="C26" s="7" t="str">
        <f t="shared" si="3"/>
        <v>Premium4R3less</v>
      </c>
      <c r="D26" s="7" t="str">
        <f t="shared" si="4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水のメタルフロッグ</v>
      </c>
      <c r="I26" s="7" t="str">
        <f>VLOOKUP(B26,[1]characters!$A:$J,10,FALSE)</f>
        <v>Material</v>
      </c>
      <c r="J26" s="7">
        <f>VLOOKUP(B26,[1]characters!$A:$I,9,FALSE)</f>
        <v>4</v>
      </c>
      <c r="K26" s="7" t="str">
        <f>VLOOKUP(B26,[1]characters!$A:$H,8,FALSE)</f>
        <v>blue</v>
      </c>
      <c r="L26" s="7" t="str">
        <f>VLOOKUP(B26,[1]characters!$A:$K,11,FALSE)</f>
        <v>exp</v>
      </c>
      <c r="M26" s="7" t="str">
        <f>VLOOKUP(B26,[1]characters!$A:$M,13,FALSE)</f>
        <v>unknown</v>
      </c>
      <c r="N26" s="7" t="str">
        <f>VLOOKUP(B26,[1]characters!$A:$G,7,FALSE)</f>
        <v>不明</v>
      </c>
      <c r="O26" s="34">
        <v>15</v>
      </c>
      <c r="P26" s="35">
        <f t="shared" si="2"/>
        <v>1.3513513513513514E-2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>
        <v>7305100</v>
      </c>
      <c r="B27" s="2">
        <v>355</v>
      </c>
      <c r="C27" s="7" t="str">
        <f t="shared" si="3"/>
        <v>Premium4R3less</v>
      </c>
      <c r="D27" s="7" t="str">
        <f t="shared" si="4"/>
        <v>Premium</v>
      </c>
      <c r="E27" s="7" t="str">
        <f>IF(COUNTIF('R6追加前'!A:A,B27)=0,IF(I27="PremiumSS","R5only","R3less"),"")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雷のメタルフロッグ</v>
      </c>
      <c r="I27" s="7" t="str">
        <f>VLOOKUP(B27,[1]characters!$A:$J,10,FALSE)</f>
        <v>Material</v>
      </c>
      <c r="J27" s="7">
        <f>VLOOKUP(B27,[1]characters!$A:$I,9,FALSE)</f>
        <v>4</v>
      </c>
      <c r="K27" s="7" t="str">
        <f>VLOOKUP(B27,[1]characters!$A:$H,8,FALSE)</f>
        <v>yellow</v>
      </c>
      <c r="L27" s="7" t="str">
        <f>VLOOKUP(B27,[1]characters!$A:$K,11,FALSE)</f>
        <v>exp</v>
      </c>
      <c r="M27" s="7" t="str">
        <f>VLOOKUP(B27,[1]characters!$A:$M,13,FALSE)</f>
        <v>unknown</v>
      </c>
      <c r="N27" s="7" t="str">
        <f>VLOOKUP(B27,[1]characters!$A:$G,7,FALSE)</f>
        <v>不明</v>
      </c>
      <c r="O27" s="34">
        <v>15</v>
      </c>
      <c r="P27" s="35">
        <f>O27/SUM(O:O)</f>
        <v>1.3513513513513514E-2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>
        <v>7305100</v>
      </c>
      <c r="B28" s="2">
        <v>1191</v>
      </c>
      <c r="C28" s="7" t="str">
        <f t="shared" ref="C28" si="5">D28&amp;J28&amp;E28&amp;F28&amp;G28</f>
        <v>Premium5R3less</v>
      </c>
      <c r="D28" s="7" t="str">
        <f t="shared" ref="D28" si="6">IF(I28="PremiumSS",I28,IF(I28="PremiumSSS",I28,IF(I28="PremiumW",I28,"Premium")))</f>
        <v>Premium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ドルチェ</v>
      </c>
      <c r="I28" s="7" t="str">
        <f>VLOOKUP(B28,[1]characters!$A:$J,10,FALSE)</f>
        <v>DropWizS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technical</v>
      </c>
      <c r="M28" s="7" t="str">
        <f>VLOOKUP(B28,[1]characters!$A:$M,13,FALSE)</f>
        <v>unknown</v>
      </c>
      <c r="N28" s="7" t="str">
        <f>VLOOKUP(B28,[1]characters!$A:$G,7,FALSE)</f>
        <v>不明</v>
      </c>
      <c r="O28" s="34">
        <v>110</v>
      </c>
      <c r="P28" s="35">
        <f>O28/SUM(O:O)</f>
        <v>9.90990990990991E-2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</sheetData>
  <autoFilter ref="A1:V3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output</vt:lpstr>
      <vt:lpstr>tables_7304</vt:lpstr>
      <vt:lpstr>tables_7305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2016-10-24T08:37:24Z</dcterms:modified>
</cp:coreProperties>
</file>