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700" yWindow="2040" windowWidth="27860" windowHeight="14720" activeTab="1"/>
  </bookViews>
  <sheets>
    <sheet name="floors_beginners" sheetId="2" r:id="rId1"/>
    <sheet name="enemy_habitats_beginners" sheetId="1" r:id="rId2"/>
    <sheet name="floors_beginners.tmp" sheetId="5" r:id="rId3"/>
    <sheet name="enemy_habitats_beginners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enemy_habitats_beginners!$B$1:$AG$29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Z52" i="1"/>
  <c r="A52" i="1"/>
  <c r="A53" i="6"/>
  <c r="Z2" i="1"/>
  <c r="A2" i="1"/>
  <c r="Z3" i="1"/>
  <c r="A3" i="1"/>
  <c r="Z4" i="1"/>
  <c r="A4" i="1"/>
  <c r="Z5" i="1"/>
  <c r="A5" i="1"/>
  <c r="Z6" i="1"/>
  <c r="A6" i="1"/>
  <c r="Z7" i="1"/>
  <c r="A7" i="1"/>
  <c r="Z8" i="1"/>
  <c r="A8" i="1"/>
  <c r="Z9" i="1"/>
  <c r="A9" i="1"/>
  <c r="Z10" i="1"/>
  <c r="A10" i="1"/>
  <c r="Z11" i="1"/>
  <c r="A11" i="1"/>
  <c r="Z12" i="1"/>
  <c r="A12" i="1"/>
  <c r="Z13" i="1"/>
  <c r="A13" i="1"/>
  <c r="Z14" i="1"/>
  <c r="A14" i="1"/>
  <c r="Z15" i="1"/>
  <c r="A15" i="1"/>
  <c r="Z16" i="1"/>
  <c r="A16" i="1"/>
  <c r="Z17" i="1"/>
  <c r="A17" i="1"/>
  <c r="Z18" i="1"/>
  <c r="A18" i="1"/>
  <c r="Z19" i="1"/>
  <c r="A19" i="1"/>
  <c r="Z20" i="1"/>
  <c r="A20" i="1"/>
  <c r="Z21" i="1"/>
  <c r="A21" i="1"/>
  <c r="Z22" i="1"/>
  <c r="A22" i="1"/>
  <c r="Z23" i="1"/>
  <c r="A23" i="1"/>
  <c r="Z24" i="1"/>
  <c r="A24" i="1"/>
  <c r="Z25" i="1"/>
  <c r="A25" i="1"/>
  <c r="Z26" i="1"/>
  <c r="A26" i="1"/>
  <c r="Z27" i="1"/>
  <c r="A27" i="1"/>
  <c r="Z28" i="1"/>
  <c r="A28" i="1"/>
  <c r="Z29" i="1"/>
  <c r="A29" i="1"/>
  <c r="Z30" i="1"/>
  <c r="A30" i="1"/>
  <c r="Z31" i="1"/>
  <c r="A31" i="1"/>
  <c r="Z32" i="1"/>
  <c r="A32" i="1"/>
  <c r="Z33" i="1"/>
  <c r="A33" i="1"/>
  <c r="Z34" i="1"/>
  <c r="A34" i="1"/>
  <c r="Z35" i="1"/>
  <c r="A35" i="1"/>
  <c r="Z36" i="1"/>
  <c r="A36" i="1"/>
  <c r="Z37" i="1"/>
  <c r="A37" i="1"/>
  <c r="Z38" i="1"/>
  <c r="A38" i="1"/>
  <c r="Z39" i="1"/>
  <c r="A39" i="1"/>
  <c r="Z40" i="1"/>
  <c r="A40" i="1"/>
  <c r="Z41" i="1"/>
  <c r="A41" i="1"/>
  <c r="Z42" i="1"/>
  <c r="A42" i="1"/>
  <c r="Z43" i="1"/>
  <c r="A43" i="1"/>
  <c r="Z44" i="1"/>
  <c r="A44" i="1"/>
  <c r="Z45" i="1"/>
  <c r="A45" i="1"/>
  <c r="Z46" i="1"/>
  <c r="A46" i="1"/>
  <c r="Z47" i="1"/>
  <c r="A47" i="1"/>
  <c r="Z48" i="1"/>
  <c r="A48" i="1"/>
  <c r="Z49" i="1"/>
  <c r="A49" i="1"/>
  <c r="Z50" i="1"/>
  <c r="A50" i="1"/>
  <c r="Z51" i="1"/>
  <c r="A51" i="1"/>
  <c r="B1" i="6"/>
  <c r="W53" i="6"/>
  <c r="V53" i="6"/>
  <c r="U53" i="6"/>
  <c r="T53" i="6"/>
  <c r="S53" i="6"/>
  <c r="R53" i="6"/>
  <c r="AC52" i="1"/>
  <c r="AF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C51" i="1"/>
  <c r="AF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C50" i="1"/>
  <c r="AF50" i="1"/>
  <c r="Q51" i="6"/>
  <c r="P51" i="6"/>
  <c r="O51" i="6"/>
  <c r="N51" i="6"/>
  <c r="M51" i="6"/>
  <c r="L51" i="6"/>
  <c r="K51" i="6"/>
  <c r="V50" i="1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C49" i="1"/>
  <c r="AF49" i="1"/>
  <c r="Q50" i="6"/>
  <c r="P50" i="6"/>
  <c r="O50" i="6"/>
  <c r="N50" i="6"/>
  <c r="M50" i="6"/>
  <c r="L50" i="6"/>
  <c r="K50" i="6"/>
  <c r="V49" i="1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C48" i="1"/>
  <c r="AF48" i="1"/>
  <c r="Q49" i="6"/>
  <c r="P49" i="6"/>
  <c r="O49" i="6"/>
  <c r="N49" i="6"/>
  <c r="M49" i="6"/>
  <c r="L49" i="6"/>
  <c r="K49" i="6"/>
  <c r="V48" i="1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C47" i="1"/>
  <c r="AF47" i="1"/>
  <c r="Q48" i="6"/>
  <c r="P48" i="6"/>
  <c r="O48" i="6"/>
  <c r="N48" i="6"/>
  <c r="M48" i="6"/>
  <c r="L48" i="6"/>
  <c r="K48" i="6"/>
  <c r="V47" i="1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C46" i="1"/>
  <c r="AF46" i="1"/>
  <c r="Q47" i="6"/>
  <c r="P47" i="6"/>
  <c r="O47" i="6"/>
  <c r="N47" i="6"/>
  <c r="M47" i="6"/>
  <c r="L47" i="6"/>
  <c r="K47" i="6"/>
  <c r="V46" i="1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C45" i="1"/>
  <c r="AF45" i="1"/>
  <c r="Q46" i="6"/>
  <c r="P46" i="6"/>
  <c r="O46" i="6"/>
  <c r="N46" i="6"/>
  <c r="M46" i="6"/>
  <c r="L46" i="6"/>
  <c r="K46" i="6"/>
  <c r="V45" i="1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C44" i="1"/>
  <c r="AF44" i="1"/>
  <c r="Q45" i="6"/>
  <c r="P45" i="6"/>
  <c r="O45" i="6"/>
  <c r="N45" i="6"/>
  <c r="M45" i="6"/>
  <c r="L45" i="6"/>
  <c r="K45" i="6"/>
  <c r="V44" i="1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C43" i="1"/>
  <c r="AF43" i="1"/>
  <c r="Q44" i="6"/>
  <c r="P44" i="6"/>
  <c r="O44" i="6"/>
  <c r="N44" i="6"/>
  <c r="M44" i="6"/>
  <c r="L44" i="6"/>
  <c r="K44" i="6"/>
  <c r="V43" i="1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C42" i="1"/>
  <c r="AF42" i="1"/>
  <c r="Q43" i="6"/>
  <c r="P43" i="6"/>
  <c r="O43" i="6"/>
  <c r="N43" i="6"/>
  <c r="M43" i="6"/>
  <c r="L43" i="6"/>
  <c r="K43" i="6"/>
  <c r="V42" i="1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C41" i="1"/>
  <c r="AF41" i="1"/>
  <c r="Q42" i="6"/>
  <c r="P42" i="6"/>
  <c r="O42" i="6"/>
  <c r="N42" i="6"/>
  <c r="M42" i="6"/>
  <c r="L42" i="6"/>
  <c r="K42" i="6"/>
  <c r="V41" i="1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C40" i="1"/>
  <c r="AF40" i="1"/>
  <c r="Q41" i="6"/>
  <c r="P41" i="6"/>
  <c r="O41" i="6"/>
  <c r="N41" i="6"/>
  <c r="M41" i="6"/>
  <c r="L41" i="6"/>
  <c r="K41" i="6"/>
  <c r="V40" i="1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C39" i="1"/>
  <c r="AF39" i="1"/>
  <c r="Q40" i="6"/>
  <c r="P40" i="6"/>
  <c r="O40" i="6"/>
  <c r="N40" i="6"/>
  <c r="M40" i="6"/>
  <c r="L40" i="6"/>
  <c r="K40" i="6"/>
  <c r="V39" i="1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C38" i="1"/>
  <c r="AF38" i="1"/>
  <c r="Q39" i="6"/>
  <c r="P39" i="6"/>
  <c r="O39" i="6"/>
  <c r="N39" i="6"/>
  <c r="M39" i="6"/>
  <c r="L39" i="6"/>
  <c r="K39" i="6"/>
  <c r="V38" i="1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C37" i="1"/>
  <c r="AF37" i="1"/>
  <c r="Q38" i="6"/>
  <c r="P38" i="6"/>
  <c r="O38" i="6"/>
  <c r="N38" i="6"/>
  <c r="M38" i="6"/>
  <c r="L38" i="6"/>
  <c r="K38" i="6"/>
  <c r="V37" i="1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C36" i="1"/>
  <c r="AF36" i="1"/>
  <c r="Q37" i="6"/>
  <c r="P37" i="6"/>
  <c r="O37" i="6"/>
  <c r="N37" i="6"/>
  <c r="M37" i="6"/>
  <c r="L37" i="6"/>
  <c r="K37" i="6"/>
  <c r="V36" i="1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C35" i="1"/>
  <c r="AF35" i="1"/>
  <c r="Q36" i="6"/>
  <c r="P36" i="6"/>
  <c r="O36" i="6"/>
  <c r="N36" i="6"/>
  <c r="M36" i="6"/>
  <c r="L36" i="6"/>
  <c r="K36" i="6"/>
  <c r="V35" i="1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C34" i="1"/>
  <c r="AF34" i="1"/>
  <c r="Q35" i="6"/>
  <c r="P35" i="6"/>
  <c r="O35" i="6"/>
  <c r="N35" i="6"/>
  <c r="M35" i="6"/>
  <c r="L35" i="6"/>
  <c r="K35" i="6"/>
  <c r="V34" i="1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C33" i="1"/>
  <c r="AF33" i="1"/>
  <c r="Q34" i="6"/>
  <c r="P34" i="6"/>
  <c r="O34" i="6"/>
  <c r="N34" i="6"/>
  <c r="M34" i="6"/>
  <c r="L34" i="6"/>
  <c r="K34" i="6"/>
  <c r="V33" i="1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C32" i="1"/>
  <c r="AF32" i="1"/>
  <c r="Q33" i="6"/>
  <c r="P33" i="6"/>
  <c r="O33" i="6"/>
  <c r="N33" i="6"/>
  <c r="M33" i="6"/>
  <c r="L33" i="6"/>
  <c r="K33" i="6"/>
  <c r="V32" i="1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C31" i="1"/>
  <c r="AF31" i="1"/>
  <c r="Q32" i="6"/>
  <c r="P32" i="6"/>
  <c r="O32" i="6"/>
  <c r="N32" i="6"/>
  <c r="M32" i="6"/>
  <c r="L32" i="6"/>
  <c r="K32" i="6"/>
  <c r="V31" i="1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C30" i="1"/>
  <c r="AF30" i="1"/>
  <c r="Q31" i="6"/>
  <c r="P31" i="6"/>
  <c r="O31" i="6"/>
  <c r="N31" i="6"/>
  <c r="M31" i="6"/>
  <c r="L31" i="6"/>
  <c r="K31" i="6"/>
  <c r="V30" i="1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C29" i="1"/>
  <c r="AF29" i="1"/>
  <c r="Q30" i="6"/>
  <c r="P30" i="6"/>
  <c r="O30" i="6"/>
  <c r="N30" i="6"/>
  <c r="M30" i="6"/>
  <c r="L30" i="6"/>
  <c r="K30" i="6"/>
  <c r="V29" i="1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C28" i="1"/>
  <c r="AF28" i="1"/>
  <c r="Q29" i="6"/>
  <c r="P29" i="6"/>
  <c r="O29" i="6"/>
  <c r="N29" i="6"/>
  <c r="M29" i="6"/>
  <c r="L29" i="6"/>
  <c r="K29" i="6"/>
  <c r="V28" i="1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C27" i="1"/>
  <c r="AF27" i="1"/>
  <c r="Q28" i="6"/>
  <c r="P28" i="6"/>
  <c r="O28" i="6"/>
  <c r="N28" i="6"/>
  <c r="M28" i="6"/>
  <c r="L28" i="6"/>
  <c r="K28" i="6"/>
  <c r="V27" i="1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C26" i="1"/>
  <c r="AF26" i="1"/>
  <c r="Q27" i="6"/>
  <c r="P27" i="6"/>
  <c r="O27" i="6"/>
  <c r="N27" i="6"/>
  <c r="M27" i="6"/>
  <c r="L27" i="6"/>
  <c r="K27" i="6"/>
  <c r="V26" i="1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C25" i="1"/>
  <c r="AF25" i="1"/>
  <c r="Q26" i="6"/>
  <c r="P26" i="6"/>
  <c r="O26" i="6"/>
  <c r="N26" i="6"/>
  <c r="M26" i="6"/>
  <c r="L26" i="6"/>
  <c r="K26" i="6"/>
  <c r="V25" i="1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C24" i="1"/>
  <c r="AF24" i="1"/>
  <c r="Q25" i="6"/>
  <c r="P25" i="6"/>
  <c r="O25" i="6"/>
  <c r="N25" i="6"/>
  <c r="M25" i="6"/>
  <c r="L25" i="6"/>
  <c r="K25" i="6"/>
  <c r="V24" i="1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C23" i="1"/>
  <c r="AF23" i="1"/>
  <c r="Q24" i="6"/>
  <c r="P24" i="6"/>
  <c r="O24" i="6"/>
  <c r="N24" i="6"/>
  <c r="M24" i="6"/>
  <c r="L24" i="6"/>
  <c r="K24" i="6"/>
  <c r="V23" i="1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C22" i="1"/>
  <c r="AF22" i="1"/>
  <c r="Q23" i="6"/>
  <c r="P23" i="6"/>
  <c r="O23" i="6"/>
  <c r="N23" i="6"/>
  <c r="M23" i="6"/>
  <c r="L23" i="6"/>
  <c r="K23" i="6"/>
  <c r="V22" i="1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C21" i="1"/>
  <c r="AF21" i="1"/>
  <c r="Q22" i="6"/>
  <c r="P22" i="6"/>
  <c r="O22" i="6"/>
  <c r="N22" i="6"/>
  <c r="M22" i="6"/>
  <c r="L22" i="6"/>
  <c r="K22" i="6"/>
  <c r="V21" i="1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C20" i="1"/>
  <c r="AF20" i="1"/>
  <c r="Q21" i="6"/>
  <c r="P21" i="6"/>
  <c r="O21" i="6"/>
  <c r="N21" i="6"/>
  <c r="M21" i="6"/>
  <c r="L21" i="6"/>
  <c r="K21" i="6"/>
  <c r="V20" i="1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C19" i="1"/>
  <c r="AF19" i="1"/>
  <c r="Q20" i="6"/>
  <c r="P20" i="6"/>
  <c r="O20" i="6"/>
  <c r="N20" i="6"/>
  <c r="M20" i="6"/>
  <c r="L20" i="6"/>
  <c r="K20" i="6"/>
  <c r="V19" i="1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C18" i="1"/>
  <c r="AF18" i="1"/>
  <c r="Q19" i="6"/>
  <c r="P19" i="6"/>
  <c r="O19" i="6"/>
  <c r="N19" i="6"/>
  <c r="M19" i="6"/>
  <c r="L19" i="6"/>
  <c r="K19" i="6"/>
  <c r="V18" i="1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C17" i="1"/>
  <c r="AF17" i="1"/>
  <c r="Q18" i="6"/>
  <c r="P18" i="6"/>
  <c r="O18" i="6"/>
  <c r="N18" i="6"/>
  <c r="M18" i="6"/>
  <c r="L18" i="6"/>
  <c r="K18" i="6"/>
  <c r="V17" i="1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C16" i="1"/>
  <c r="AF16" i="1"/>
  <c r="Q17" i="6"/>
  <c r="P17" i="6"/>
  <c r="O17" i="6"/>
  <c r="N17" i="6"/>
  <c r="M17" i="6"/>
  <c r="L17" i="6"/>
  <c r="K17" i="6"/>
  <c r="V16" i="1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C15" i="1"/>
  <c r="AF15" i="1"/>
  <c r="Q16" i="6"/>
  <c r="P16" i="6"/>
  <c r="O16" i="6"/>
  <c r="N16" i="6"/>
  <c r="M16" i="6"/>
  <c r="L16" i="6"/>
  <c r="K16" i="6"/>
  <c r="V15" i="1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C14" i="1"/>
  <c r="AF14" i="1"/>
  <c r="Q15" i="6"/>
  <c r="P15" i="6"/>
  <c r="O15" i="6"/>
  <c r="N15" i="6"/>
  <c r="M15" i="6"/>
  <c r="L15" i="6"/>
  <c r="K15" i="6"/>
  <c r="V14" i="1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C13" i="1"/>
  <c r="AF13" i="1"/>
  <c r="Q14" i="6"/>
  <c r="P14" i="6"/>
  <c r="O14" i="6"/>
  <c r="N14" i="6"/>
  <c r="M14" i="6"/>
  <c r="L14" i="6"/>
  <c r="K14" i="6"/>
  <c r="V13" i="1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C12" i="1"/>
  <c r="AF12" i="1"/>
  <c r="Q13" i="6"/>
  <c r="P13" i="6"/>
  <c r="O13" i="6"/>
  <c r="N13" i="6"/>
  <c r="M13" i="6"/>
  <c r="L13" i="6"/>
  <c r="K13" i="6"/>
  <c r="V12" i="1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C11" i="1"/>
  <c r="AF11" i="1"/>
  <c r="Q12" i="6"/>
  <c r="P12" i="6"/>
  <c r="O12" i="6"/>
  <c r="N12" i="6"/>
  <c r="M12" i="6"/>
  <c r="L12" i="6"/>
  <c r="K12" i="6"/>
  <c r="V11" i="1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C10" i="1"/>
  <c r="AF10" i="1"/>
  <c r="Q11" i="6"/>
  <c r="P11" i="6"/>
  <c r="O11" i="6"/>
  <c r="N11" i="6"/>
  <c r="M11" i="6"/>
  <c r="L11" i="6"/>
  <c r="K11" i="6"/>
  <c r="V10" i="1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C9" i="1"/>
  <c r="AF9" i="1"/>
  <c r="Q10" i="6"/>
  <c r="P10" i="6"/>
  <c r="O10" i="6"/>
  <c r="N10" i="6"/>
  <c r="M10" i="6"/>
  <c r="L10" i="6"/>
  <c r="K10" i="6"/>
  <c r="V9" i="1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C8" i="1"/>
  <c r="AF8" i="1"/>
  <c r="Q9" i="6"/>
  <c r="P9" i="6"/>
  <c r="O9" i="6"/>
  <c r="N9" i="6"/>
  <c r="M9" i="6"/>
  <c r="L9" i="6"/>
  <c r="K9" i="6"/>
  <c r="V8" i="1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C7" i="1"/>
  <c r="AF7" i="1"/>
  <c r="Q8" i="6"/>
  <c r="P8" i="6"/>
  <c r="O8" i="6"/>
  <c r="N8" i="6"/>
  <c r="M8" i="6"/>
  <c r="L8" i="6"/>
  <c r="K8" i="6"/>
  <c r="V7" i="1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C6" i="1"/>
  <c r="AF6" i="1"/>
  <c r="Q7" i="6"/>
  <c r="P7" i="6"/>
  <c r="O7" i="6"/>
  <c r="N7" i="6"/>
  <c r="M7" i="6"/>
  <c r="L7" i="6"/>
  <c r="K7" i="6"/>
  <c r="V6" i="1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C5" i="1"/>
  <c r="AF5" i="1"/>
  <c r="Q6" i="6"/>
  <c r="P6" i="6"/>
  <c r="O6" i="6"/>
  <c r="N6" i="6"/>
  <c r="M6" i="6"/>
  <c r="L6" i="6"/>
  <c r="K6" i="6"/>
  <c r="V5" i="1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C4" i="1"/>
  <c r="AF4" i="1"/>
  <c r="Q5" i="6"/>
  <c r="P5" i="6"/>
  <c r="O5" i="6"/>
  <c r="N5" i="6"/>
  <c r="M5" i="6"/>
  <c r="L5" i="6"/>
  <c r="K5" i="6"/>
  <c r="V4" i="1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C3" i="1"/>
  <c r="AF3" i="1"/>
  <c r="Q4" i="6"/>
  <c r="P4" i="6"/>
  <c r="O4" i="6"/>
  <c r="N4" i="6"/>
  <c r="M4" i="6"/>
  <c r="L4" i="6"/>
  <c r="K4" i="6"/>
  <c r="V3" i="1"/>
  <c r="J4" i="6"/>
  <c r="I4" i="6"/>
  <c r="H4" i="6"/>
  <c r="G4" i="6"/>
  <c r="F4" i="6"/>
  <c r="E4" i="6"/>
  <c r="D4" i="6"/>
  <c r="C4" i="6"/>
  <c r="B4" i="6"/>
  <c r="A2" i="2"/>
  <c r="A3" i="2"/>
  <c r="A4" i="2"/>
  <c r="A5" i="2"/>
  <c r="A6" i="2"/>
  <c r="A7" i="2"/>
  <c r="A8" i="2"/>
  <c r="A9" i="2"/>
  <c r="A10" i="2"/>
  <c r="A11" i="2"/>
  <c r="J52" i="1"/>
  <c r="I52" i="1"/>
  <c r="J51" i="1"/>
  <c r="I51" i="1"/>
  <c r="J50" i="1"/>
  <c r="I50" i="1"/>
  <c r="J49" i="1"/>
  <c r="I49" i="1"/>
  <c r="J48" i="1"/>
  <c r="I48" i="1"/>
  <c r="J47" i="1"/>
  <c r="I47" i="1"/>
  <c r="J46" i="1"/>
  <c r="I46" i="1"/>
  <c r="J45" i="1"/>
  <c r="I45" i="1"/>
  <c r="J44" i="1"/>
  <c r="I44" i="1"/>
  <c r="J43" i="1"/>
  <c r="I43" i="1"/>
  <c r="J42" i="1"/>
  <c r="I42" i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AA52" i="1"/>
  <c r="AD52" i="1"/>
  <c r="AB52" i="1"/>
  <c r="U52" i="1"/>
  <c r="P52" i="1"/>
  <c r="O52" i="1"/>
  <c r="N52" i="1"/>
  <c r="M52" i="1"/>
  <c r="L52" i="1"/>
  <c r="H52" i="1"/>
  <c r="D52" i="1"/>
  <c r="F52" i="1"/>
  <c r="E52" i="1"/>
  <c r="AA51" i="1"/>
  <c r="AD51" i="1"/>
  <c r="AB51" i="1"/>
  <c r="U51" i="1"/>
  <c r="P51" i="1"/>
  <c r="O51" i="1"/>
  <c r="N51" i="1"/>
  <c r="M51" i="1"/>
  <c r="L51" i="1"/>
  <c r="H51" i="1"/>
  <c r="D51" i="1"/>
  <c r="F51" i="1"/>
  <c r="E51" i="1"/>
  <c r="AA50" i="1"/>
  <c r="AD50" i="1"/>
  <c r="AB50" i="1"/>
  <c r="U50" i="1"/>
  <c r="P50" i="1"/>
  <c r="O50" i="1"/>
  <c r="N50" i="1"/>
  <c r="M50" i="1"/>
  <c r="L50" i="1"/>
  <c r="H50" i="1"/>
  <c r="D50" i="1"/>
  <c r="F50" i="1"/>
  <c r="E50" i="1"/>
  <c r="AA49" i="1"/>
  <c r="AD49" i="1"/>
  <c r="AB49" i="1"/>
  <c r="U49" i="1"/>
  <c r="P49" i="1"/>
  <c r="O49" i="1"/>
  <c r="N49" i="1"/>
  <c r="M49" i="1"/>
  <c r="L49" i="1"/>
  <c r="H49" i="1"/>
  <c r="D49" i="1"/>
  <c r="F49" i="1"/>
  <c r="E49" i="1"/>
  <c r="AA48" i="1"/>
  <c r="AD48" i="1"/>
  <c r="AB48" i="1"/>
  <c r="U48" i="1"/>
  <c r="P48" i="1"/>
  <c r="O48" i="1"/>
  <c r="N48" i="1"/>
  <c r="M48" i="1"/>
  <c r="L48" i="1"/>
  <c r="H48" i="1"/>
  <c r="D48" i="1"/>
  <c r="F48" i="1"/>
  <c r="E48" i="1"/>
  <c r="AA47" i="1"/>
  <c r="AD47" i="1"/>
  <c r="AB47" i="1"/>
  <c r="U47" i="1"/>
  <c r="P47" i="1"/>
  <c r="O47" i="1"/>
  <c r="N47" i="1"/>
  <c r="M47" i="1"/>
  <c r="L47" i="1"/>
  <c r="H47" i="1"/>
  <c r="D47" i="1"/>
  <c r="F47" i="1"/>
  <c r="E47" i="1"/>
  <c r="AA46" i="1"/>
  <c r="AD46" i="1"/>
  <c r="AB46" i="1"/>
  <c r="U46" i="1"/>
  <c r="P46" i="1"/>
  <c r="O46" i="1"/>
  <c r="N46" i="1"/>
  <c r="M46" i="1"/>
  <c r="L46" i="1"/>
  <c r="H46" i="1"/>
  <c r="D46" i="1"/>
  <c r="F46" i="1"/>
  <c r="E46" i="1"/>
  <c r="AA45" i="1"/>
  <c r="AD45" i="1"/>
  <c r="AB45" i="1"/>
  <c r="U45" i="1"/>
  <c r="P45" i="1"/>
  <c r="O45" i="1"/>
  <c r="N45" i="1"/>
  <c r="M45" i="1"/>
  <c r="L45" i="1"/>
  <c r="H45" i="1"/>
  <c r="D45" i="1"/>
  <c r="F45" i="1"/>
  <c r="E45" i="1"/>
  <c r="AA44" i="1"/>
  <c r="AD44" i="1"/>
  <c r="AB44" i="1"/>
  <c r="U44" i="1"/>
  <c r="P44" i="1"/>
  <c r="O44" i="1"/>
  <c r="N44" i="1"/>
  <c r="M44" i="1"/>
  <c r="L44" i="1"/>
  <c r="H44" i="1"/>
  <c r="D44" i="1"/>
  <c r="F44" i="1"/>
  <c r="E44" i="1"/>
  <c r="AA43" i="1"/>
  <c r="AD43" i="1"/>
  <c r="AB43" i="1"/>
  <c r="U43" i="1"/>
  <c r="P43" i="1"/>
  <c r="O43" i="1"/>
  <c r="N43" i="1"/>
  <c r="M43" i="1"/>
  <c r="L43" i="1"/>
  <c r="H43" i="1"/>
  <c r="D43" i="1"/>
  <c r="F43" i="1"/>
  <c r="E43" i="1"/>
  <c r="AA42" i="1"/>
  <c r="AD42" i="1"/>
  <c r="AB42" i="1"/>
  <c r="U42" i="1"/>
  <c r="P42" i="1"/>
  <c r="O42" i="1"/>
  <c r="N42" i="1"/>
  <c r="M42" i="1"/>
  <c r="L42" i="1"/>
  <c r="H42" i="1"/>
  <c r="D42" i="1"/>
  <c r="F42" i="1"/>
  <c r="E42" i="1"/>
  <c r="AA41" i="1"/>
  <c r="AD41" i="1"/>
  <c r="AB41" i="1"/>
  <c r="U41" i="1"/>
  <c r="P41" i="1"/>
  <c r="O41" i="1"/>
  <c r="N41" i="1"/>
  <c r="M41" i="1"/>
  <c r="L41" i="1"/>
  <c r="H41" i="1"/>
  <c r="D41" i="1"/>
  <c r="F41" i="1"/>
  <c r="E41" i="1"/>
  <c r="AA40" i="1"/>
  <c r="AD40" i="1"/>
  <c r="AB40" i="1"/>
  <c r="U40" i="1"/>
  <c r="P40" i="1"/>
  <c r="O40" i="1"/>
  <c r="N40" i="1"/>
  <c r="M40" i="1"/>
  <c r="L40" i="1"/>
  <c r="H40" i="1"/>
  <c r="D40" i="1"/>
  <c r="F40" i="1"/>
  <c r="E40" i="1"/>
  <c r="AA39" i="1"/>
  <c r="AD39" i="1"/>
  <c r="AB39" i="1"/>
  <c r="U39" i="1"/>
  <c r="P39" i="1"/>
  <c r="O39" i="1"/>
  <c r="N39" i="1"/>
  <c r="M39" i="1"/>
  <c r="L39" i="1"/>
  <c r="H39" i="1"/>
  <c r="D39" i="1"/>
  <c r="F39" i="1"/>
  <c r="E39" i="1"/>
  <c r="AA38" i="1"/>
  <c r="AD38" i="1"/>
  <c r="AB38" i="1"/>
  <c r="U38" i="1"/>
  <c r="P38" i="1"/>
  <c r="O38" i="1"/>
  <c r="N38" i="1"/>
  <c r="M38" i="1"/>
  <c r="L38" i="1"/>
  <c r="H38" i="1"/>
  <c r="D38" i="1"/>
  <c r="F38" i="1"/>
  <c r="E38" i="1"/>
  <c r="AA37" i="1"/>
  <c r="AD37" i="1"/>
  <c r="AB37" i="1"/>
  <c r="U37" i="1"/>
  <c r="P37" i="1"/>
  <c r="O37" i="1"/>
  <c r="N37" i="1"/>
  <c r="M37" i="1"/>
  <c r="L37" i="1"/>
  <c r="H37" i="1"/>
  <c r="D37" i="1"/>
  <c r="F37" i="1"/>
  <c r="E37" i="1"/>
  <c r="AA36" i="1"/>
  <c r="AD36" i="1"/>
  <c r="AB36" i="1"/>
  <c r="U36" i="1"/>
  <c r="P36" i="1"/>
  <c r="O36" i="1"/>
  <c r="N36" i="1"/>
  <c r="M36" i="1"/>
  <c r="L36" i="1"/>
  <c r="H36" i="1"/>
  <c r="D36" i="1"/>
  <c r="F36" i="1"/>
  <c r="E36" i="1"/>
  <c r="AA35" i="1"/>
  <c r="AD35" i="1"/>
  <c r="AB35" i="1"/>
  <c r="U35" i="1"/>
  <c r="P35" i="1"/>
  <c r="O35" i="1"/>
  <c r="N35" i="1"/>
  <c r="M35" i="1"/>
  <c r="L35" i="1"/>
  <c r="H35" i="1"/>
  <c r="D35" i="1"/>
  <c r="F35" i="1"/>
  <c r="E35" i="1"/>
  <c r="AA34" i="1"/>
  <c r="AD34" i="1"/>
  <c r="AB34" i="1"/>
  <c r="U34" i="1"/>
  <c r="P34" i="1"/>
  <c r="O34" i="1"/>
  <c r="N34" i="1"/>
  <c r="M34" i="1"/>
  <c r="L34" i="1"/>
  <c r="H34" i="1"/>
  <c r="D34" i="1"/>
  <c r="F34" i="1"/>
  <c r="E34" i="1"/>
  <c r="AA33" i="1"/>
  <c r="AD33" i="1"/>
  <c r="AB33" i="1"/>
  <c r="U33" i="1"/>
  <c r="P33" i="1"/>
  <c r="O33" i="1"/>
  <c r="N33" i="1"/>
  <c r="M33" i="1"/>
  <c r="L33" i="1"/>
  <c r="H33" i="1"/>
  <c r="D33" i="1"/>
  <c r="F33" i="1"/>
  <c r="E33" i="1"/>
  <c r="AA32" i="1"/>
  <c r="AD32" i="1"/>
  <c r="AB32" i="1"/>
  <c r="U32" i="1"/>
  <c r="P32" i="1"/>
  <c r="O32" i="1"/>
  <c r="N32" i="1"/>
  <c r="M32" i="1"/>
  <c r="L32" i="1"/>
  <c r="H32" i="1"/>
  <c r="D32" i="1"/>
  <c r="F32" i="1"/>
  <c r="E32" i="1"/>
  <c r="AA31" i="1"/>
  <c r="AD31" i="1"/>
  <c r="AB31" i="1"/>
  <c r="U31" i="1"/>
  <c r="P31" i="1"/>
  <c r="O31" i="1"/>
  <c r="N31" i="1"/>
  <c r="M31" i="1"/>
  <c r="L31" i="1"/>
  <c r="H31" i="1"/>
  <c r="D31" i="1"/>
  <c r="F31" i="1"/>
  <c r="E31" i="1"/>
  <c r="AA30" i="1"/>
  <c r="AD30" i="1"/>
  <c r="AB30" i="1"/>
  <c r="U30" i="1"/>
  <c r="P30" i="1"/>
  <c r="O30" i="1"/>
  <c r="N30" i="1"/>
  <c r="M30" i="1"/>
  <c r="L30" i="1"/>
  <c r="H30" i="1"/>
  <c r="D30" i="1"/>
  <c r="F30" i="1"/>
  <c r="E30" i="1"/>
  <c r="G4" i="2"/>
  <c r="H26" i="1"/>
  <c r="H27" i="1"/>
  <c r="H28" i="1"/>
  <c r="H2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B4" i="2"/>
  <c r="D4" i="2"/>
  <c r="E4" i="2"/>
  <c r="H4" i="2"/>
  <c r="G5" i="2"/>
  <c r="B5" i="2"/>
  <c r="D5" i="2"/>
  <c r="E5" i="2"/>
  <c r="H5" i="2"/>
  <c r="G6" i="2"/>
  <c r="B6" i="2"/>
  <c r="D6" i="2"/>
  <c r="E6" i="2"/>
  <c r="H6" i="2"/>
  <c r="G7" i="2"/>
  <c r="B7" i="2"/>
  <c r="D7" i="2"/>
  <c r="E7" i="2"/>
  <c r="H7" i="2"/>
  <c r="G8" i="2"/>
  <c r="B8" i="2"/>
  <c r="D8" i="2"/>
  <c r="E8" i="2"/>
  <c r="H8" i="2"/>
  <c r="G9" i="2"/>
  <c r="B9" i="2"/>
  <c r="D9" i="2"/>
  <c r="E9" i="2"/>
  <c r="H9" i="2"/>
  <c r="G10" i="2"/>
  <c r="B10" i="2"/>
  <c r="D10" i="2"/>
  <c r="E10" i="2"/>
  <c r="H10" i="2"/>
  <c r="G11" i="2"/>
  <c r="B11" i="2"/>
  <c r="D11" i="2"/>
  <c r="E11" i="2"/>
  <c r="H11" i="2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E2" i="1"/>
  <c r="D2" i="1"/>
  <c r="F2" i="1"/>
  <c r="L2" i="1"/>
  <c r="M2" i="1"/>
  <c r="N2" i="1"/>
  <c r="O2" i="1"/>
  <c r="P2" i="1"/>
  <c r="V2" i="1"/>
  <c r="U2" i="1"/>
  <c r="E3" i="1"/>
  <c r="D3" i="1"/>
  <c r="F3" i="1"/>
  <c r="L3" i="1"/>
  <c r="M3" i="1"/>
  <c r="N3" i="1"/>
  <c r="O3" i="1"/>
  <c r="P3" i="1"/>
  <c r="U3" i="1"/>
  <c r="E4" i="1"/>
  <c r="D4" i="1"/>
  <c r="F4" i="1"/>
  <c r="L4" i="1"/>
  <c r="M4" i="1"/>
  <c r="N4" i="1"/>
  <c r="O4" i="1"/>
  <c r="P4" i="1"/>
  <c r="U4" i="1"/>
  <c r="E5" i="1"/>
  <c r="D5" i="1"/>
  <c r="F5" i="1"/>
  <c r="L5" i="1"/>
  <c r="M5" i="1"/>
  <c r="N5" i="1"/>
  <c r="O5" i="1"/>
  <c r="P5" i="1"/>
  <c r="U5" i="1"/>
  <c r="E6" i="1"/>
  <c r="D6" i="1"/>
  <c r="F6" i="1"/>
  <c r="L6" i="1"/>
  <c r="M6" i="1"/>
  <c r="N6" i="1"/>
  <c r="O6" i="1"/>
  <c r="P6" i="1"/>
  <c r="U6" i="1"/>
  <c r="E7" i="1"/>
  <c r="D7" i="1"/>
  <c r="F7" i="1"/>
  <c r="L7" i="1"/>
  <c r="M7" i="1"/>
  <c r="N7" i="1"/>
  <c r="O7" i="1"/>
  <c r="P7" i="1"/>
  <c r="U7" i="1"/>
  <c r="E8" i="1"/>
  <c r="D8" i="1"/>
  <c r="F8" i="1"/>
  <c r="L8" i="1"/>
  <c r="M8" i="1"/>
  <c r="N8" i="1"/>
  <c r="O8" i="1"/>
  <c r="P8" i="1"/>
  <c r="U8" i="1"/>
  <c r="E9" i="1"/>
  <c r="D9" i="1"/>
  <c r="F9" i="1"/>
  <c r="L9" i="1"/>
  <c r="M9" i="1"/>
  <c r="N9" i="1"/>
  <c r="O9" i="1"/>
  <c r="P9" i="1"/>
  <c r="U9" i="1"/>
  <c r="E10" i="1"/>
  <c r="D10" i="1"/>
  <c r="F10" i="1"/>
  <c r="L10" i="1"/>
  <c r="M10" i="1"/>
  <c r="N10" i="1"/>
  <c r="O10" i="1"/>
  <c r="P10" i="1"/>
  <c r="U10" i="1"/>
  <c r="E11" i="1"/>
  <c r="D11" i="1"/>
  <c r="F11" i="1"/>
  <c r="L11" i="1"/>
  <c r="M11" i="1"/>
  <c r="N11" i="1"/>
  <c r="O11" i="1"/>
  <c r="P11" i="1"/>
  <c r="U11" i="1"/>
  <c r="E12" i="1"/>
  <c r="D12" i="1"/>
  <c r="F12" i="1"/>
  <c r="L12" i="1"/>
  <c r="M12" i="1"/>
  <c r="N12" i="1"/>
  <c r="O12" i="1"/>
  <c r="P12" i="1"/>
  <c r="U12" i="1"/>
  <c r="E13" i="1"/>
  <c r="D13" i="1"/>
  <c r="F13" i="1"/>
  <c r="L13" i="1"/>
  <c r="M13" i="1"/>
  <c r="N13" i="1"/>
  <c r="O13" i="1"/>
  <c r="P13" i="1"/>
  <c r="U13" i="1"/>
  <c r="E14" i="1"/>
  <c r="D14" i="1"/>
  <c r="F14" i="1"/>
  <c r="L14" i="1"/>
  <c r="M14" i="1"/>
  <c r="N14" i="1"/>
  <c r="O14" i="1"/>
  <c r="P14" i="1"/>
  <c r="U14" i="1"/>
  <c r="E15" i="1"/>
  <c r="D15" i="1"/>
  <c r="F15" i="1"/>
  <c r="L15" i="1"/>
  <c r="M15" i="1"/>
  <c r="N15" i="1"/>
  <c r="O15" i="1"/>
  <c r="P15" i="1"/>
  <c r="U15" i="1"/>
  <c r="E16" i="1"/>
  <c r="D16" i="1"/>
  <c r="F16" i="1"/>
  <c r="L16" i="1"/>
  <c r="M16" i="1"/>
  <c r="N16" i="1"/>
  <c r="O16" i="1"/>
  <c r="P16" i="1"/>
  <c r="U16" i="1"/>
  <c r="E17" i="1"/>
  <c r="D17" i="1"/>
  <c r="F17" i="1"/>
  <c r="L17" i="1"/>
  <c r="M17" i="1"/>
  <c r="N17" i="1"/>
  <c r="O17" i="1"/>
  <c r="P17" i="1"/>
  <c r="U17" i="1"/>
  <c r="E18" i="1"/>
  <c r="D18" i="1"/>
  <c r="F18" i="1"/>
  <c r="L18" i="1"/>
  <c r="M18" i="1"/>
  <c r="N18" i="1"/>
  <c r="O18" i="1"/>
  <c r="P18" i="1"/>
  <c r="U18" i="1"/>
  <c r="E19" i="1"/>
  <c r="D19" i="1"/>
  <c r="F19" i="1"/>
  <c r="L19" i="1"/>
  <c r="M19" i="1"/>
  <c r="N19" i="1"/>
  <c r="O19" i="1"/>
  <c r="P19" i="1"/>
  <c r="U19" i="1"/>
  <c r="E20" i="1"/>
  <c r="D20" i="1"/>
  <c r="F20" i="1"/>
  <c r="L20" i="1"/>
  <c r="M20" i="1"/>
  <c r="N20" i="1"/>
  <c r="O20" i="1"/>
  <c r="P20" i="1"/>
  <c r="U20" i="1"/>
  <c r="E21" i="1"/>
  <c r="D21" i="1"/>
  <c r="F21" i="1"/>
  <c r="L21" i="1"/>
  <c r="M21" i="1"/>
  <c r="N21" i="1"/>
  <c r="O21" i="1"/>
  <c r="P21" i="1"/>
  <c r="U21" i="1"/>
  <c r="E22" i="1"/>
  <c r="D22" i="1"/>
  <c r="F22" i="1"/>
  <c r="L22" i="1"/>
  <c r="M22" i="1"/>
  <c r="N22" i="1"/>
  <c r="O22" i="1"/>
  <c r="P22" i="1"/>
  <c r="U22" i="1"/>
  <c r="E23" i="1"/>
  <c r="D23" i="1"/>
  <c r="F23" i="1"/>
  <c r="L23" i="1"/>
  <c r="M23" i="1"/>
  <c r="N23" i="1"/>
  <c r="O23" i="1"/>
  <c r="P23" i="1"/>
  <c r="U23" i="1"/>
  <c r="E24" i="1"/>
  <c r="D24" i="1"/>
  <c r="F24" i="1"/>
  <c r="L24" i="1"/>
  <c r="M24" i="1"/>
  <c r="N24" i="1"/>
  <c r="O24" i="1"/>
  <c r="P24" i="1"/>
  <c r="U24" i="1"/>
  <c r="E25" i="1"/>
  <c r="D25" i="1"/>
  <c r="F25" i="1"/>
  <c r="L25" i="1"/>
  <c r="M25" i="1"/>
  <c r="N25" i="1"/>
  <c r="O25" i="1"/>
  <c r="P25" i="1"/>
  <c r="U25" i="1"/>
  <c r="E26" i="1"/>
  <c r="D26" i="1"/>
  <c r="F26" i="1"/>
  <c r="L26" i="1"/>
  <c r="M26" i="1"/>
  <c r="N26" i="1"/>
  <c r="O26" i="1"/>
  <c r="P26" i="1"/>
  <c r="U26" i="1"/>
  <c r="E27" i="1"/>
  <c r="D27" i="1"/>
  <c r="F27" i="1"/>
  <c r="L27" i="1"/>
  <c r="M27" i="1"/>
  <c r="N27" i="1"/>
  <c r="O27" i="1"/>
  <c r="P27" i="1"/>
  <c r="U27" i="1"/>
  <c r="E28" i="1"/>
  <c r="D28" i="1"/>
  <c r="F28" i="1"/>
  <c r="L28" i="1"/>
  <c r="M28" i="1"/>
  <c r="N28" i="1"/>
  <c r="O28" i="1"/>
  <c r="P28" i="1"/>
  <c r="U28" i="1"/>
  <c r="E29" i="1"/>
  <c r="D29" i="1"/>
  <c r="F29" i="1"/>
  <c r="L29" i="1"/>
  <c r="M29" i="1"/>
  <c r="N29" i="1"/>
  <c r="O29" i="1"/>
  <c r="P29" i="1"/>
  <c r="U29" i="1"/>
  <c r="A3" i="6"/>
  <c r="I3" i="6"/>
  <c r="H3" i="6"/>
  <c r="G3" i="6"/>
  <c r="G3" i="2"/>
  <c r="H3" i="2"/>
  <c r="G2" i="2"/>
  <c r="H2" i="2"/>
  <c r="C1" i="5"/>
  <c r="A1" i="5"/>
  <c r="A12" i="5"/>
  <c r="B1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AD25" i="1"/>
  <c r="AB25" i="1"/>
  <c r="AD24" i="1"/>
  <c r="AB24" i="1"/>
  <c r="AD29" i="1"/>
  <c r="AB29" i="1"/>
  <c r="AD28" i="1"/>
  <c r="AB28" i="1"/>
  <c r="AD27" i="1"/>
  <c r="AB27" i="1"/>
  <c r="AD26" i="1"/>
  <c r="AB26" i="1"/>
  <c r="AD23" i="1"/>
  <c r="AB23" i="1"/>
  <c r="AD22" i="1"/>
  <c r="AB22" i="1"/>
  <c r="AD21" i="1"/>
  <c r="AB21" i="1"/>
  <c r="AD20" i="1"/>
  <c r="AB20" i="1"/>
  <c r="AD19" i="1"/>
  <c r="AB19" i="1"/>
  <c r="AD18" i="1"/>
  <c r="AB18" i="1"/>
  <c r="AD17" i="1"/>
  <c r="AB17" i="1"/>
  <c r="AD16" i="1"/>
  <c r="AB16" i="1"/>
  <c r="AD15" i="1"/>
  <c r="AB15" i="1"/>
  <c r="AD14" i="1"/>
  <c r="AB14" i="1"/>
  <c r="AD13" i="1"/>
  <c r="AB13" i="1"/>
  <c r="AD12" i="1"/>
  <c r="AB12" i="1"/>
  <c r="AD11" i="1"/>
  <c r="AB11" i="1"/>
  <c r="AD10" i="1"/>
  <c r="AB10" i="1"/>
  <c r="AD9" i="1"/>
  <c r="AB9" i="1"/>
  <c r="AD8" i="1"/>
  <c r="AB8" i="1"/>
  <c r="AD7" i="1"/>
  <c r="AB7" i="1"/>
  <c r="AD6" i="1"/>
  <c r="AB6" i="1"/>
  <c r="AD5" i="1"/>
  <c r="AB5" i="1"/>
  <c r="AD4" i="1"/>
  <c r="AB4" i="1"/>
  <c r="AD3" i="1"/>
  <c r="AB3" i="1"/>
  <c r="E3" i="2"/>
  <c r="D3" i="2"/>
  <c r="B3" i="2"/>
  <c r="W3" i="6"/>
  <c r="V3" i="6"/>
  <c r="U3" i="6"/>
  <c r="T3" i="6"/>
  <c r="S3" i="6"/>
  <c r="AC2" i="1"/>
  <c r="AF2" i="1"/>
  <c r="B2" i="2"/>
  <c r="AD2" i="1"/>
  <c r="AB2" i="1"/>
  <c r="E2" i="2"/>
  <c r="D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<sst xmlns="http://schemas.openxmlformats.org/spreadsheetml/2006/main" count="78" uniqueCount="55">
  <si>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</si>
  <si>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</si>
  <si>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</si>
  <si>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</si>
  <si>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</si>
  <si>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</si>
  <si>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</si>
  <si>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</si>
  <si>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</si>
  <si>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</si>
  <si>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</si>
  <si>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</si>
  <si>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</si>
  <si>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</si>
  <si>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</si>
  <si>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</si>
  <si>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</si>
  <si>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</si>
  <si>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</si>
  <si>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</si>
  <si>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</si>
  <si>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</si>
  <si>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</si>
  <si>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</si>
  <si>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</si>
  <si>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</si>
  <si>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</si>
  <si>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</si>
  <si>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</si>
  <si>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</si>
  <si>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</si>
  <si>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</si>
  <si>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</si>
  <si>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</si>
  <si>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</si>
  <si>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</si>
  <si>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</si>
  <si>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</si>
  <si>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</si>
  <si>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</si>
  <si>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</si>
  <si>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</si>
  <si>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</si>
  <si>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</si>
  <si>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</si>
  <si>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</si>
  <si>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</si>
  <si>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</si>
  <si>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drop_label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</si>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</sst>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</borders>
  <cellStyleXfs count="534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3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10" fillId="0" borderId="12" xfId="0" applyNumberFormat="1" applyFont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3" fillId="3" borderId="7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vertical="center"/>
    </xf>
  </cellXfs>
  <cellStyles count="534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quest_schedule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11207</v>
          </cell>
        </row>
        <row r="63">
          <cell r="A63">
            <v>11208</v>
          </cell>
        </row>
        <row r="64">
          <cell r="A64">
            <v>11209</v>
          </cell>
        </row>
        <row r="65">
          <cell r="A65">
            <v>12001</v>
          </cell>
        </row>
        <row r="66">
          <cell r="A66">
            <v>13001</v>
          </cell>
        </row>
        <row r="67">
          <cell r="A67">
            <v>20001</v>
          </cell>
        </row>
        <row r="68">
          <cell r="A68">
            <v>20002</v>
          </cell>
        </row>
        <row r="69">
          <cell r="A69">
            <v>20003</v>
          </cell>
        </row>
        <row r="70">
          <cell r="A70">
            <v>20004</v>
          </cell>
        </row>
        <row r="71">
          <cell r="A71">
            <v>20005</v>
          </cell>
        </row>
        <row r="72">
          <cell r="A72">
            <v>20006</v>
          </cell>
        </row>
        <row r="73">
          <cell r="A73">
            <v>20007</v>
          </cell>
        </row>
        <row r="74">
          <cell r="A74">
            <v>20008</v>
          </cell>
        </row>
        <row r="75">
          <cell r="A75">
            <v>20009</v>
          </cell>
        </row>
        <row r="76">
          <cell r="A76">
            <v>20010</v>
          </cell>
        </row>
        <row r="77">
          <cell r="A77">
            <v>20011</v>
          </cell>
        </row>
        <row r="78">
          <cell r="A78">
            <v>20012</v>
          </cell>
        </row>
        <row r="79">
          <cell r="A79">
            <v>30001</v>
          </cell>
        </row>
        <row r="80">
          <cell r="A80">
            <v>30002</v>
          </cell>
        </row>
        <row r="81">
          <cell r="A81">
            <v>30003</v>
          </cell>
        </row>
        <row r="82">
          <cell r="A82">
            <v>30004</v>
          </cell>
        </row>
        <row r="83">
          <cell r="A83">
            <v>30005</v>
          </cell>
        </row>
        <row r="84">
          <cell r="A84">
            <v>30006</v>
          </cell>
        </row>
        <row r="85">
          <cell r="A85">
            <v>30007</v>
          </cell>
        </row>
        <row r="86">
          <cell r="A86">
            <v>30008</v>
          </cell>
        </row>
        <row r="87">
          <cell r="A87">
            <v>30009</v>
          </cell>
        </row>
        <row r="88">
          <cell r="A88">
            <v>30010</v>
          </cell>
        </row>
        <row r="89">
          <cell r="A89">
            <v>30011</v>
          </cell>
        </row>
        <row r="90">
          <cell r="A90">
            <v>30012</v>
          </cell>
        </row>
        <row r="91">
          <cell r="A91">
            <v>40001</v>
          </cell>
        </row>
        <row r="92">
          <cell r="A92">
            <v>40002</v>
          </cell>
        </row>
        <row r="93">
          <cell r="A93">
            <v>40003</v>
          </cell>
        </row>
        <row r="94">
          <cell r="A94">
            <v>65535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  <cell r="Y2" t="str">
            <v>crash_panel_materials</v>
          </cell>
          <cell r="Z2" t="str">
            <v>stage_target</v>
          </cell>
          <cell r="AA2" t="str">
            <v>bgm</v>
          </cell>
          <cell r="AB2" t="str">
            <v>bgm_boss</v>
          </cell>
          <cell r="AC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11207_1</v>
          </cell>
        </row>
        <row r="238">
          <cell r="A238" t="str">
            <v>11207_2</v>
          </cell>
        </row>
        <row r="239">
          <cell r="A239" t="str">
            <v>11208_1</v>
          </cell>
        </row>
        <row r="240">
          <cell r="A240" t="str">
            <v>11208_2</v>
          </cell>
        </row>
        <row r="241">
          <cell r="A241" t="str">
            <v>11209_1</v>
          </cell>
        </row>
        <row r="242">
          <cell r="A242" t="str">
            <v>11209_2</v>
          </cell>
        </row>
        <row r="243">
          <cell r="A243" t="str">
            <v>12001_1</v>
          </cell>
        </row>
        <row r="244">
          <cell r="A244" t="str">
            <v>12001_2</v>
          </cell>
        </row>
        <row r="245">
          <cell r="A245" t="str">
            <v>13001_1</v>
          </cell>
        </row>
        <row r="246">
          <cell r="A246" t="str">
            <v>13001_2</v>
          </cell>
        </row>
        <row r="247">
          <cell r="A247" t="str">
            <v>13001_3</v>
          </cell>
        </row>
        <row r="248">
          <cell r="A248" t="str">
            <v>13001_4</v>
          </cell>
        </row>
        <row r="249">
          <cell r="A249" t="str">
            <v>13001_5</v>
          </cell>
        </row>
        <row r="250">
          <cell r="A250" t="str">
            <v>13001_6</v>
          </cell>
        </row>
        <row r="251">
          <cell r="A251" t="str">
            <v>13001_7</v>
          </cell>
        </row>
        <row r="252">
          <cell r="A252" t="str">
            <v>13001_8</v>
          </cell>
        </row>
        <row r="253">
          <cell r="A253" t="str">
            <v>13001_9</v>
          </cell>
        </row>
        <row r="254">
          <cell r="A254" t="str">
            <v>13001_10</v>
          </cell>
        </row>
        <row r="255">
          <cell r="A255" t="str">
            <v>13001_11</v>
          </cell>
        </row>
        <row r="256">
          <cell r="A256" t="str">
            <v>13001_12</v>
          </cell>
        </row>
        <row r="257">
          <cell r="A257" t="str">
            <v>13001_13</v>
          </cell>
        </row>
        <row r="258">
          <cell r="A258" t="str">
            <v>13001_14</v>
          </cell>
        </row>
        <row r="259">
          <cell r="A259" t="str">
            <v>13001_15</v>
          </cell>
        </row>
        <row r="260">
          <cell r="A260" t="str">
            <v>13001_16</v>
          </cell>
        </row>
        <row r="261">
          <cell r="A261" t="str">
            <v>13001_17</v>
          </cell>
        </row>
        <row r="262">
          <cell r="A262" t="str">
            <v>13001_18</v>
          </cell>
        </row>
        <row r="263">
          <cell r="A263" t="str">
            <v>13001_19</v>
          </cell>
        </row>
        <row r="264">
          <cell r="A264" t="str">
            <v>13001_20</v>
          </cell>
        </row>
        <row r="265">
          <cell r="A265" t="str">
            <v>13001_21</v>
          </cell>
        </row>
        <row r="266">
          <cell r="A266" t="str">
            <v>13001_22</v>
          </cell>
        </row>
        <row r="267">
          <cell r="A267" t="str">
            <v>13001_23</v>
          </cell>
        </row>
        <row r="268">
          <cell r="A268" t="str">
            <v>13001_24</v>
          </cell>
        </row>
        <row r="269">
          <cell r="A269" t="str">
            <v>13001_25</v>
          </cell>
        </row>
        <row r="270">
          <cell r="A270" t="str">
            <v>20001_1</v>
          </cell>
        </row>
        <row r="271">
          <cell r="A271" t="str">
            <v>20001_2</v>
          </cell>
        </row>
        <row r="272">
          <cell r="A272" t="str">
            <v>20001_3</v>
          </cell>
        </row>
        <row r="273">
          <cell r="A273" t="str">
            <v>20002_1</v>
          </cell>
        </row>
        <row r="274">
          <cell r="A274" t="str">
            <v>20002_2</v>
          </cell>
        </row>
        <row r="275">
          <cell r="A275" t="str">
            <v>20002_3</v>
          </cell>
        </row>
        <row r="276">
          <cell r="A276" t="str">
            <v>20003_1</v>
          </cell>
        </row>
        <row r="277">
          <cell r="A277" t="str">
            <v>20003_2</v>
          </cell>
        </row>
        <row r="278">
          <cell r="A278" t="str">
            <v>20003_3</v>
          </cell>
        </row>
        <row r="279">
          <cell r="A279" t="str">
            <v>20004_1</v>
          </cell>
        </row>
        <row r="280">
          <cell r="A280" t="str">
            <v>20004_2</v>
          </cell>
        </row>
        <row r="281">
          <cell r="A281" t="str">
            <v>20004_3</v>
          </cell>
        </row>
        <row r="282">
          <cell r="A282" t="str">
            <v>20005_1</v>
          </cell>
        </row>
        <row r="283">
          <cell r="A283" t="str">
            <v>20005_2</v>
          </cell>
        </row>
        <row r="284">
          <cell r="A284" t="str">
            <v>20005_3</v>
          </cell>
        </row>
        <row r="285">
          <cell r="A285" t="str">
            <v>20006_1</v>
          </cell>
        </row>
        <row r="286">
          <cell r="A286" t="str">
            <v>20006_2</v>
          </cell>
        </row>
        <row r="287">
          <cell r="A287" t="str">
            <v>20006_3</v>
          </cell>
        </row>
        <row r="288">
          <cell r="A288" t="str">
            <v>20007_1</v>
          </cell>
        </row>
        <row r="289">
          <cell r="A289" t="str">
            <v>20007_2</v>
          </cell>
        </row>
        <row r="290">
          <cell r="A290" t="str">
            <v>20007_3</v>
          </cell>
        </row>
        <row r="291">
          <cell r="A291" t="str">
            <v>20008_1</v>
          </cell>
        </row>
        <row r="292">
          <cell r="A292" t="str">
            <v>20008_2</v>
          </cell>
        </row>
        <row r="293">
          <cell r="A293" t="str">
            <v>20008_3</v>
          </cell>
        </row>
        <row r="294">
          <cell r="A294" t="str">
            <v>20009_1</v>
          </cell>
        </row>
        <row r="295">
          <cell r="A295" t="str">
            <v>20009_2</v>
          </cell>
        </row>
        <row r="296">
          <cell r="A296" t="str">
            <v>20009_3</v>
          </cell>
        </row>
        <row r="297">
          <cell r="A297" t="str">
            <v>20010_1</v>
          </cell>
        </row>
        <row r="298">
          <cell r="A298" t="str">
            <v>20010_2</v>
          </cell>
        </row>
        <row r="299">
          <cell r="A299" t="str">
            <v>20010_3</v>
          </cell>
        </row>
        <row r="300">
          <cell r="A300" t="str">
            <v>20011_1</v>
          </cell>
        </row>
        <row r="301">
          <cell r="A301" t="str">
            <v>20011_2</v>
          </cell>
        </row>
        <row r="302">
          <cell r="A302" t="str">
            <v>20011_3</v>
          </cell>
        </row>
        <row r="303">
          <cell r="A303" t="str">
            <v>20012_1</v>
          </cell>
        </row>
        <row r="304">
          <cell r="A304" t="str">
            <v>20012_2</v>
          </cell>
        </row>
        <row r="305">
          <cell r="A305" t="str">
            <v>20012_3</v>
          </cell>
        </row>
        <row r="306">
          <cell r="A306" t="str">
            <v>30001_1</v>
          </cell>
        </row>
        <row r="307">
          <cell r="A307" t="str">
            <v>30001_2</v>
          </cell>
        </row>
        <row r="308">
          <cell r="A308" t="str">
            <v>30001_3</v>
          </cell>
        </row>
        <row r="309">
          <cell r="A309" t="str">
            <v>30002_1</v>
          </cell>
        </row>
        <row r="310">
          <cell r="A310" t="str">
            <v>30002_2</v>
          </cell>
        </row>
        <row r="311">
          <cell r="A311" t="str">
            <v>30002_3</v>
          </cell>
        </row>
        <row r="312">
          <cell r="A312" t="str">
            <v>30003_1</v>
          </cell>
        </row>
        <row r="313">
          <cell r="A313" t="str">
            <v>30003_2</v>
          </cell>
        </row>
        <row r="314">
          <cell r="A314" t="str">
            <v>30003_3</v>
          </cell>
        </row>
        <row r="315">
          <cell r="A315" t="str">
            <v>30004_1</v>
          </cell>
        </row>
        <row r="316">
          <cell r="A316" t="str">
            <v>30004_2</v>
          </cell>
        </row>
        <row r="317">
          <cell r="A317" t="str">
            <v>30004_3</v>
          </cell>
        </row>
        <row r="318">
          <cell r="A318" t="str">
            <v>30005_1</v>
          </cell>
        </row>
        <row r="319">
          <cell r="A319" t="str">
            <v>30005_2</v>
          </cell>
        </row>
        <row r="320">
          <cell r="A320" t="str">
            <v>30005_3</v>
          </cell>
        </row>
        <row r="321">
          <cell r="A321" t="str">
            <v>30006_1</v>
          </cell>
        </row>
        <row r="322">
          <cell r="A322" t="str">
            <v>30006_2</v>
          </cell>
        </row>
        <row r="323">
          <cell r="A323" t="str">
            <v>30006_3</v>
          </cell>
        </row>
        <row r="324">
          <cell r="A324" t="str">
            <v>30007_1</v>
          </cell>
        </row>
        <row r="325">
          <cell r="A325" t="str">
            <v>30007_2</v>
          </cell>
        </row>
        <row r="326">
          <cell r="A326" t="str">
            <v>30007_3</v>
          </cell>
        </row>
        <row r="327">
          <cell r="A327" t="str">
            <v>30008_1</v>
          </cell>
        </row>
        <row r="328">
          <cell r="A328" t="str">
            <v>30008_2</v>
          </cell>
        </row>
        <row r="329">
          <cell r="A329" t="str">
            <v>30008_3</v>
          </cell>
        </row>
        <row r="330">
          <cell r="A330" t="str">
            <v>30009_3</v>
          </cell>
        </row>
        <row r="331">
          <cell r="A331" t="str">
            <v>30009_1</v>
          </cell>
        </row>
        <row r="332">
          <cell r="A332" t="str">
            <v>30009_2</v>
          </cell>
        </row>
        <row r="333">
          <cell r="A333" t="str">
            <v>30010_1</v>
          </cell>
        </row>
        <row r="334">
          <cell r="A334" t="str">
            <v>30010_2</v>
          </cell>
        </row>
        <row r="335">
          <cell r="A335" t="str">
            <v>30010_3</v>
          </cell>
        </row>
        <row r="336">
          <cell r="A336" t="str">
            <v>30011_1</v>
          </cell>
        </row>
        <row r="337">
          <cell r="A337" t="str">
            <v>30011_2</v>
          </cell>
        </row>
        <row r="338">
          <cell r="A338" t="str">
            <v>30011_3</v>
          </cell>
        </row>
        <row r="339">
          <cell r="A339" t="str">
            <v>30012_1</v>
          </cell>
        </row>
        <row r="340">
          <cell r="A340" t="str">
            <v>30012_2</v>
          </cell>
        </row>
        <row r="341">
          <cell r="A341" t="str">
            <v>30012_3</v>
          </cell>
        </row>
        <row r="342">
          <cell r="A342" t="str">
            <v>40001_1</v>
          </cell>
        </row>
        <row r="343">
          <cell r="A343" t="str">
            <v>40002_1</v>
          </cell>
        </row>
        <row r="344">
          <cell r="A344" t="str">
            <v>40002_2</v>
          </cell>
        </row>
        <row r="345">
          <cell r="A345" t="str">
            <v>40002_3</v>
          </cell>
        </row>
        <row r="346">
          <cell r="A346" t="str">
            <v>40003_1</v>
          </cell>
        </row>
        <row r="347">
          <cell r="A347" t="str">
            <v>65535_1</v>
          </cell>
        </row>
        <row r="348">
          <cell r="A348" t="str">
            <v>65535_2</v>
          </cell>
        </row>
        <row r="349">
          <cell r="A349" t="str">
            <v>65535_3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4901</v>
          </cell>
        </row>
        <row r="28">
          <cell r="B28">
            <v>50</v>
          </cell>
        </row>
        <row r="29">
          <cell r="B29">
            <v>51</v>
          </cell>
        </row>
        <row r="30">
          <cell r="B30">
            <v>5101</v>
          </cell>
        </row>
        <row r="31">
          <cell r="B31">
            <v>5102</v>
          </cell>
        </row>
        <row r="32">
          <cell r="B32">
            <v>5102</v>
          </cell>
        </row>
        <row r="33">
          <cell r="B33">
            <v>53</v>
          </cell>
        </row>
        <row r="34">
          <cell r="B34">
            <v>5401</v>
          </cell>
        </row>
        <row r="35">
          <cell r="B35">
            <v>55</v>
          </cell>
        </row>
        <row r="36">
          <cell r="B36">
            <v>5501</v>
          </cell>
        </row>
        <row r="37">
          <cell r="B37">
            <v>56</v>
          </cell>
        </row>
        <row r="38">
          <cell r="B38">
            <v>57</v>
          </cell>
        </row>
        <row r="39">
          <cell r="B39">
            <v>59</v>
          </cell>
        </row>
        <row r="40">
          <cell r="B40">
            <v>6001</v>
          </cell>
        </row>
        <row r="41">
          <cell r="B41">
            <v>61</v>
          </cell>
        </row>
        <row r="42">
          <cell r="B42">
            <v>62</v>
          </cell>
        </row>
        <row r="43">
          <cell r="B43">
            <v>6201</v>
          </cell>
        </row>
        <row r="44">
          <cell r="B44">
            <v>63</v>
          </cell>
        </row>
        <row r="45">
          <cell r="B45">
            <v>64</v>
          </cell>
        </row>
        <row r="46">
          <cell r="B46">
            <v>65</v>
          </cell>
        </row>
        <row r="47">
          <cell r="B47">
            <v>66</v>
          </cell>
        </row>
        <row r="48">
          <cell r="B48">
            <v>67</v>
          </cell>
        </row>
        <row r="49">
          <cell r="B49">
            <v>68</v>
          </cell>
        </row>
        <row r="50">
          <cell r="B50">
            <v>69</v>
          </cell>
        </row>
        <row r="51">
          <cell r="B51">
            <v>71</v>
          </cell>
        </row>
        <row r="52">
          <cell r="B52">
            <v>1071</v>
          </cell>
        </row>
        <row r="53">
          <cell r="B53">
            <v>72</v>
          </cell>
        </row>
        <row r="54">
          <cell r="B54">
            <v>74</v>
          </cell>
        </row>
        <row r="55">
          <cell r="B55">
            <v>75</v>
          </cell>
        </row>
        <row r="56">
          <cell r="B56">
            <v>76</v>
          </cell>
        </row>
        <row r="57">
          <cell r="B57">
            <v>77</v>
          </cell>
        </row>
        <row r="58">
          <cell r="B58">
            <v>79</v>
          </cell>
        </row>
        <row r="59">
          <cell r="B59">
            <v>81</v>
          </cell>
        </row>
        <row r="60">
          <cell r="B60">
            <v>83</v>
          </cell>
        </row>
        <row r="61">
          <cell r="B61">
            <v>85</v>
          </cell>
        </row>
        <row r="62">
          <cell r="B62">
            <v>86</v>
          </cell>
        </row>
        <row r="63">
          <cell r="B63">
            <v>8601</v>
          </cell>
        </row>
        <row r="64">
          <cell r="B64">
            <v>8602</v>
          </cell>
        </row>
        <row r="65">
          <cell r="B65">
            <v>88</v>
          </cell>
        </row>
        <row r="66">
          <cell r="B66">
            <v>89</v>
          </cell>
        </row>
        <row r="67">
          <cell r="B67">
            <v>8901</v>
          </cell>
        </row>
        <row r="68">
          <cell r="B68">
            <v>8902</v>
          </cell>
        </row>
        <row r="69">
          <cell r="B69">
            <v>8902</v>
          </cell>
        </row>
        <row r="70">
          <cell r="B70">
            <v>9201</v>
          </cell>
        </row>
        <row r="71">
          <cell r="B71">
            <v>9501</v>
          </cell>
        </row>
        <row r="72">
          <cell r="B72">
            <v>11701</v>
          </cell>
        </row>
        <row r="73">
          <cell r="B73">
            <v>11701</v>
          </cell>
        </row>
        <row r="74">
          <cell r="B74">
            <v>11702</v>
          </cell>
        </row>
        <row r="75">
          <cell r="B75">
            <v>11703</v>
          </cell>
        </row>
        <row r="76">
          <cell r="B76">
            <v>11704</v>
          </cell>
        </row>
        <row r="77">
          <cell r="B77">
            <v>11801</v>
          </cell>
        </row>
        <row r="78">
          <cell r="B78">
            <v>11802</v>
          </cell>
        </row>
        <row r="79">
          <cell r="B79">
            <v>11803</v>
          </cell>
        </row>
        <row r="80">
          <cell r="B80">
            <v>11901</v>
          </cell>
        </row>
        <row r="81">
          <cell r="B81">
            <v>11902</v>
          </cell>
        </row>
        <row r="82">
          <cell r="B82">
            <v>11903</v>
          </cell>
        </row>
        <row r="83">
          <cell r="B83">
            <v>126</v>
          </cell>
        </row>
        <row r="84">
          <cell r="B84">
            <v>12701</v>
          </cell>
        </row>
        <row r="85">
          <cell r="B85">
            <v>128</v>
          </cell>
        </row>
        <row r="86">
          <cell r="B86">
            <v>12801</v>
          </cell>
        </row>
        <row r="87">
          <cell r="B87">
            <v>130</v>
          </cell>
        </row>
        <row r="88">
          <cell r="B88">
            <v>13001</v>
          </cell>
        </row>
        <row r="89">
          <cell r="B89">
            <v>13001</v>
          </cell>
        </row>
        <row r="90">
          <cell r="B90">
            <v>13002</v>
          </cell>
        </row>
        <row r="91">
          <cell r="B91">
            <v>13002</v>
          </cell>
        </row>
        <row r="92">
          <cell r="B92">
            <v>13002</v>
          </cell>
        </row>
        <row r="93">
          <cell r="B93">
            <v>13101</v>
          </cell>
        </row>
        <row r="94">
          <cell r="B94">
            <v>13101</v>
          </cell>
        </row>
        <row r="95">
          <cell r="B95">
            <v>13101</v>
          </cell>
        </row>
        <row r="96">
          <cell r="B96">
            <v>132</v>
          </cell>
        </row>
        <row r="97">
          <cell r="B97">
            <v>13301</v>
          </cell>
        </row>
        <row r="98">
          <cell r="B98">
            <v>13301</v>
          </cell>
        </row>
        <row r="99">
          <cell r="B99">
            <v>13301</v>
          </cell>
        </row>
        <row r="100">
          <cell r="B100">
            <v>13301</v>
          </cell>
        </row>
        <row r="101">
          <cell r="B101">
            <v>134</v>
          </cell>
        </row>
        <row r="102">
          <cell r="B102">
            <v>136</v>
          </cell>
        </row>
        <row r="103">
          <cell r="B103">
            <v>139</v>
          </cell>
        </row>
        <row r="104">
          <cell r="B104">
            <v>140</v>
          </cell>
        </row>
        <row r="105">
          <cell r="B105">
            <v>14001</v>
          </cell>
        </row>
        <row r="106">
          <cell r="B106">
            <v>141</v>
          </cell>
        </row>
        <row r="107">
          <cell r="B107">
            <v>10141</v>
          </cell>
        </row>
        <row r="108">
          <cell r="B108">
            <v>14201</v>
          </cell>
        </row>
        <row r="109">
          <cell r="B109">
            <v>14301</v>
          </cell>
        </row>
        <row r="110">
          <cell r="B110">
            <v>14301</v>
          </cell>
        </row>
        <row r="111">
          <cell r="B111">
            <v>14301</v>
          </cell>
        </row>
        <row r="112">
          <cell r="B112">
            <v>146</v>
          </cell>
        </row>
        <row r="113">
          <cell r="B113">
            <v>14601</v>
          </cell>
        </row>
        <row r="114">
          <cell r="B114">
            <v>14601</v>
          </cell>
        </row>
        <row r="115">
          <cell r="B115">
            <v>14601</v>
          </cell>
        </row>
        <row r="116">
          <cell r="B116">
            <v>148</v>
          </cell>
        </row>
        <row r="117">
          <cell r="B117">
            <v>148</v>
          </cell>
        </row>
        <row r="118">
          <cell r="B118">
            <v>149</v>
          </cell>
        </row>
        <row r="119">
          <cell r="B119">
            <v>149</v>
          </cell>
        </row>
        <row r="120">
          <cell r="B120">
            <v>151</v>
          </cell>
        </row>
        <row r="121">
          <cell r="B121">
            <v>151</v>
          </cell>
        </row>
        <row r="122">
          <cell r="B122">
            <v>152</v>
          </cell>
        </row>
        <row r="123">
          <cell r="B123">
            <v>152</v>
          </cell>
        </row>
        <row r="124">
          <cell r="B124">
            <v>153</v>
          </cell>
        </row>
        <row r="125">
          <cell r="B125">
            <v>153</v>
          </cell>
        </row>
        <row r="126">
          <cell r="B126">
            <v>153</v>
          </cell>
        </row>
        <row r="127">
          <cell r="B127">
            <v>154</v>
          </cell>
        </row>
        <row r="128">
          <cell r="B128">
            <v>15501</v>
          </cell>
        </row>
        <row r="129">
          <cell r="B129">
            <v>15501</v>
          </cell>
        </row>
        <row r="130">
          <cell r="B130">
            <v>15501</v>
          </cell>
        </row>
        <row r="131">
          <cell r="B131">
            <v>15502</v>
          </cell>
        </row>
        <row r="132">
          <cell r="B132">
            <v>15502</v>
          </cell>
        </row>
        <row r="133">
          <cell r="B133">
            <v>156</v>
          </cell>
        </row>
        <row r="134">
          <cell r="B134">
            <v>156</v>
          </cell>
        </row>
        <row r="135">
          <cell r="B135">
            <v>15601</v>
          </cell>
        </row>
        <row r="136">
          <cell r="B136">
            <v>157</v>
          </cell>
        </row>
        <row r="137">
          <cell r="B137">
            <v>160</v>
          </cell>
        </row>
        <row r="138">
          <cell r="B138">
            <v>16101</v>
          </cell>
        </row>
        <row r="139">
          <cell r="B139">
            <v>16101</v>
          </cell>
        </row>
        <row r="140">
          <cell r="B140">
            <v>16101</v>
          </cell>
        </row>
        <row r="141">
          <cell r="B141">
            <v>16101</v>
          </cell>
        </row>
        <row r="142">
          <cell r="B142">
            <v>16201</v>
          </cell>
        </row>
        <row r="143">
          <cell r="B143">
            <v>16301</v>
          </cell>
        </row>
        <row r="144">
          <cell r="B144">
            <v>16302</v>
          </cell>
        </row>
        <row r="145">
          <cell r="B145">
            <v>16302</v>
          </cell>
        </row>
        <row r="146">
          <cell r="B146">
            <v>164</v>
          </cell>
        </row>
        <row r="147">
          <cell r="B147">
            <v>164</v>
          </cell>
        </row>
        <row r="148">
          <cell r="B148">
            <v>16501</v>
          </cell>
        </row>
        <row r="149">
          <cell r="B149">
            <v>16502</v>
          </cell>
        </row>
        <row r="150">
          <cell r="B150">
            <v>169</v>
          </cell>
        </row>
        <row r="151">
          <cell r="B151">
            <v>172</v>
          </cell>
        </row>
        <row r="152">
          <cell r="B152">
            <v>17001</v>
          </cell>
        </row>
        <row r="153">
          <cell r="B153">
            <v>17001</v>
          </cell>
        </row>
        <row r="154">
          <cell r="B154">
            <v>17001</v>
          </cell>
        </row>
        <row r="155">
          <cell r="B155">
            <v>17001</v>
          </cell>
        </row>
        <row r="156">
          <cell r="B156">
            <v>17101</v>
          </cell>
        </row>
        <row r="157">
          <cell r="B157">
            <v>17102</v>
          </cell>
        </row>
        <row r="158">
          <cell r="B158">
            <v>17102</v>
          </cell>
        </row>
        <row r="159">
          <cell r="B159">
            <v>17102</v>
          </cell>
        </row>
        <row r="160">
          <cell r="B160">
            <v>17102</v>
          </cell>
        </row>
        <row r="161">
          <cell r="B161">
            <v>17601</v>
          </cell>
        </row>
        <row r="162">
          <cell r="B162">
            <v>17601</v>
          </cell>
        </row>
        <row r="163">
          <cell r="B163">
            <v>178</v>
          </cell>
        </row>
        <row r="164">
          <cell r="B164">
            <v>17801</v>
          </cell>
        </row>
        <row r="165">
          <cell r="B165">
            <v>182</v>
          </cell>
        </row>
        <row r="166">
          <cell r="B166">
            <v>18201</v>
          </cell>
        </row>
        <row r="167">
          <cell r="B167">
            <v>18201</v>
          </cell>
        </row>
        <row r="168">
          <cell r="B168">
            <v>184</v>
          </cell>
        </row>
        <row r="169">
          <cell r="B169">
            <v>185</v>
          </cell>
        </row>
        <row r="170">
          <cell r="B170">
            <v>18501</v>
          </cell>
        </row>
        <row r="171">
          <cell r="B171">
            <v>18501</v>
          </cell>
        </row>
        <row r="172">
          <cell r="B172">
            <v>18502</v>
          </cell>
        </row>
        <row r="173">
          <cell r="B173">
            <v>18502</v>
          </cell>
        </row>
        <row r="174">
          <cell r="B174">
            <v>18502</v>
          </cell>
        </row>
        <row r="175">
          <cell r="B175">
            <v>187</v>
          </cell>
        </row>
        <row r="176">
          <cell r="B176">
            <v>18701</v>
          </cell>
        </row>
        <row r="177">
          <cell r="B177">
            <v>18801</v>
          </cell>
        </row>
        <row r="178">
          <cell r="B178">
            <v>18801</v>
          </cell>
        </row>
        <row r="179">
          <cell r="B179">
            <v>18801</v>
          </cell>
        </row>
        <row r="180">
          <cell r="B180">
            <v>18801</v>
          </cell>
        </row>
        <row r="181">
          <cell r="B181">
            <v>18801</v>
          </cell>
        </row>
        <row r="182">
          <cell r="B182">
            <v>193</v>
          </cell>
        </row>
        <row r="183">
          <cell r="B183">
            <v>19301</v>
          </cell>
        </row>
        <row r="184">
          <cell r="B184">
            <v>19301</v>
          </cell>
        </row>
        <row r="185">
          <cell r="B185">
            <v>194</v>
          </cell>
        </row>
        <row r="186">
          <cell r="B186">
            <v>197</v>
          </cell>
        </row>
        <row r="187">
          <cell r="B187">
            <v>198</v>
          </cell>
        </row>
        <row r="188">
          <cell r="B188">
            <v>197</v>
          </cell>
        </row>
        <row r="189">
          <cell r="B189">
            <v>198</v>
          </cell>
        </row>
        <row r="190">
          <cell r="B190">
            <v>10197</v>
          </cell>
        </row>
        <row r="191">
          <cell r="B191">
            <v>199</v>
          </cell>
        </row>
        <row r="192">
          <cell r="B192">
            <v>200</v>
          </cell>
        </row>
        <row r="193">
          <cell r="B193">
            <v>20001</v>
          </cell>
        </row>
        <row r="194">
          <cell r="B194">
            <v>20001</v>
          </cell>
        </row>
        <row r="195">
          <cell r="B195">
            <v>202</v>
          </cell>
        </row>
        <row r="196">
          <cell r="B196">
            <v>20201</v>
          </cell>
        </row>
        <row r="197">
          <cell r="B197">
            <v>20201</v>
          </cell>
        </row>
        <row r="198">
          <cell r="B198">
            <v>203</v>
          </cell>
        </row>
        <row r="199">
          <cell r="B199">
            <v>20501</v>
          </cell>
        </row>
        <row r="200">
          <cell r="B200">
            <v>20501</v>
          </cell>
        </row>
        <row r="201">
          <cell r="B201">
            <v>206</v>
          </cell>
        </row>
        <row r="202">
          <cell r="B202">
            <v>20801</v>
          </cell>
        </row>
        <row r="203">
          <cell r="B203">
            <v>211</v>
          </cell>
        </row>
        <row r="204">
          <cell r="B204">
            <v>212</v>
          </cell>
        </row>
        <row r="205">
          <cell r="B205">
            <v>215</v>
          </cell>
        </row>
        <row r="206">
          <cell r="B206">
            <v>215</v>
          </cell>
        </row>
        <row r="207">
          <cell r="B207">
            <v>21701</v>
          </cell>
        </row>
        <row r="208">
          <cell r="B208">
            <v>21702</v>
          </cell>
        </row>
        <row r="209">
          <cell r="B209">
            <v>21801</v>
          </cell>
        </row>
        <row r="210">
          <cell r="B210">
            <v>219</v>
          </cell>
        </row>
        <row r="211">
          <cell r="B211">
            <v>22001</v>
          </cell>
        </row>
        <row r="212">
          <cell r="B212">
            <v>22001</v>
          </cell>
        </row>
        <row r="213">
          <cell r="B213">
            <v>22001</v>
          </cell>
        </row>
        <row r="214">
          <cell r="B214">
            <v>22001</v>
          </cell>
        </row>
        <row r="215">
          <cell r="B215">
            <v>22101</v>
          </cell>
        </row>
        <row r="216">
          <cell r="B216">
            <v>224</v>
          </cell>
        </row>
        <row r="217">
          <cell r="B217">
            <v>224</v>
          </cell>
        </row>
        <row r="218">
          <cell r="B218">
            <v>22601</v>
          </cell>
        </row>
        <row r="219">
          <cell r="B219">
            <v>22601</v>
          </cell>
        </row>
        <row r="220">
          <cell r="B220">
            <v>229</v>
          </cell>
        </row>
        <row r="221">
          <cell r="B221">
            <v>22901</v>
          </cell>
        </row>
        <row r="222">
          <cell r="B222">
            <v>230</v>
          </cell>
        </row>
        <row r="223">
          <cell r="B223">
            <v>231</v>
          </cell>
        </row>
        <row r="224">
          <cell r="B224">
            <v>232</v>
          </cell>
        </row>
        <row r="225">
          <cell r="B225">
            <v>233</v>
          </cell>
        </row>
        <row r="226">
          <cell r="B226">
            <v>23601</v>
          </cell>
        </row>
        <row r="227">
          <cell r="B227">
            <v>241</v>
          </cell>
        </row>
        <row r="228">
          <cell r="B228">
            <v>24201</v>
          </cell>
        </row>
        <row r="229">
          <cell r="B229">
            <v>24201</v>
          </cell>
        </row>
        <row r="230">
          <cell r="B230">
            <v>24202</v>
          </cell>
        </row>
        <row r="231">
          <cell r="B231">
            <v>24202</v>
          </cell>
        </row>
        <row r="232">
          <cell r="B232">
            <v>24701</v>
          </cell>
        </row>
        <row r="233">
          <cell r="B233">
            <v>24801</v>
          </cell>
        </row>
        <row r="234">
          <cell r="B234">
            <v>24802</v>
          </cell>
        </row>
        <row r="235">
          <cell r="B235">
            <v>25001</v>
          </cell>
        </row>
        <row r="236">
          <cell r="B236">
            <v>25201</v>
          </cell>
        </row>
        <row r="237">
          <cell r="B237">
            <v>25202</v>
          </cell>
        </row>
        <row r="238">
          <cell r="B238">
            <v>25203</v>
          </cell>
        </row>
        <row r="239">
          <cell r="B239">
            <v>254</v>
          </cell>
        </row>
        <row r="240">
          <cell r="B240">
            <v>254</v>
          </cell>
        </row>
        <row r="241">
          <cell r="B241">
            <v>256</v>
          </cell>
        </row>
        <row r="242">
          <cell r="B242">
            <v>257</v>
          </cell>
        </row>
        <row r="243">
          <cell r="B243">
            <v>317</v>
          </cell>
        </row>
        <row r="244">
          <cell r="B244">
            <v>317</v>
          </cell>
        </row>
        <row r="245">
          <cell r="B245">
            <v>317</v>
          </cell>
        </row>
        <row r="246">
          <cell r="B246">
            <v>317</v>
          </cell>
        </row>
        <row r="247">
          <cell r="B247">
            <v>317</v>
          </cell>
        </row>
        <row r="248">
          <cell r="B248">
            <v>317</v>
          </cell>
        </row>
        <row r="249">
          <cell r="B249">
            <v>317</v>
          </cell>
        </row>
        <row r="250">
          <cell r="B250">
            <v>319</v>
          </cell>
        </row>
        <row r="251">
          <cell r="B251">
            <v>319</v>
          </cell>
        </row>
        <row r="252">
          <cell r="B252">
            <v>319</v>
          </cell>
        </row>
        <row r="253">
          <cell r="B253">
            <v>319</v>
          </cell>
        </row>
        <row r="254">
          <cell r="B254">
            <v>319</v>
          </cell>
        </row>
        <row r="255">
          <cell r="B255">
            <v>319</v>
          </cell>
        </row>
        <row r="256">
          <cell r="B256">
            <v>3571</v>
          </cell>
        </row>
        <row r="257">
          <cell r="B257">
            <v>2666</v>
          </cell>
        </row>
        <row r="258">
          <cell r="B258">
            <v>20011</v>
          </cell>
        </row>
        <row r="259">
          <cell r="B259">
            <v>263</v>
          </cell>
        </row>
        <row r="260">
          <cell r="B260">
            <v>266</v>
          </cell>
        </row>
        <row r="261">
          <cell r="B261">
            <v>272</v>
          </cell>
        </row>
        <row r="262">
          <cell r="B262">
            <v>272</v>
          </cell>
        </row>
        <row r="263">
          <cell r="B263">
            <v>272</v>
          </cell>
        </row>
        <row r="264">
          <cell r="B264">
            <v>272</v>
          </cell>
        </row>
        <row r="265">
          <cell r="B265">
            <v>274</v>
          </cell>
        </row>
        <row r="266">
          <cell r="B266">
            <v>275</v>
          </cell>
        </row>
        <row r="267">
          <cell r="B267">
            <v>275</v>
          </cell>
        </row>
        <row r="268">
          <cell r="B268">
            <v>268</v>
          </cell>
        </row>
        <row r="269">
          <cell r="B269">
            <v>264</v>
          </cell>
        </row>
        <row r="270">
          <cell r="B270">
            <v>270</v>
          </cell>
        </row>
        <row r="271">
          <cell r="B271">
            <v>271</v>
          </cell>
        </row>
        <row r="272">
          <cell r="B272">
            <v>271</v>
          </cell>
        </row>
        <row r="273">
          <cell r="B273">
            <v>276</v>
          </cell>
        </row>
        <row r="274">
          <cell r="B274">
            <v>276</v>
          </cell>
        </row>
        <row r="275">
          <cell r="B275">
            <v>277</v>
          </cell>
        </row>
        <row r="276">
          <cell r="B276">
            <v>277</v>
          </cell>
        </row>
        <row r="277">
          <cell r="B277">
            <v>277</v>
          </cell>
        </row>
        <row r="278">
          <cell r="B278">
            <v>1063</v>
          </cell>
        </row>
        <row r="279">
          <cell r="B279">
            <v>1055</v>
          </cell>
        </row>
        <row r="280">
          <cell r="B280">
            <v>2063</v>
          </cell>
        </row>
        <row r="281">
          <cell r="B281">
            <v>1123</v>
          </cell>
        </row>
        <row r="282">
          <cell r="B282">
            <v>1221</v>
          </cell>
        </row>
        <row r="283">
          <cell r="B283">
            <v>1221</v>
          </cell>
        </row>
        <row r="284">
          <cell r="B284">
            <v>1211</v>
          </cell>
        </row>
        <row r="285">
          <cell r="B285">
            <v>1231</v>
          </cell>
        </row>
        <row r="286">
          <cell r="B286">
            <v>1045</v>
          </cell>
        </row>
        <row r="287">
          <cell r="B287">
            <v>278</v>
          </cell>
        </row>
        <row r="288">
          <cell r="B288">
            <v>278</v>
          </cell>
        </row>
        <row r="289">
          <cell r="B289">
            <v>279</v>
          </cell>
        </row>
        <row r="290">
          <cell r="B290">
            <v>279</v>
          </cell>
        </row>
        <row r="291">
          <cell r="B291">
            <v>13501</v>
          </cell>
        </row>
        <row r="292">
          <cell r="B292">
            <v>13501</v>
          </cell>
        </row>
        <row r="293">
          <cell r="B293">
            <v>13501</v>
          </cell>
        </row>
        <row r="294">
          <cell r="B294">
            <v>13501</v>
          </cell>
        </row>
        <row r="295">
          <cell r="B295">
            <v>13501</v>
          </cell>
        </row>
        <row r="296">
          <cell r="B296">
            <v>192</v>
          </cell>
        </row>
        <row r="297">
          <cell r="B297">
            <v>266</v>
          </cell>
        </row>
        <row r="298">
          <cell r="B298">
            <v>266</v>
          </cell>
        </row>
        <row r="299">
          <cell r="B299">
            <v>266</v>
          </cell>
        </row>
        <row r="300">
          <cell r="B300">
            <v>266</v>
          </cell>
        </row>
        <row r="301">
          <cell r="B301">
            <v>28201</v>
          </cell>
        </row>
        <row r="302">
          <cell r="B302">
            <v>28202</v>
          </cell>
        </row>
        <row r="303">
          <cell r="B303">
            <v>28201</v>
          </cell>
        </row>
        <row r="304">
          <cell r="B304">
            <v>28202</v>
          </cell>
        </row>
        <row r="305">
          <cell r="B305">
            <v>28202</v>
          </cell>
        </row>
        <row r="306">
          <cell r="B306">
            <v>13201</v>
          </cell>
        </row>
        <row r="307">
          <cell r="B307">
            <v>286</v>
          </cell>
        </row>
        <row r="308">
          <cell r="B308">
            <v>286</v>
          </cell>
        </row>
        <row r="309">
          <cell r="B309">
            <v>286</v>
          </cell>
        </row>
        <row r="310">
          <cell r="B310">
            <v>22401</v>
          </cell>
        </row>
        <row r="311">
          <cell r="B311">
            <v>22401</v>
          </cell>
        </row>
        <row r="312">
          <cell r="B312">
            <v>22401</v>
          </cell>
        </row>
        <row r="313">
          <cell r="B313">
            <v>22401</v>
          </cell>
        </row>
        <row r="314">
          <cell r="B314">
            <v>20601</v>
          </cell>
        </row>
        <row r="315">
          <cell r="B315">
            <v>20601</v>
          </cell>
        </row>
        <row r="316">
          <cell r="B316">
            <v>20901</v>
          </cell>
        </row>
        <row r="317">
          <cell r="B317">
            <v>20901</v>
          </cell>
        </row>
        <row r="318">
          <cell r="B318">
            <v>20901</v>
          </cell>
        </row>
        <row r="319">
          <cell r="B319">
            <v>20901</v>
          </cell>
        </row>
        <row r="320">
          <cell r="B320">
            <v>20901</v>
          </cell>
        </row>
        <row r="321">
          <cell r="B321">
            <v>19101</v>
          </cell>
        </row>
        <row r="322">
          <cell r="B322">
            <v>19101</v>
          </cell>
        </row>
        <row r="323">
          <cell r="B323">
            <v>19101</v>
          </cell>
        </row>
        <row r="324">
          <cell r="B324">
            <v>19101</v>
          </cell>
        </row>
        <row r="325">
          <cell r="B325">
            <v>19101</v>
          </cell>
        </row>
        <row r="326">
          <cell r="B326">
            <v>19101</v>
          </cell>
        </row>
        <row r="327">
          <cell r="B327">
            <v>12901</v>
          </cell>
        </row>
        <row r="328">
          <cell r="B328">
            <v>12901</v>
          </cell>
        </row>
        <row r="329">
          <cell r="B329">
            <v>29001</v>
          </cell>
        </row>
        <row r="330">
          <cell r="B330">
            <v>29001</v>
          </cell>
        </row>
        <row r="331">
          <cell r="B331">
            <v>29001</v>
          </cell>
        </row>
        <row r="332">
          <cell r="B332">
            <v>29002</v>
          </cell>
        </row>
        <row r="333">
          <cell r="B333">
            <v>29002</v>
          </cell>
        </row>
        <row r="334">
          <cell r="B334">
            <v>29002</v>
          </cell>
        </row>
        <row r="335">
          <cell r="B335">
            <v>29002</v>
          </cell>
        </row>
        <row r="336">
          <cell r="B336">
            <v>292</v>
          </cell>
        </row>
        <row r="337">
          <cell r="B337">
            <v>292</v>
          </cell>
        </row>
        <row r="338">
          <cell r="B338">
            <v>29201</v>
          </cell>
        </row>
        <row r="339">
          <cell r="B339">
            <v>29201</v>
          </cell>
        </row>
        <row r="340">
          <cell r="B340">
            <v>29201</v>
          </cell>
        </row>
        <row r="341">
          <cell r="B341">
            <v>293</v>
          </cell>
        </row>
        <row r="342">
          <cell r="B342">
            <v>293</v>
          </cell>
        </row>
        <row r="343">
          <cell r="B343">
            <v>293</v>
          </cell>
        </row>
        <row r="344">
          <cell r="B344">
            <v>293</v>
          </cell>
        </row>
        <row r="345">
          <cell r="B345">
            <v>297</v>
          </cell>
        </row>
        <row r="346">
          <cell r="B346">
            <v>29701</v>
          </cell>
        </row>
        <row r="347">
          <cell r="B347">
            <v>29701</v>
          </cell>
        </row>
        <row r="348">
          <cell r="B348">
            <v>29701</v>
          </cell>
        </row>
        <row r="349">
          <cell r="B349">
            <v>29701</v>
          </cell>
        </row>
        <row r="350">
          <cell r="B350">
            <v>29702</v>
          </cell>
        </row>
        <row r="351">
          <cell r="B351">
            <v>29702</v>
          </cell>
        </row>
        <row r="352">
          <cell r="B352">
            <v>29702</v>
          </cell>
        </row>
        <row r="353">
          <cell r="B353">
            <v>29702</v>
          </cell>
        </row>
        <row r="354">
          <cell r="B354">
            <v>29702</v>
          </cell>
        </row>
        <row r="355">
          <cell r="B355">
            <v>29703</v>
          </cell>
        </row>
        <row r="356">
          <cell r="B356">
            <v>29703</v>
          </cell>
        </row>
        <row r="357">
          <cell r="B357">
            <v>29703</v>
          </cell>
        </row>
        <row r="358">
          <cell r="B358">
            <v>29704</v>
          </cell>
        </row>
        <row r="359">
          <cell r="B359">
            <v>29704</v>
          </cell>
        </row>
        <row r="360">
          <cell r="B360">
            <v>29704</v>
          </cell>
        </row>
        <row r="361">
          <cell r="B361">
            <v>29704</v>
          </cell>
        </row>
        <row r="362">
          <cell r="B362">
            <v>29704</v>
          </cell>
        </row>
        <row r="363">
          <cell r="B363">
            <v>29704</v>
          </cell>
        </row>
        <row r="364">
          <cell r="B364">
            <v>29705</v>
          </cell>
        </row>
        <row r="365">
          <cell r="B365">
            <v>29705</v>
          </cell>
        </row>
        <row r="366">
          <cell r="B366">
            <v>29705</v>
          </cell>
        </row>
        <row r="367">
          <cell r="B367">
            <v>29705</v>
          </cell>
        </row>
        <row r="368">
          <cell r="B368">
            <v>29705</v>
          </cell>
        </row>
        <row r="369">
          <cell r="B369">
            <v>29705</v>
          </cell>
        </row>
        <row r="370">
          <cell r="B370">
            <v>14101</v>
          </cell>
        </row>
        <row r="371">
          <cell r="B371">
            <v>3301</v>
          </cell>
        </row>
        <row r="372">
          <cell r="B372">
            <v>15101</v>
          </cell>
        </row>
        <row r="373">
          <cell r="B373">
            <v>15101</v>
          </cell>
        </row>
        <row r="374">
          <cell r="B374">
            <v>15101</v>
          </cell>
        </row>
        <row r="375">
          <cell r="B375">
            <v>15101</v>
          </cell>
        </row>
        <row r="376">
          <cell r="B376">
            <v>28701</v>
          </cell>
        </row>
        <row r="377">
          <cell r="B377">
            <v>28701</v>
          </cell>
        </row>
        <row r="378">
          <cell r="B378">
            <v>28701</v>
          </cell>
        </row>
        <row r="379">
          <cell r="B379">
            <v>294</v>
          </cell>
        </row>
        <row r="380">
          <cell r="B380">
            <v>29401</v>
          </cell>
        </row>
        <row r="381">
          <cell r="B381">
            <v>29401</v>
          </cell>
        </row>
        <row r="382">
          <cell r="B382">
            <v>295</v>
          </cell>
        </row>
        <row r="383">
          <cell r="B383">
            <v>295</v>
          </cell>
        </row>
        <row r="384">
          <cell r="B384">
            <v>29801</v>
          </cell>
        </row>
        <row r="385">
          <cell r="B385">
            <v>29801</v>
          </cell>
        </row>
        <row r="386">
          <cell r="B386">
            <v>29801</v>
          </cell>
        </row>
        <row r="387">
          <cell r="B387">
            <v>29801</v>
          </cell>
        </row>
        <row r="388">
          <cell r="B388">
            <v>29802</v>
          </cell>
        </row>
        <row r="389">
          <cell r="B389">
            <v>29802</v>
          </cell>
        </row>
        <row r="390">
          <cell r="B390">
            <v>29802</v>
          </cell>
        </row>
        <row r="391">
          <cell r="B391">
            <v>29803</v>
          </cell>
        </row>
        <row r="392">
          <cell r="B392">
            <v>29803</v>
          </cell>
        </row>
        <row r="393">
          <cell r="B393">
            <v>29803</v>
          </cell>
        </row>
        <row r="394">
          <cell r="B394">
            <v>29803</v>
          </cell>
        </row>
        <row r="395">
          <cell r="B395">
            <v>29901</v>
          </cell>
        </row>
        <row r="396">
          <cell r="B396">
            <v>29901</v>
          </cell>
        </row>
        <row r="397">
          <cell r="B397">
            <v>29901</v>
          </cell>
        </row>
        <row r="398">
          <cell r="B398">
            <v>29902</v>
          </cell>
        </row>
        <row r="399">
          <cell r="B399">
            <v>29902</v>
          </cell>
        </row>
        <row r="400">
          <cell r="B400">
            <v>29902</v>
          </cell>
        </row>
        <row r="401">
          <cell r="B401">
            <v>29902</v>
          </cell>
        </row>
        <row r="402">
          <cell r="B402">
            <v>30201</v>
          </cell>
        </row>
        <row r="403">
          <cell r="B403">
            <v>30201</v>
          </cell>
        </row>
        <row r="404">
          <cell r="B404">
            <v>30201</v>
          </cell>
        </row>
        <row r="405">
          <cell r="B405">
            <v>30202</v>
          </cell>
        </row>
        <row r="406">
          <cell r="B406">
            <v>30202</v>
          </cell>
        </row>
        <row r="407">
          <cell r="B407">
            <v>30202</v>
          </cell>
        </row>
        <row r="408">
          <cell r="B408">
            <v>30202</v>
          </cell>
        </row>
        <row r="409">
          <cell r="B409">
            <v>30301</v>
          </cell>
        </row>
        <row r="410">
          <cell r="B410">
            <v>30301</v>
          </cell>
        </row>
        <row r="411">
          <cell r="B411">
            <v>30301</v>
          </cell>
        </row>
        <row r="412">
          <cell r="B412">
            <v>30301</v>
          </cell>
        </row>
        <row r="413">
          <cell r="B413">
            <v>30301</v>
          </cell>
        </row>
        <row r="414">
          <cell r="B414">
            <v>30401</v>
          </cell>
        </row>
        <row r="415">
          <cell r="B415">
            <v>30401</v>
          </cell>
        </row>
        <row r="416">
          <cell r="B416">
            <v>30401</v>
          </cell>
        </row>
        <row r="417">
          <cell r="B417">
            <v>30401</v>
          </cell>
        </row>
        <row r="418">
          <cell r="B418">
            <v>30401</v>
          </cell>
        </row>
        <row r="419">
          <cell r="B419">
            <v>30402</v>
          </cell>
        </row>
        <row r="420">
          <cell r="B420">
            <v>30402</v>
          </cell>
        </row>
        <row r="421">
          <cell r="B421">
            <v>30402</v>
          </cell>
        </row>
        <row r="422">
          <cell r="B422">
            <v>30402</v>
          </cell>
        </row>
        <row r="423">
          <cell r="B423">
            <v>30402</v>
          </cell>
        </row>
        <row r="424">
          <cell r="B424">
            <v>30501</v>
          </cell>
        </row>
        <row r="425">
          <cell r="B425">
            <v>30501</v>
          </cell>
        </row>
        <row r="426">
          <cell r="B426">
            <v>30501</v>
          </cell>
        </row>
        <row r="427">
          <cell r="B427">
            <v>30501</v>
          </cell>
        </row>
        <row r="428">
          <cell r="B428">
            <v>30501</v>
          </cell>
        </row>
        <row r="429">
          <cell r="B429">
            <v>30501</v>
          </cell>
        </row>
        <row r="430">
          <cell r="B430">
            <v>284</v>
          </cell>
        </row>
        <row r="431">
          <cell r="B431">
            <v>284</v>
          </cell>
        </row>
        <row r="432">
          <cell r="B432">
            <v>14202</v>
          </cell>
        </row>
        <row r="433">
          <cell r="B433">
            <v>12702</v>
          </cell>
        </row>
        <row r="434">
          <cell r="B434">
            <v>12702</v>
          </cell>
        </row>
        <row r="435">
          <cell r="B435">
            <v>14401</v>
          </cell>
        </row>
        <row r="436">
          <cell r="B436">
            <v>15201</v>
          </cell>
        </row>
        <row r="437">
          <cell r="B437">
            <v>15201</v>
          </cell>
        </row>
        <row r="438">
          <cell r="B438">
            <v>15201</v>
          </cell>
        </row>
        <row r="439">
          <cell r="B439">
            <v>15201</v>
          </cell>
        </row>
        <row r="440">
          <cell r="B440">
            <v>21201</v>
          </cell>
        </row>
        <row r="441">
          <cell r="B441">
            <v>21201</v>
          </cell>
        </row>
        <row r="442">
          <cell r="B442">
            <v>21201</v>
          </cell>
        </row>
        <row r="443">
          <cell r="B443">
            <v>18601</v>
          </cell>
        </row>
        <row r="444">
          <cell r="B444">
            <v>18601</v>
          </cell>
        </row>
        <row r="445">
          <cell r="B445">
            <v>18601</v>
          </cell>
        </row>
        <row r="446">
          <cell r="B446">
            <v>18601</v>
          </cell>
        </row>
        <row r="447">
          <cell r="B447">
            <v>18601</v>
          </cell>
        </row>
        <row r="448">
          <cell r="B448">
            <v>348</v>
          </cell>
        </row>
        <row r="449">
          <cell r="B449">
            <v>350</v>
          </cell>
        </row>
        <row r="450">
          <cell r="B450">
            <v>352</v>
          </cell>
        </row>
        <row r="451">
          <cell r="B451">
            <v>354</v>
          </cell>
        </row>
        <row r="452">
          <cell r="B452">
            <v>360</v>
          </cell>
        </row>
        <row r="453">
          <cell r="B453">
            <v>3611</v>
          </cell>
        </row>
        <row r="454">
          <cell r="B454">
            <v>362</v>
          </cell>
        </row>
        <row r="455">
          <cell r="B455">
            <v>3631</v>
          </cell>
        </row>
        <row r="456">
          <cell r="B456">
            <v>364</v>
          </cell>
        </row>
        <row r="457">
          <cell r="B457">
            <v>3651</v>
          </cell>
        </row>
        <row r="458">
          <cell r="B458">
            <v>366</v>
          </cell>
        </row>
        <row r="459">
          <cell r="B459">
            <v>3671</v>
          </cell>
        </row>
        <row r="460">
          <cell r="B460">
            <v>369</v>
          </cell>
        </row>
        <row r="461">
          <cell r="B461">
            <v>369</v>
          </cell>
        </row>
        <row r="462">
          <cell r="B462">
            <v>369</v>
          </cell>
        </row>
        <row r="463">
          <cell r="B463">
            <v>369</v>
          </cell>
        </row>
        <row r="464">
          <cell r="B464">
            <v>369</v>
          </cell>
        </row>
        <row r="465">
          <cell r="B465">
            <v>369</v>
          </cell>
        </row>
        <row r="466">
          <cell r="B466">
            <v>16401</v>
          </cell>
        </row>
        <row r="467">
          <cell r="B467">
            <v>16401</v>
          </cell>
        </row>
        <row r="468">
          <cell r="B468">
            <v>28801</v>
          </cell>
        </row>
        <row r="469">
          <cell r="B469">
            <v>28801</v>
          </cell>
        </row>
        <row r="470">
          <cell r="B470">
            <v>28801</v>
          </cell>
        </row>
        <row r="471">
          <cell r="B471">
            <v>28802</v>
          </cell>
        </row>
        <row r="472">
          <cell r="B472">
            <v>28803</v>
          </cell>
        </row>
        <row r="473">
          <cell r="B473">
            <v>28803</v>
          </cell>
        </row>
        <row r="474">
          <cell r="B474">
            <v>28804</v>
          </cell>
        </row>
        <row r="475">
          <cell r="B475">
            <v>28804</v>
          </cell>
        </row>
        <row r="476">
          <cell r="B476">
            <v>28804</v>
          </cell>
        </row>
        <row r="477">
          <cell r="B477">
            <v>28901</v>
          </cell>
        </row>
        <row r="478">
          <cell r="B478">
            <v>28901</v>
          </cell>
        </row>
        <row r="479">
          <cell r="B479">
            <v>28901</v>
          </cell>
        </row>
        <row r="480">
          <cell r="B480">
            <v>2701</v>
          </cell>
        </row>
        <row r="481">
          <cell r="B481">
            <v>2702</v>
          </cell>
        </row>
        <row r="482">
          <cell r="B482">
            <v>2701</v>
          </cell>
        </row>
        <row r="483">
          <cell r="B483">
            <v>2702</v>
          </cell>
        </row>
        <row r="484">
          <cell r="B484">
            <v>28001</v>
          </cell>
        </row>
        <row r="485">
          <cell r="B485">
            <v>28002</v>
          </cell>
        </row>
        <row r="486">
          <cell r="B486">
            <v>28002</v>
          </cell>
        </row>
        <row r="487">
          <cell r="B487">
            <v>28101</v>
          </cell>
        </row>
        <row r="488">
          <cell r="B488">
            <v>28101</v>
          </cell>
        </row>
        <row r="489">
          <cell r="B489">
            <v>6302</v>
          </cell>
        </row>
        <row r="490">
          <cell r="B490">
            <v>6302</v>
          </cell>
        </row>
        <row r="491">
          <cell r="B491">
            <v>6302</v>
          </cell>
        </row>
        <row r="492">
          <cell r="B492">
            <v>1301</v>
          </cell>
        </row>
        <row r="493">
          <cell r="B493">
            <v>4701</v>
          </cell>
        </row>
        <row r="494">
          <cell r="B494">
            <v>3302</v>
          </cell>
        </row>
        <row r="495">
          <cell r="B495">
            <v>3302</v>
          </cell>
        </row>
        <row r="496">
          <cell r="B496">
            <v>6301</v>
          </cell>
        </row>
        <row r="497">
          <cell r="B497">
            <v>6301</v>
          </cell>
        </row>
        <row r="498">
          <cell r="B498">
            <v>5701</v>
          </cell>
        </row>
        <row r="499">
          <cell r="B499">
            <v>5701</v>
          </cell>
        </row>
        <row r="500">
          <cell r="B500">
            <v>31202</v>
          </cell>
        </row>
        <row r="501">
          <cell r="B501">
            <v>31203</v>
          </cell>
        </row>
        <row r="502">
          <cell r="B502">
            <v>31203</v>
          </cell>
        </row>
        <row r="503">
          <cell r="B503">
            <v>31203</v>
          </cell>
        </row>
        <row r="504">
          <cell r="B504">
            <v>31204</v>
          </cell>
        </row>
        <row r="505">
          <cell r="B505">
            <v>31204</v>
          </cell>
        </row>
        <row r="506">
          <cell r="B506">
            <v>31204</v>
          </cell>
        </row>
        <row r="507">
          <cell r="B507">
            <v>31204</v>
          </cell>
        </row>
        <row r="508">
          <cell r="B508">
            <v>31501</v>
          </cell>
        </row>
        <row r="509">
          <cell r="B509">
            <v>15202</v>
          </cell>
        </row>
        <row r="510">
          <cell r="B510">
            <v>15202</v>
          </cell>
        </row>
        <row r="511">
          <cell r="B511">
            <v>15202</v>
          </cell>
        </row>
        <row r="512">
          <cell r="B512">
            <v>13003</v>
          </cell>
        </row>
        <row r="513">
          <cell r="B513">
            <v>13003</v>
          </cell>
        </row>
        <row r="514">
          <cell r="B514">
            <v>13202</v>
          </cell>
        </row>
        <row r="515">
          <cell r="B515">
            <v>30601</v>
          </cell>
        </row>
        <row r="516">
          <cell r="B516">
            <v>30601</v>
          </cell>
        </row>
        <row r="517">
          <cell r="B517">
            <v>30603</v>
          </cell>
        </row>
        <row r="518">
          <cell r="B518">
            <v>30603</v>
          </cell>
        </row>
        <row r="519">
          <cell r="B519">
            <v>30601</v>
          </cell>
        </row>
        <row r="520">
          <cell r="B520">
            <v>30602</v>
          </cell>
        </row>
        <row r="521">
          <cell r="B521">
            <v>30602</v>
          </cell>
        </row>
        <row r="522">
          <cell r="B522">
            <v>30602</v>
          </cell>
        </row>
        <row r="523">
          <cell r="B523">
            <v>30602</v>
          </cell>
        </row>
        <row r="524">
          <cell r="B524">
            <v>13601</v>
          </cell>
        </row>
        <row r="525">
          <cell r="B525">
            <v>13601</v>
          </cell>
        </row>
        <row r="526">
          <cell r="B526">
            <v>30801</v>
          </cell>
        </row>
        <row r="527">
          <cell r="B527">
            <v>30801</v>
          </cell>
        </row>
        <row r="528">
          <cell r="B528">
            <v>30802</v>
          </cell>
        </row>
        <row r="529">
          <cell r="B529">
            <v>30802</v>
          </cell>
        </row>
        <row r="530">
          <cell r="B530">
            <v>30803</v>
          </cell>
        </row>
        <row r="531">
          <cell r="B531">
            <v>30803</v>
          </cell>
        </row>
        <row r="532">
          <cell r="B532">
            <v>30803</v>
          </cell>
        </row>
        <row r="533">
          <cell r="B533">
            <v>30803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I7" sqref="I7:K11"/>
    </sheetView>
  </sheetViews>
  <sheetFormatPr baseColWidth="12" defaultColWidth="13" defaultRowHeight="21" customHeight="1" outlineLevelCol="1" x14ac:dyDescent="0"/>
  <cols>
    <col min="1" max="1" width="8.83203125" style="30" bestFit="1" customWidth="1"/>
    <col min="2" max="2" width="5" style="30" bestFit="1" customWidth="1"/>
    <col min="3" max="3" width="7.1640625" style="4" bestFit="1" customWidth="1"/>
    <col min="4" max="4" width="28.83203125" style="4" bestFit="1" customWidth="1" outlineLevel="1"/>
    <col min="5" max="5" width="20" style="4" bestFit="1" customWidth="1" outlineLevel="1"/>
    <col min="6" max="6" width="7" style="4" bestFit="1" customWidth="1"/>
    <col min="7" max="7" width="9.33203125" style="30" bestFit="1" customWidth="1" outlineLevel="1"/>
    <col min="8" max="8" width="2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21" t="s">
        <v>30</v>
      </c>
      <c r="B1" s="21" t="s">
        <v>37</v>
      </c>
      <c r="C1" s="1" t="s">
        <v>0</v>
      </c>
      <c r="D1" s="2" t="s">
        <v>18</v>
      </c>
      <c r="E1" s="20" t="s">
        <v>34</v>
      </c>
      <c r="F1" s="1" t="s">
        <v>1</v>
      </c>
      <c r="G1" s="34" t="s">
        <v>33</v>
      </c>
      <c r="H1" s="20" t="s">
        <v>35</v>
      </c>
      <c r="I1" s="1" t="s">
        <v>13</v>
      </c>
      <c r="J1" s="1" t="s">
        <v>14</v>
      </c>
      <c r="K1" s="1" t="s">
        <v>15</v>
      </c>
    </row>
    <row r="2" spans="1:11" ht="21" customHeight="1">
      <c r="A2" s="21" t="str">
        <f t="shared" ref="A2:A11" si="0">G2&amp;"-"&amp;I2</f>
        <v>11209_1-1</v>
      </c>
      <c r="B2" s="21" t="str">
        <f>IF(COUNTIF(enemy_habitats_beginners!$H:$H,A2),"OK","NG")</f>
        <v>OK</v>
      </c>
      <c r="C2" s="8">
        <v>11209</v>
      </c>
      <c r="D2" s="12" t="str">
        <f ca="1">VLOOKUP($C2,OFFSET([1]quests!$A$1,0,0,COUNTA([1]quests!$A:$A),MATCH(D$1,[1]quests!$1:$1,0)-MATCH($C$1,[1]quests!$1:$1,0)+1),MATCH(D$1,[1]quests!$1:$1,0)-MATCH($C$1,[1]quests!$1:$1,0)+1,FALSE)</f>
        <v>【100万DL記念！】 初心者応援クエスト</v>
      </c>
      <c r="E2" s="29" t="str">
        <f ca="1">VLOOKUP($C2,OFFSET([1]quests!$A$1,0,0,COUNTA([1]quests!$A:$A),MATCH(E$1,[1]quests!$1:$1,0)-MATCH($C$1,[1]quests!$1:$1,0)+1),MATCH(E$1,[1]quests!$1:$1,0)-MATCH($C$1,[1]quests!$1:$1,0)+1,FALSE)</f>
        <v>100万DL記念限定クエスト</v>
      </c>
      <c r="F2" s="32">
        <v>1</v>
      </c>
      <c r="G2" s="34" t="str">
        <f t="shared" ref="G2:G11" si="1">C2&amp;"_"&amp;F2</f>
        <v>11209_1</v>
      </c>
      <c r="H2" s="20" t="str">
        <f ca="1">VLOOKUP($G2,OFFSET([1]stages!$A$1,0,0,COUNTA([1]stages!$A:$A),MATCH(H$1,[1]stages!$2:$2,0)-MATCH($G$1,[1]stages!$2:$2,0)+1),MATCH(H$1,[1]stages!$2:$2,0)-MATCH($G$1,[1]stages!$2:$2,0)+1,FALSE)</f>
        <v>メタルダックを捕獲せよ！ 【初級】</v>
      </c>
      <c r="I2" s="32">
        <v>1</v>
      </c>
      <c r="J2" s="13">
        <v>60</v>
      </c>
      <c r="K2" s="13">
        <v>60</v>
      </c>
    </row>
    <row r="3" spans="1:11" ht="21" customHeight="1">
      <c r="A3" s="21" t="str">
        <f t="shared" si="0"/>
        <v>11209_1-2</v>
      </c>
      <c r="B3" s="21" t="str">
        <f>IF(COUNTIF(enemy_habitats_beginners!$H:$H,A3),"OK","NG")</f>
        <v>OK</v>
      </c>
      <c r="C3" s="8">
        <v>11209</v>
      </c>
      <c r="D3" s="12" t="str">
        <f ca="1">VLOOKUP($C3,OFFSET([1]quests!$A$1,0,0,COUNTA([1]quests!$A:$A),MATCH(D$1,[1]quests!$1:$1,0)-MATCH($C$1,[1]quests!$1:$1,0)+1),MATCH(D$1,[1]quests!$1:$1,0)-MATCH($C$1,[1]quests!$1:$1,0)+1,FALSE)</f>
        <v>【100万DL記念！】 初心者応援クエスト</v>
      </c>
      <c r="E3" s="29" t="str">
        <f ca="1">VLOOKUP($C3,OFFSET([1]quests!$A$1,0,0,COUNTA([1]quests!$A:$A),MATCH(E$1,[1]quests!$1:$1,0)-MATCH($C$1,[1]quests!$1:$1,0)+1),MATCH(E$1,[1]quests!$1:$1,0)-MATCH($C$1,[1]quests!$1:$1,0)+1,FALSE)</f>
        <v>100万DL記念限定クエスト</v>
      </c>
      <c r="F3" s="32">
        <v>1</v>
      </c>
      <c r="G3" s="34" t="str">
        <f t="shared" si="1"/>
        <v>11209_1</v>
      </c>
      <c r="H3" s="20" t="str">
        <f ca="1">VLOOKUP($G3,OFFSET([1]stages!$A$1,0,0,COUNTA([1]stages!$A:$A),MATCH(H$1,[1]stages!$2:$2,0)-MATCH($G$1,[1]stages!$2:$2,0)+1),MATCH(H$1,[1]stages!$2:$2,0)-MATCH($G$1,[1]stages!$2:$2,0)+1,FALSE)</f>
        <v>メタルダックを捕獲せよ！ 【初級】</v>
      </c>
      <c r="I3" s="32">
        <v>2</v>
      </c>
      <c r="J3" s="13">
        <v>60</v>
      </c>
      <c r="K3" s="13">
        <v>60</v>
      </c>
    </row>
    <row r="4" spans="1:11" ht="21" customHeight="1">
      <c r="A4" s="21" t="str">
        <f t="shared" si="0"/>
        <v>11209_1-3</v>
      </c>
      <c r="B4" s="21" t="str">
        <f>IF(COUNTIF(enemy_habitats_beginners!$H:$H,A4),"OK","NG")</f>
        <v>OK</v>
      </c>
      <c r="C4" s="8">
        <v>11209</v>
      </c>
      <c r="D4" s="12" t="str">
        <f ca="1">VLOOKUP($C4,OFFSET([1]quests!$A$1,0,0,COUNTA([1]quests!$A:$A),MATCH(D$1,[1]quests!$1:$1,0)-MATCH($C$1,[1]quests!$1:$1,0)+1),MATCH(D$1,[1]quests!$1:$1,0)-MATCH($C$1,[1]quests!$1:$1,0)+1,FALSE)</f>
        <v>【100万DL記念！】 初心者応援クエスト</v>
      </c>
      <c r="E4" s="29" t="str">
        <f ca="1">VLOOKUP($C4,OFFSET([1]quests!$A$1,0,0,COUNTA([1]quests!$A:$A),MATCH(E$1,[1]quests!$1:$1,0)-MATCH($C$1,[1]quests!$1:$1,0)+1),MATCH(E$1,[1]quests!$1:$1,0)-MATCH($C$1,[1]quests!$1:$1,0)+1,FALSE)</f>
        <v>100万DL記念限定クエスト</v>
      </c>
      <c r="F4" s="32">
        <v>1</v>
      </c>
      <c r="G4" s="34" t="str">
        <f t="shared" si="1"/>
        <v>11209_1</v>
      </c>
      <c r="H4" s="20" t="str">
        <f ca="1">VLOOKUP($G4,OFFSET([1]stages!$A$1,0,0,COUNTA([1]stages!$A:$A),MATCH(H$1,[1]stages!$2:$2,0)-MATCH($G$1,[1]stages!$2:$2,0)+1),MATCH(H$1,[1]stages!$2:$2,0)-MATCH($G$1,[1]stages!$2:$2,0)+1,FALSE)</f>
        <v>メタルダックを捕獲せよ！ 【初級】</v>
      </c>
      <c r="I4" s="32">
        <v>3</v>
      </c>
      <c r="J4" s="13">
        <v>60</v>
      </c>
      <c r="K4" s="13">
        <v>60</v>
      </c>
    </row>
    <row r="5" spans="1:11" ht="21" customHeight="1">
      <c r="A5" s="21" t="str">
        <f t="shared" si="0"/>
        <v>11209_1-4</v>
      </c>
      <c r="B5" s="21" t="str">
        <f>IF(COUNTIF(enemy_habitats_beginners!$H:$H,A5),"OK","NG")</f>
        <v>OK</v>
      </c>
      <c r="C5" s="8">
        <v>11209</v>
      </c>
      <c r="D5" s="12" t="str">
        <f ca="1">VLOOKUP($C5,OFFSET([1]quests!$A$1,0,0,COUNTA([1]quests!$A:$A),MATCH(D$1,[1]quests!$1:$1,0)-MATCH($C$1,[1]quests!$1:$1,0)+1),MATCH(D$1,[1]quests!$1:$1,0)-MATCH($C$1,[1]quests!$1:$1,0)+1,FALSE)</f>
        <v>【100万DL記念！】 初心者応援クエスト</v>
      </c>
      <c r="E5" s="29" t="str">
        <f ca="1">VLOOKUP($C5,OFFSET([1]quests!$A$1,0,0,COUNTA([1]quests!$A:$A),MATCH(E$1,[1]quests!$1:$1,0)-MATCH($C$1,[1]quests!$1:$1,0)+1),MATCH(E$1,[1]quests!$1:$1,0)-MATCH($C$1,[1]quests!$1:$1,0)+1,FALSE)</f>
        <v>100万DL記念限定クエスト</v>
      </c>
      <c r="F5" s="32">
        <v>1</v>
      </c>
      <c r="G5" s="34" t="str">
        <f t="shared" si="1"/>
        <v>11209_1</v>
      </c>
      <c r="H5" s="20" t="str">
        <f ca="1">VLOOKUP($G5,OFFSET([1]stages!$A$1,0,0,COUNTA([1]stages!$A:$A),MATCH(H$1,[1]stages!$2:$2,0)-MATCH($G$1,[1]stages!$2:$2,0)+1),MATCH(H$1,[1]stages!$2:$2,0)-MATCH($G$1,[1]stages!$2:$2,0)+1,FALSE)</f>
        <v>メタルダックを捕獲せよ！ 【初級】</v>
      </c>
      <c r="I5" s="32">
        <v>4</v>
      </c>
      <c r="J5" s="13">
        <v>60</v>
      </c>
      <c r="K5" s="13">
        <v>60</v>
      </c>
    </row>
    <row r="6" spans="1:11" ht="21" customHeight="1">
      <c r="A6" s="21" t="str">
        <f t="shared" si="0"/>
        <v>11209_1-5</v>
      </c>
      <c r="B6" s="21" t="str">
        <f>IF(COUNTIF(enemy_habitats_beginners!$H:$H,A6),"OK","NG")</f>
        <v>OK</v>
      </c>
      <c r="C6" s="8">
        <v>11209</v>
      </c>
      <c r="D6" s="12" t="str">
        <f ca="1">VLOOKUP($C6,OFFSET([1]quests!$A$1,0,0,COUNTA([1]quests!$A:$A),MATCH(D$1,[1]quests!$1:$1,0)-MATCH($C$1,[1]quests!$1:$1,0)+1),MATCH(D$1,[1]quests!$1:$1,0)-MATCH($C$1,[1]quests!$1:$1,0)+1,FALSE)</f>
        <v>【100万DL記念！】 初心者応援クエスト</v>
      </c>
      <c r="E6" s="29" t="str">
        <f ca="1">VLOOKUP($C6,OFFSET([1]quests!$A$1,0,0,COUNTA([1]quests!$A:$A),MATCH(E$1,[1]quests!$1:$1,0)-MATCH($C$1,[1]quests!$1:$1,0)+1),MATCH(E$1,[1]quests!$1:$1,0)-MATCH($C$1,[1]quests!$1:$1,0)+1,FALSE)</f>
        <v>100万DL記念限定クエスト</v>
      </c>
      <c r="F6" s="32">
        <v>1</v>
      </c>
      <c r="G6" s="34" t="str">
        <f t="shared" si="1"/>
        <v>11209_1</v>
      </c>
      <c r="H6" s="20" t="str">
        <f ca="1">VLOOKUP($G6,OFFSET([1]stages!$A$1,0,0,COUNTA([1]stages!$A:$A),MATCH(H$1,[1]stages!$2:$2,0)-MATCH($G$1,[1]stages!$2:$2,0)+1),MATCH(H$1,[1]stages!$2:$2,0)-MATCH($G$1,[1]stages!$2:$2,0)+1,FALSE)</f>
        <v>メタルダックを捕獲せよ！ 【初級】</v>
      </c>
      <c r="I6" s="32">
        <v>5</v>
      </c>
      <c r="J6" s="13">
        <v>50</v>
      </c>
      <c r="K6" s="13">
        <v>50</v>
      </c>
    </row>
    <row r="7" spans="1:11" ht="21" customHeight="1">
      <c r="A7" s="21" t="str">
        <f t="shared" si="0"/>
        <v>11209_2-1</v>
      </c>
      <c r="B7" s="21" t="str">
        <f>IF(COUNTIF(enemy_habitats_beginners!$H:$H,A7),"OK","NG")</f>
        <v>OK</v>
      </c>
      <c r="C7" s="8">
        <v>11209</v>
      </c>
      <c r="D7" s="12" t="str">
        <f ca="1">VLOOKUP($C7,OFFSET([1]quests!$A$1,0,0,COUNTA([1]quests!$A:$A),MATCH(D$1,[1]quests!$1:$1,0)-MATCH($C$1,[1]quests!$1:$1,0)+1),MATCH(D$1,[1]quests!$1:$1,0)-MATCH($C$1,[1]quests!$1:$1,0)+1,FALSE)</f>
        <v>【100万DL記念！】 初心者応援クエスト</v>
      </c>
      <c r="E7" s="29" t="str">
        <f ca="1">VLOOKUP($C7,OFFSET([1]quests!$A$1,0,0,COUNTA([1]quests!$A:$A),MATCH(E$1,[1]quests!$1:$1,0)-MATCH($C$1,[1]quests!$1:$1,0)+1),MATCH(E$1,[1]quests!$1:$1,0)-MATCH($C$1,[1]quests!$1:$1,0)+1,FALSE)</f>
        <v>100万DL記念限定クエスト</v>
      </c>
      <c r="F7" s="32">
        <v>2</v>
      </c>
      <c r="G7" s="34" t="str">
        <f t="shared" si="1"/>
        <v>11209_2</v>
      </c>
      <c r="H7" s="20" t="str">
        <f ca="1">VLOOKUP($G7,OFFSET([1]stages!$A$1,0,0,COUNTA([1]stages!$A:$A),MATCH(H$1,[1]stages!$2:$2,0)-MATCH($G$1,[1]stages!$2:$2,0)+1),MATCH(H$1,[1]stages!$2:$2,0)-MATCH($G$1,[1]stages!$2:$2,0)+1,FALSE)</f>
        <v>ゴールドカジノ 【初級】</v>
      </c>
      <c r="I7" s="40">
        <v>1</v>
      </c>
      <c r="J7" s="46">
        <v>30</v>
      </c>
      <c r="K7" s="46">
        <v>45</v>
      </c>
    </row>
    <row r="8" spans="1:11" ht="21" customHeight="1">
      <c r="A8" s="21" t="str">
        <f t="shared" si="0"/>
        <v>11209_2-2</v>
      </c>
      <c r="B8" s="21" t="str">
        <f>IF(COUNTIF(enemy_habitats_beginners!$H:$H,A8),"OK","NG")</f>
        <v>OK</v>
      </c>
      <c r="C8" s="8">
        <v>11209</v>
      </c>
      <c r="D8" s="12" t="str">
        <f ca="1">VLOOKUP($C8,OFFSET([1]quests!$A$1,0,0,COUNTA([1]quests!$A:$A),MATCH(D$1,[1]quests!$1:$1,0)-MATCH($C$1,[1]quests!$1:$1,0)+1),MATCH(D$1,[1]quests!$1:$1,0)-MATCH($C$1,[1]quests!$1:$1,0)+1,FALSE)</f>
        <v>【100万DL記念！】 初心者応援クエスト</v>
      </c>
      <c r="E8" s="29" t="str">
        <f ca="1">VLOOKUP($C8,OFFSET([1]quests!$A$1,0,0,COUNTA([1]quests!$A:$A),MATCH(E$1,[1]quests!$1:$1,0)-MATCH($C$1,[1]quests!$1:$1,0)+1),MATCH(E$1,[1]quests!$1:$1,0)-MATCH($C$1,[1]quests!$1:$1,0)+1,FALSE)</f>
        <v>100万DL記念限定クエスト</v>
      </c>
      <c r="F8" s="32">
        <v>2</v>
      </c>
      <c r="G8" s="34" t="str">
        <f t="shared" si="1"/>
        <v>11209_2</v>
      </c>
      <c r="H8" s="20" t="str">
        <f ca="1">VLOOKUP($G8,OFFSET([1]stages!$A$1,0,0,COUNTA([1]stages!$A:$A),MATCH(H$1,[1]stages!$2:$2,0)-MATCH($G$1,[1]stages!$2:$2,0)+1),MATCH(H$1,[1]stages!$2:$2,0)-MATCH($G$1,[1]stages!$2:$2,0)+1,FALSE)</f>
        <v>ゴールドカジノ 【初級】</v>
      </c>
      <c r="I8" s="40">
        <v>2</v>
      </c>
      <c r="J8" s="46">
        <v>30</v>
      </c>
      <c r="K8" s="46">
        <v>45</v>
      </c>
    </row>
    <row r="9" spans="1:11" ht="21" customHeight="1">
      <c r="A9" s="21" t="str">
        <f t="shared" si="0"/>
        <v>11209_2-3</v>
      </c>
      <c r="B9" s="21" t="str">
        <f>IF(COUNTIF(enemy_habitats_beginners!$H:$H,A9),"OK","NG")</f>
        <v>OK</v>
      </c>
      <c r="C9" s="8">
        <v>11209</v>
      </c>
      <c r="D9" s="12" t="str">
        <f ca="1">VLOOKUP($C9,OFFSET([1]quests!$A$1,0,0,COUNTA([1]quests!$A:$A),MATCH(D$1,[1]quests!$1:$1,0)-MATCH($C$1,[1]quests!$1:$1,0)+1),MATCH(D$1,[1]quests!$1:$1,0)-MATCH($C$1,[1]quests!$1:$1,0)+1,FALSE)</f>
        <v>【100万DL記念！】 初心者応援クエスト</v>
      </c>
      <c r="E9" s="29" t="str">
        <f ca="1">VLOOKUP($C9,OFFSET([1]quests!$A$1,0,0,COUNTA([1]quests!$A:$A),MATCH(E$1,[1]quests!$1:$1,0)-MATCH($C$1,[1]quests!$1:$1,0)+1),MATCH(E$1,[1]quests!$1:$1,0)-MATCH($C$1,[1]quests!$1:$1,0)+1,FALSE)</f>
        <v>100万DL記念限定クエスト</v>
      </c>
      <c r="F9" s="32">
        <v>2</v>
      </c>
      <c r="G9" s="34" t="str">
        <f t="shared" si="1"/>
        <v>11209_2</v>
      </c>
      <c r="H9" s="20" t="str">
        <f ca="1">VLOOKUP($G9,OFFSET([1]stages!$A$1,0,0,COUNTA([1]stages!$A:$A),MATCH(H$1,[1]stages!$2:$2,0)-MATCH($G$1,[1]stages!$2:$2,0)+1),MATCH(H$1,[1]stages!$2:$2,0)-MATCH($G$1,[1]stages!$2:$2,0)+1,FALSE)</f>
        <v>ゴールドカジノ 【初級】</v>
      </c>
      <c r="I9" s="40">
        <v>3</v>
      </c>
      <c r="J9" s="46">
        <v>30</v>
      </c>
      <c r="K9" s="46">
        <v>55</v>
      </c>
    </row>
    <row r="10" spans="1:11" ht="21" customHeight="1">
      <c r="A10" s="21" t="str">
        <f t="shared" si="0"/>
        <v>11209_2-4</v>
      </c>
      <c r="B10" s="21" t="str">
        <f>IF(COUNTIF(enemy_habitats_beginners!$H:$H,A10),"OK","NG")</f>
        <v>OK</v>
      </c>
      <c r="C10" s="8">
        <v>11209</v>
      </c>
      <c r="D10" s="12" t="str">
        <f ca="1">VLOOKUP($C10,OFFSET([1]quests!$A$1,0,0,COUNTA([1]quests!$A:$A),MATCH(D$1,[1]quests!$1:$1,0)-MATCH($C$1,[1]quests!$1:$1,0)+1),MATCH(D$1,[1]quests!$1:$1,0)-MATCH($C$1,[1]quests!$1:$1,0)+1,FALSE)</f>
        <v>【100万DL記念！】 初心者応援クエスト</v>
      </c>
      <c r="E10" s="29" t="str">
        <f ca="1">VLOOKUP($C10,OFFSET([1]quests!$A$1,0,0,COUNTA([1]quests!$A:$A),MATCH(E$1,[1]quests!$1:$1,0)-MATCH($C$1,[1]quests!$1:$1,0)+1),MATCH(E$1,[1]quests!$1:$1,0)-MATCH($C$1,[1]quests!$1:$1,0)+1,FALSE)</f>
        <v>100万DL記念限定クエスト</v>
      </c>
      <c r="F10" s="32">
        <v>2</v>
      </c>
      <c r="G10" s="34" t="str">
        <f t="shared" si="1"/>
        <v>11209_2</v>
      </c>
      <c r="H10" s="20" t="str">
        <f ca="1">VLOOKUP($G10,OFFSET([1]stages!$A$1,0,0,COUNTA([1]stages!$A:$A),MATCH(H$1,[1]stages!$2:$2,0)-MATCH($G$1,[1]stages!$2:$2,0)+1),MATCH(H$1,[1]stages!$2:$2,0)-MATCH($G$1,[1]stages!$2:$2,0)+1,FALSE)</f>
        <v>ゴールドカジノ 【初級】</v>
      </c>
      <c r="I10" s="40">
        <v>4</v>
      </c>
      <c r="J10" s="46">
        <v>30</v>
      </c>
      <c r="K10" s="46">
        <v>55</v>
      </c>
    </row>
    <row r="11" spans="1:11" ht="21" customHeight="1">
      <c r="A11" s="21" t="str">
        <f t="shared" si="0"/>
        <v>11209_2-5</v>
      </c>
      <c r="B11" s="21" t="str">
        <f>IF(COUNTIF(enemy_habitats_beginners!$H:$H,A11),"OK","NG")</f>
        <v>OK</v>
      </c>
      <c r="C11" s="8">
        <v>11209</v>
      </c>
      <c r="D11" s="12" t="str">
        <f ca="1">VLOOKUP($C11,OFFSET([1]quests!$A$1,0,0,COUNTA([1]quests!$A:$A),MATCH(D$1,[1]quests!$1:$1,0)-MATCH($C$1,[1]quests!$1:$1,0)+1),MATCH(D$1,[1]quests!$1:$1,0)-MATCH($C$1,[1]quests!$1:$1,0)+1,FALSE)</f>
        <v>【100万DL記念！】 初心者応援クエスト</v>
      </c>
      <c r="E11" s="29" t="str">
        <f ca="1">VLOOKUP($C11,OFFSET([1]quests!$A$1,0,0,COUNTA([1]quests!$A:$A),MATCH(E$1,[1]quests!$1:$1,0)-MATCH($C$1,[1]quests!$1:$1,0)+1),MATCH(E$1,[1]quests!$1:$1,0)-MATCH($C$1,[1]quests!$1:$1,0)+1,FALSE)</f>
        <v>100万DL記念限定クエスト</v>
      </c>
      <c r="F11" s="32">
        <v>2</v>
      </c>
      <c r="G11" s="34" t="str">
        <f t="shared" si="1"/>
        <v>11209_2</v>
      </c>
      <c r="H11" s="20" t="str">
        <f ca="1">VLOOKUP($G11,OFFSET([1]stages!$A$1,0,0,COUNTA([1]stages!$A:$A),MATCH(H$1,[1]stages!$2:$2,0)-MATCH($G$1,[1]stages!$2:$2,0)+1),MATCH(H$1,[1]stages!$2:$2,0)-MATCH($G$1,[1]stages!$2:$2,0)+1,FALSE)</f>
        <v>ゴールドカジノ 【初級】</v>
      </c>
      <c r="I11" s="40">
        <v>5</v>
      </c>
      <c r="J11" s="46">
        <v>45</v>
      </c>
      <c r="K11" s="46">
        <v>45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52"/>
  <sheetViews>
    <sheetView showGridLines="0" tabSelected="1" zoomScale="75" zoomScaleNormal="75" zoomScalePageLayoutView="75" workbookViewId="0">
      <pane xSplit="16" ySplit="1" topLeftCell="Q2" activePane="bottomRight" state="frozen"/>
      <selection pane="topRight" activeCell="N1" sqref="N1"/>
      <selection pane="bottomLeft" activeCell="A2" sqref="A2"/>
      <selection pane="bottomRight" activeCell="B1" sqref="B1"/>
    </sheetView>
  </sheetViews>
  <sheetFormatPr baseColWidth="12" defaultColWidth="13" defaultRowHeight="21" customHeight="1" outlineLevelCol="1" x14ac:dyDescent="0"/>
  <cols>
    <col min="1" max="1" width="12.5" style="30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6" width="15.6640625" style="4" customWidth="1" outlineLevel="1"/>
    <col min="7" max="7" width="11.83203125" style="4" bestFit="1" customWidth="1"/>
    <col min="8" max="10" width="11.83203125" style="4" customWidth="1" outlineLevel="1"/>
    <col min="11" max="11" width="15.33203125" style="10" bestFit="1" customWidth="1"/>
    <col min="12" max="12" width="17.6640625" style="4" customWidth="1" outlineLevel="1"/>
    <col min="13" max="13" width="10.33203125" style="4" customWidth="1" outlineLevel="1"/>
    <col min="14" max="14" width="13.6640625" style="4" customWidth="1" outlineLevel="1"/>
    <col min="15" max="15" width="22.83203125" style="4" customWidth="1" outlineLevel="1"/>
    <col min="16" max="16" width="11.6640625" style="4" customWidth="1" outlineLevel="1"/>
    <col min="17" max="17" width="10.1640625" style="4" bestFit="1" customWidth="1"/>
    <col min="18" max="18" width="14.83203125" style="4" bestFit="1" customWidth="1"/>
    <col min="19" max="19" width="17.5" style="4" bestFit="1" customWidth="1"/>
    <col min="20" max="20" width="18.33203125" style="4" bestFit="1" customWidth="1"/>
    <col min="21" max="21" width="14" style="4" customWidth="1"/>
    <col min="22" max="22" width="14" style="4" customWidth="1" outlineLevel="1"/>
    <col min="23" max="23" width="13" style="4" bestFit="1" customWidth="1"/>
    <col min="24" max="24" width="13.5" style="4" bestFit="1" customWidth="1"/>
    <col min="25" max="25" width="12.33203125" style="4" bestFit="1" customWidth="1"/>
    <col min="26" max="26" width="11" style="4" bestFit="1" customWidth="1"/>
    <col min="27" max="27" width="14.83203125" style="4" bestFit="1" customWidth="1"/>
    <col min="28" max="28" width="17.6640625" style="14" customWidth="1" outlineLevel="1"/>
    <col min="29" max="30" width="13.6640625" style="15" customWidth="1" outlineLevel="1"/>
    <col min="31" max="31" width="16.83203125" style="11" bestFit="1" customWidth="1" collapsed="1"/>
    <col min="32" max="33" width="16.5" style="4" bestFit="1" customWidth="1"/>
    <col min="34" max="34" width="15.33203125" style="4" customWidth="1"/>
    <col min="35" max="16384" width="13" style="4"/>
  </cols>
  <sheetData>
    <row r="1" spans="1:38" ht="21" customHeight="1">
      <c r="A1" s="21" t="s">
        <v>28</v>
      </c>
      <c r="B1" s="1" t="s">
        <v>0</v>
      </c>
      <c r="C1" s="1" t="s">
        <v>1</v>
      </c>
      <c r="D1" s="20" t="s">
        <v>27</v>
      </c>
      <c r="E1" s="2" t="s">
        <v>20</v>
      </c>
      <c r="F1" s="2" t="s">
        <v>20</v>
      </c>
      <c r="G1" s="1" t="s">
        <v>19</v>
      </c>
      <c r="H1" s="20" t="s">
        <v>36</v>
      </c>
      <c r="I1" s="45" t="s">
        <v>14</v>
      </c>
      <c r="J1" s="45" t="s">
        <v>15</v>
      </c>
      <c r="K1" s="1" t="s">
        <v>2</v>
      </c>
      <c r="L1" s="25" t="s">
        <v>21</v>
      </c>
      <c r="M1" s="20" t="s">
        <v>23</v>
      </c>
      <c r="N1" s="20" t="s">
        <v>48</v>
      </c>
      <c r="O1" s="27" t="s">
        <v>25</v>
      </c>
      <c r="P1" s="2" t="s">
        <v>24</v>
      </c>
      <c r="Q1" s="1" t="s">
        <v>3</v>
      </c>
      <c r="R1" s="36" t="s">
        <v>49</v>
      </c>
      <c r="S1" s="36" t="s">
        <v>50</v>
      </c>
      <c r="T1" s="36" t="s">
        <v>51</v>
      </c>
      <c r="U1" s="20" t="s">
        <v>32</v>
      </c>
      <c r="V1" s="1" t="s">
        <v>4</v>
      </c>
      <c r="W1" s="1" t="s">
        <v>5</v>
      </c>
      <c r="X1" s="1" t="s">
        <v>6</v>
      </c>
      <c r="Y1" s="1" t="s">
        <v>7</v>
      </c>
      <c r="Z1" s="1" t="s">
        <v>8</v>
      </c>
      <c r="AA1" s="3" t="s">
        <v>9</v>
      </c>
      <c r="AB1" s="22" t="s">
        <v>16</v>
      </c>
      <c r="AC1" s="22" t="s">
        <v>17</v>
      </c>
      <c r="AD1" s="22" t="s">
        <v>26</v>
      </c>
      <c r="AE1" s="3" t="s">
        <v>10</v>
      </c>
      <c r="AF1" s="1" t="s">
        <v>11</v>
      </c>
      <c r="AG1" s="1" t="s">
        <v>12</v>
      </c>
      <c r="AH1" s="1" t="s">
        <v>39</v>
      </c>
      <c r="AI1" s="1" t="s">
        <v>41</v>
      </c>
      <c r="AJ1" s="1" t="s">
        <v>43</v>
      </c>
      <c r="AK1" s="1" t="s">
        <v>45</v>
      </c>
      <c r="AL1" s="1" t="s">
        <v>47</v>
      </c>
    </row>
    <row r="2" spans="1:38" ht="21" customHeight="1">
      <c r="A2" s="21" t="str">
        <f t="shared" ref="A2:A5" ca="1" si="0">B2&amp;"_"&amp;C2&amp;"-"&amp;G2&amp;"/"&amp;K2&amp;"&lt;lv"&amp;Q2&amp;"&gt;s"&amp;Z2</f>
        <v>11209_1-1/332&lt;lv1&gt;s1</v>
      </c>
      <c r="B2" s="33">
        <v>11209</v>
      </c>
      <c r="C2" s="32">
        <v>1</v>
      </c>
      <c r="D2" s="2" t="str">
        <f t="shared" ref="D2:D5" si="1">B2&amp;"_"&amp;C2</f>
        <v>11209_1</v>
      </c>
      <c r="E2" s="5" t="str">
        <f ca="1">VLOOKUP($B2,OFFSET([1]quests!$A$1,0,0,COUNTA([1]quests!$A:$A),MATCH(E$1,[1]quests!$1:$1,0)-MATCH($B$1,[1]quests!$1:$1,0)+1),MATCH(E$1,[1]quests!$1:$1,0)-MATCH($B$1,[1]quests!$1:$1,0)+1,FALSE)</f>
        <v>【100万DL記念！】 初心者応援クエスト</v>
      </c>
      <c r="F2" s="5" t="str">
        <f ca="1">VLOOKUP($D2,OFFSET([1]stages!$A$1,0,0,COUNTA([1]stages!$A:$A),MATCH(F$1,[1]stages!$2:$2,0)-MATCH($D$1,[1]stages!$2:$2,0)+1),MATCH(F$1,[1]stages!$2:$2,0)-MATCH($D$1,[1]stages!$2:$2,0)+1,FALSE)</f>
        <v>メタルダックを捕獲せよ！ 【初級】</v>
      </c>
      <c r="G2" s="32">
        <v>1</v>
      </c>
      <c r="H2" s="20" t="str">
        <f t="shared" ref="H2:H5" si="2">B2&amp;"_"&amp;C2&amp;"-"&amp;G2</f>
        <v>11209_1-1</v>
      </c>
      <c r="I2" s="5">
        <f ca="1">VLOOKUP($H2,OFFSET(floors_beginners!$A$1,0,0,COUNTA(floors_beginners!$A:$A),MATCH(I$1,floors_beginners!$1:$1,0)-MATCH($H$1,floors_beginners!$1:$1,0)+1),MATCH(I$1,floors_beginners!$1:$1,0)-MATCH($H$1,floors_beginners!$1:$1,0)+1,FALSE)</f>
        <v>60</v>
      </c>
      <c r="J2" s="5">
        <f ca="1">VLOOKUP($H2,OFFSET(floors_beginners!$A$1,0,0,COUNTA(floors_beginners!$A:$A),MATCH(J$1,floors_beginners!$1:$1,0)-MATCH($H$1,floors_beginners!$1:$1,0)+1),MATCH(J$1,floors_beginners!$1:$1,0)-MATCH($H$1,floors_beginners!$1:$1,0)+1,FALSE)</f>
        <v>60</v>
      </c>
      <c r="K2" s="31">
        <v>332</v>
      </c>
      <c r="L2" s="26" t="str">
        <f ca="1">VLOOKUP($K2,OFFSET([2]enemies!$A$1,0,0,COUNTA([2]enemies!$A:$A),MATCH(L$1,[2]enemies!$2:$2,0)-MATCH($K$1,[2]enemies!$2:$2,0)+1),MATCH(L$1,[2]enemies!$2:$2,0)-MATCH($K$1,[2]enemies!$2:$2,0)+1,FALSE)</f>
        <v>炎のメタルピヨピヨ</v>
      </c>
      <c r="M2" s="29" t="str">
        <f ca="1">VLOOKUP($K2,OFFSET([2]enemies!$A$1,0,0,COUNTA([2]enemies!$A:$A),MATCH(M$1,[2]enemies!$2:$2,0)-MATCH($K$1,[2]enemies!$2:$2,0)+1),MATCH(M$1,[2]enemies!$2:$2,0)-MATCH($K$1,[2]enemies!$2:$2,0)+1,FALSE)</f>
        <v>red</v>
      </c>
      <c r="N2" s="29" t="str">
        <f ca="1">VLOOKUP($K2,OFFSET([3]characters!$A$1,0,0,COUNTA([3]characters!$A:$A),MATCH(N$1,[3]characters!$2:$2,0)-MATCH($K$1,[3]characters!$2:$2,0)+1),MATCH(N$1,[3]characters!$2:$2,0)-MATCH($K$1,[3]characters!$2:$2,0)+1,FALSE)</f>
        <v>Material</v>
      </c>
      <c r="O2" s="28" t="str">
        <f ca="1">VLOOKUP($K2,OFFSET([3]characters!$A$1,0,0,COUNTA([3]characters!$A:$A),MATCH(O$1,[3]characters!$2:$2,0)-MATCH($K$1,[3]characters!$2:$2,0)+2),MATCH(O$1,[3]characters!$2:$2,0)-MATCH($K$1,[3]characters!$2:$2,0)+2,FALSE)</f>
        <v>Unknown</v>
      </c>
      <c r="P2" s="5">
        <f ca="1">VLOOKUP($K2,OFFSET([2]enemies!$A$1,0,0,COUNTA([2]enemies!$A:$A),MATCH(P$1,[2]enemies!$2:$2,0)-MATCH($K$1,[2]enemies!$2:$2,0)+1),MATCH(P$1,[2]enemies!$2:$2,0)-MATCH($K$1,[2]enemies!$2:$2,0)+1,FALSE)</f>
        <v>15</v>
      </c>
      <c r="Q2" s="6">
        <v>1</v>
      </c>
      <c r="R2" s="37">
        <v>1</v>
      </c>
      <c r="S2" s="37">
        <v>30</v>
      </c>
      <c r="T2" s="6">
        <v>0</v>
      </c>
      <c r="U2" s="5" t="str">
        <f ca="1">VLOOKUP($V2,OFFSET([4]enemy_skill_sets!$B$1,0,0,COUNTA([4]enemy_skill_sets!$B:$B),MATCH(L$1,[4]enemy_skill_sets!$1:$1,0)-MATCH($V$1,[4]enemy_skill_sets!$1:$1,0)+2),MATCH(L$1,[4]enemy_skill_sets!$1:$1,0)-MATCH($V$1,[4]enemy_skill_sets!$1:$1,0)+2,FALSE)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" s="5">
        <f ca="1">VLOOKUP($K2,OFFSET([2]enemies!$A$1,0,0,COUNTA([2]enemies!$A:$A),MATCH(V$1,[2]enemies!$2:$2,0)-MATCH($K$1,[2]enemies!$2:$2,0)+1),MATCH(V$1,[2]enemies!$2:$2,0)-MATCH($K$1,[2]enemies!$2:$2,0)+1,FALSE)</f>
        <v>0</v>
      </c>
      <c r="W2" s="7">
        <v>1</v>
      </c>
      <c r="X2" s="7">
        <v>100</v>
      </c>
      <c r="Y2" s="7">
        <v>0</v>
      </c>
      <c r="Z2" s="26">
        <f ca="1">VLOOKUP($K2,OFFSET([2]enemies!$A$1,0,0,COUNTA([2]enemies!$A:$A),MATCH(Z$1,[2]enemies!$2:$2,0)-MATCH($K$1,[2]enemies!$2:$2,0)+1),MATCH(Z$1,[2]enemies!$2:$2,0)-MATCH($K$1,[2]enemies!$2:$2,0)+1,FALSE)</f>
        <v>1</v>
      </c>
      <c r="AA2" s="2">
        <f>K2</f>
        <v>332</v>
      </c>
      <c r="AB2" s="5" t="str">
        <f ca="1">IFERROR(VLOOKUP($AA2,OFFSET([3]characters!$A$1,0,0,COUNTA([3]characters!$A:$A),MATCH(AB$1,[3]characters!$2:$2,0)-MATCH("character_id",[3]characters!$2:$2,0)+1),MATCH(AB$1,[3]characters!$2:$2,0)-MATCH("character_id",[3]characters!$2:$2,0)+1,FALSE),"")</f>
        <v>炎のメタルピヨピヨ</v>
      </c>
      <c r="AC2" s="5">
        <f ca="1">IFERROR(VLOOKUP($AA2,OFFSET([3]characters!$A$1,0,0,COUNTA([3]characters!$A:$A),MATCH(AC$1,[3]characters!$2:$2,0)-MATCH("character_id",[3]characters!$2:$2,0)+1),MATCH(AC$1,[3]characters!$2:$2,0)-MATCH("character_id",[3]characters!$2:$2,0)+1,FALSE),"")</f>
        <v>3</v>
      </c>
      <c r="AD2" s="5" t="str">
        <f ca="1">IFERROR(VLOOKUP($AA2,OFFSET([3]characters!$A$1,0,0,COUNTA([3]characters!$A:$A),MATCH(AD$1,[3]characters!$2:$2,0)-MATCH("character_id",[3]characters!$2:$2,0)+1),MATCH(AD$1,[3]characters!$2:$2,0)-MATCH("character_id",[3]characters!$2:$2,0)+1,FALSE),"")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" s="8">
        <v>1</v>
      </c>
      <c r="AF2" s="35">
        <f t="shared" ref="AF2:AF5" ca="1" si="3">AC2</f>
        <v>3</v>
      </c>
      <c r="AG2" s="9">
        <v>100</v>
      </c>
      <c r="AH2" s="8">
        <v>0</v>
      </c>
      <c r="AI2" s="8">
        <v>0</v>
      </c>
      <c r="AJ2" s="8">
        <v>0</v>
      </c>
      <c r="AK2" s="8">
        <v>0</v>
      </c>
      <c r="AL2" s="8">
        <v>1</v>
      </c>
    </row>
    <row r="3" spans="1:38" ht="21" customHeight="1">
      <c r="A3" s="21" t="str">
        <f t="shared" ca="1" si="0"/>
        <v>11209_1-1/336&lt;lv1&gt;s1</v>
      </c>
      <c r="B3" s="33">
        <v>11209</v>
      </c>
      <c r="C3" s="32">
        <v>1</v>
      </c>
      <c r="D3" s="2" t="str">
        <f t="shared" si="1"/>
        <v>11209_1</v>
      </c>
      <c r="E3" s="5" t="str">
        <f ca="1">VLOOKUP($B3,OFFSET([1]quests!$A$1,0,0,COUNTA([1]quests!$A:$A),MATCH(E$1,[1]quests!$1:$1,0)-MATCH($B$1,[1]quests!$1:$1,0)+1),MATCH(E$1,[1]quests!$1:$1,0)-MATCH($B$1,[1]quests!$1:$1,0)+1,FALSE)</f>
        <v>【100万DL記念！】 初心者応援クエスト</v>
      </c>
      <c r="F3" s="5" t="str">
        <f ca="1">VLOOKUP($D3,OFFSET([1]stages!$A$1,0,0,COUNTA([1]stages!$A:$A),MATCH(F$1,[1]stages!$2:$2,0)-MATCH($D$1,[1]stages!$2:$2,0)+1),MATCH(F$1,[1]stages!$2:$2,0)-MATCH($D$1,[1]stages!$2:$2,0)+1,FALSE)</f>
        <v>メタルダックを捕獲せよ！ 【初級】</v>
      </c>
      <c r="G3" s="32">
        <v>1</v>
      </c>
      <c r="H3" s="20" t="str">
        <f t="shared" si="2"/>
        <v>11209_1-1</v>
      </c>
      <c r="I3" s="5">
        <f ca="1">VLOOKUP($H3,OFFSET(floors_beginners!$A$1,0,0,COUNTA(floors_beginners!$A:$A),MATCH(I$1,floors_beginners!$1:$1,0)-MATCH($H$1,floors_beginners!$1:$1,0)+1),MATCH(I$1,floors_beginners!$1:$1,0)-MATCH($H$1,floors_beginners!$1:$1,0)+1,FALSE)</f>
        <v>60</v>
      </c>
      <c r="J3" s="5">
        <f ca="1">VLOOKUP($H3,OFFSET(floors_beginners!$A$1,0,0,COUNTA(floors_beginners!$A:$A),MATCH(J$1,floors_beginners!$1:$1,0)-MATCH($H$1,floors_beginners!$1:$1,0)+1),MATCH(J$1,floors_beginners!$1:$1,0)-MATCH($H$1,floors_beginners!$1:$1,0)+1,FALSE)</f>
        <v>60</v>
      </c>
      <c r="K3" s="31">
        <v>336</v>
      </c>
      <c r="L3" s="26" t="str">
        <f ca="1">VLOOKUP($K3,OFFSET([2]enemies!$A$1,0,0,COUNTA([2]enemies!$A:$A),MATCH(L$1,[2]enemies!$2:$2,0)-MATCH($K$1,[2]enemies!$2:$2,0)+1),MATCH(L$1,[2]enemies!$2:$2,0)-MATCH($K$1,[2]enemies!$2:$2,0)+1,FALSE)</f>
        <v>森のメタルピヨピヨ</v>
      </c>
      <c r="M3" s="29" t="str">
        <f ca="1">VLOOKUP($K3,OFFSET([2]enemies!$A$1,0,0,COUNTA([2]enemies!$A:$A),MATCH(M$1,[2]enemies!$2:$2,0)-MATCH($K$1,[2]enemies!$2:$2,0)+1),MATCH(M$1,[2]enemies!$2:$2,0)-MATCH($K$1,[2]enemies!$2:$2,0)+1,FALSE)</f>
        <v>green</v>
      </c>
      <c r="N3" s="29" t="str">
        <f ca="1">VLOOKUP($K3,OFFSET([3]characters!$A$1,0,0,COUNTA([3]characters!$A:$A),MATCH(N$1,[3]characters!$2:$2,0)-MATCH($K$1,[3]characters!$2:$2,0)+1),MATCH(N$1,[3]characters!$2:$2,0)-MATCH($K$1,[3]characters!$2:$2,0)+1,FALSE)</f>
        <v>Material</v>
      </c>
      <c r="O3" s="28" t="str">
        <f ca="1">VLOOKUP($K3,OFFSET([3]characters!$A$1,0,0,COUNTA([3]characters!$A:$A),MATCH(O$1,[3]characters!$2:$2,0)-MATCH($K$1,[3]characters!$2:$2,0)+2),MATCH(O$1,[3]characters!$2:$2,0)-MATCH($K$1,[3]characters!$2:$2,0)+2,FALSE)</f>
        <v>Unknown</v>
      </c>
      <c r="P3" s="5">
        <f ca="1">VLOOKUP($K3,OFFSET([2]enemies!$A$1,0,0,COUNTA([2]enemies!$A:$A),MATCH(P$1,[2]enemies!$2:$2,0)-MATCH($K$1,[2]enemies!$2:$2,0)+1),MATCH(P$1,[2]enemies!$2:$2,0)-MATCH($K$1,[2]enemies!$2:$2,0)+1,FALSE)</f>
        <v>15</v>
      </c>
      <c r="Q3" s="6">
        <v>1</v>
      </c>
      <c r="R3" s="37">
        <v>1</v>
      </c>
      <c r="S3" s="37">
        <v>30</v>
      </c>
      <c r="T3" s="6">
        <v>0</v>
      </c>
      <c r="U3" s="5" t="str">
        <f ca="1">VLOOKUP($V3,OFFSET([4]enemy_skill_sets!$B$1,0,0,COUNTA([4]enemy_skill_sets!$B:$B),MATCH(L$1,[4]enemy_skill_sets!$1:$1,0)-MATCH($V$1,[4]enemy_skill_sets!$1:$1,0)+2),MATCH(L$1,[4]enemy_skill_sets!$1:$1,0)-MATCH($V$1,[4]enemy_skill_sets!$1:$1,0)+2,FALSE)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" s="5">
        <f ca="1">VLOOKUP($K3,OFFSET([2]enemies!$A$1,0,0,COUNTA([2]enemies!$A:$A),MATCH(V$1,[2]enemies!$2:$2,0)-MATCH($K$1,[2]enemies!$2:$2,0)+1),MATCH(V$1,[2]enemies!$2:$2,0)-MATCH($K$1,[2]enemies!$2:$2,0)+1,FALSE)</f>
        <v>0</v>
      </c>
      <c r="W3" s="7">
        <v>1</v>
      </c>
      <c r="X3" s="7">
        <v>100</v>
      </c>
      <c r="Y3" s="7">
        <v>0</v>
      </c>
      <c r="Z3" s="26">
        <f ca="1">VLOOKUP($K3,OFFSET([2]enemies!$A$1,0,0,COUNTA([2]enemies!$A:$A),MATCH(Z$1,[2]enemies!$2:$2,0)-MATCH($K$1,[2]enemies!$2:$2,0)+1),MATCH(Z$1,[2]enemies!$2:$2,0)-MATCH($K$1,[2]enemies!$2:$2,0)+1,FALSE)</f>
        <v>1</v>
      </c>
      <c r="AA3" s="2">
        <f t="shared" ref="AA3:AA52" si="4">K3</f>
        <v>336</v>
      </c>
      <c r="AB3" s="5" t="str">
        <f ca="1">IFERROR(VLOOKUP($AA3,OFFSET([3]characters!$A$1,0,0,COUNTA([3]characters!$A:$A),MATCH(AB$1,[3]characters!$2:$2,0)-MATCH("character_id",[3]characters!$2:$2,0)+1),MATCH(AB$1,[3]characters!$2:$2,0)-MATCH("character_id",[3]characters!$2:$2,0)+1,FALSE),"")</f>
        <v>森のメタルピヨピヨ</v>
      </c>
      <c r="AC3" s="5">
        <f ca="1">IFERROR(VLOOKUP($AA3,OFFSET([3]characters!$A$1,0,0,COUNTA([3]characters!$A:$A),MATCH(AC$1,[3]characters!$2:$2,0)-MATCH("character_id",[3]characters!$2:$2,0)+1),MATCH(AC$1,[3]characters!$2:$2,0)-MATCH("character_id",[3]characters!$2:$2,0)+1,FALSE),"")</f>
        <v>3</v>
      </c>
      <c r="AD3" s="5" t="str">
        <f ca="1">IFERROR(VLOOKUP($AA3,OFFSET([3]characters!$A$1,0,0,COUNTA([3]characters!$A:$A),MATCH(AD$1,[3]characters!$2:$2,0)-MATCH("character_id",[3]characters!$2:$2,0)+1),MATCH(AD$1,[3]characters!$2:$2,0)-MATCH("character_id",[3]characters!$2:$2,0)+1,FALSE),"")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" s="8">
        <v>1</v>
      </c>
      <c r="AF3" s="35">
        <f t="shared" ca="1" si="3"/>
        <v>3</v>
      </c>
      <c r="AG3" s="9">
        <v>100</v>
      </c>
      <c r="AH3" s="8">
        <v>0</v>
      </c>
      <c r="AI3" s="8">
        <v>0</v>
      </c>
      <c r="AJ3" s="8">
        <v>0</v>
      </c>
      <c r="AK3" s="8">
        <v>0</v>
      </c>
      <c r="AL3" s="8">
        <v>1</v>
      </c>
    </row>
    <row r="4" spans="1:38" ht="21" customHeight="1">
      <c r="A4" s="21" t="str">
        <f t="shared" ca="1" si="0"/>
        <v>11209_1-1/340&lt;lv1&gt;s1</v>
      </c>
      <c r="B4" s="33">
        <v>11209</v>
      </c>
      <c r="C4" s="32">
        <v>1</v>
      </c>
      <c r="D4" s="2" t="str">
        <f t="shared" si="1"/>
        <v>11209_1</v>
      </c>
      <c r="E4" s="5" t="str">
        <f ca="1">VLOOKUP($B4,OFFSET([1]quests!$A$1,0,0,COUNTA([1]quests!$A:$A),MATCH(E$1,[1]quests!$1:$1,0)-MATCH($B$1,[1]quests!$1:$1,0)+1),MATCH(E$1,[1]quests!$1:$1,0)-MATCH($B$1,[1]quests!$1:$1,0)+1,FALSE)</f>
        <v>【100万DL記念！】 初心者応援クエスト</v>
      </c>
      <c r="F4" s="5" t="str">
        <f ca="1">VLOOKUP($D4,OFFSET([1]stages!$A$1,0,0,COUNTA([1]stages!$A:$A),MATCH(F$1,[1]stages!$2:$2,0)-MATCH($D$1,[1]stages!$2:$2,0)+1),MATCH(F$1,[1]stages!$2:$2,0)-MATCH($D$1,[1]stages!$2:$2,0)+1,FALSE)</f>
        <v>メタルダックを捕獲せよ！ 【初級】</v>
      </c>
      <c r="G4" s="32">
        <v>1</v>
      </c>
      <c r="H4" s="20" t="str">
        <f t="shared" si="2"/>
        <v>11209_1-1</v>
      </c>
      <c r="I4" s="5">
        <f ca="1">VLOOKUP($H4,OFFSET(floors_beginners!$A$1,0,0,COUNTA(floors_beginners!$A:$A),MATCH(I$1,floors_beginners!$1:$1,0)-MATCH($H$1,floors_beginners!$1:$1,0)+1),MATCH(I$1,floors_beginners!$1:$1,0)-MATCH($H$1,floors_beginners!$1:$1,0)+1,FALSE)</f>
        <v>60</v>
      </c>
      <c r="J4" s="5">
        <f ca="1">VLOOKUP($H4,OFFSET(floors_beginners!$A$1,0,0,COUNTA(floors_beginners!$A:$A),MATCH(J$1,floors_beginners!$1:$1,0)-MATCH($H$1,floors_beginners!$1:$1,0)+1),MATCH(J$1,floors_beginners!$1:$1,0)-MATCH($H$1,floors_beginners!$1:$1,0)+1,FALSE)</f>
        <v>60</v>
      </c>
      <c r="K4" s="31">
        <v>340</v>
      </c>
      <c r="L4" s="26" t="str">
        <f ca="1">VLOOKUP($K4,OFFSET([2]enemies!$A$1,0,0,COUNTA([2]enemies!$A:$A),MATCH(L$1,[2]enemies!$2:$2,0)-MATCH($K$1,[2]enemies!$2:$2,0)+1),MATCH(L$1,[2]enemies!$2:$2,0)-MATCH($K$1,[2]enemies!$2:$2,0)+1,FALSE)</f>
        <v>水のメタルピヨピヨ</v>
      </c>
      <c r="M4" s="29" t="str">
        <f ca="1">VLOOKUP($K4,OFFSET([2]enemies!$A$1,0,0,COUNTA([2]enemies!$A:$A),MATCH(M$1,[2]enemies!$2:$2,0)-MATCH($K$1,[2]enemies!$2:$2,0)+1),MATCH(M$1,[2]enemies!$2:$2,0)-MATCH($K$1,[2]enemies!$2:$2,0)+1,FALSE)</f>
        <v>blue</v>
      </c>
      <c r="N4" s="29" t="str">
        <f ca="1">VLOOKUP($K4,OFFSET([3]characters!$A$1,0,0,COUNTA([3]characters!$A:$A),MATCH(N$1,[3]characters!$2:$2,0)-MATCH($K$1,[3]characters!$2:$2,0)+1),MATCH(N$1,[3]characters!$2:$2,0)-MATCH($K$1,[3]characters!$2:$2,0)+1,FALSE)</f>
        <v>Material</v>
      </c>
      <c r="O4" s="28" t="str">
        <f ca="1">VLOOKUP($K4,OFFSET([3]characters!$A$1,0,0,COUNTA([3]characters!$A:$A),MATCH(O$1,[3]characters!$2:$2,0)-MATCH($K$1,[3]characters!$2:$2,0)+2),MATCH(O$1,[3]characters!$2:$2,0)-MATCH($K$1,[3]characters!$2:$2,0)+2,FALSE)</f>
        <v>Unknown</v>
      </c>
      <c r="P4" s="5">
        <f ca="1">VLOOKUP($K4,OFFSET([2]enemies!$A$1,0,0,COUNTA([2]enemies!$A:$A),MATCH(P$1,[2]enemies!$2:$2,0)-MATCH($K$1,[2]enemies!$2:$2,0)+1),MATCH(P$1,[2]enemies!$2:$2,0)-MATCH($K$1,[2]enemies!$2:$2,0)+1,FALSE)</f>
        <v>15</v>
      </c>
      <c r="Q4" s="6">
        <v>1</v>
      </c>
      <c r="R4" s="37">
        <v>1</v>
      </c>
      <c r="S4" s="37">
        <v>30</v>
      </c>
      <c r="T4" s="6">
        <v>0</v>
      </c>
      <c r="U4" s="5" t="str">
        <f ca="1">VLOOKUP($V4,OFFSET([4]enemy_skill_sets!$B$1,0,0,COUNTA([4]enemy_skill_sets!$B:$B),MATCH(L$1,[4]enemy_skill_sets!$1:$1,0)-MATCH($V$1,[4]enemy_skill_sets!$1:$1,0)+2),MATCH(L$1,[4]enemy_skill_sets!$1:$1,0)-MATCH($V$1,[4]enemy_skill_sets!$1:$1,0)+2,FALSE)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" s="5">
        <f ca="1">VLOOKUP($K4,OFFSET([2]enemies!$A$1,0,0,COUNTA([2]enemies!$A:$A),MATCH(V$1,[2]enemies!$2:$2,0)-MATCH($K$1,[2]enemies!$2:$2,0)+1),MATCH(V$1,[2]enemies!$2:$2,0)-MATCH($K$1,[2]enemies!$2:$2,0)+1,FALSE)</f>
        <v>0</v>
      </c>
      <c r="W4" s="7">
        <v>1</v>
      </c>
      <c r="X4" s="7">
        <v>100</v>
      </c>
      <c r="Y4" s="7">
        <v>0</v>
      </c>
      <c r="Z4" s="26">
        <f ca="1">VLOOKUP($K4,OFFSET([2]enemies!$A$1,0,0,COUNTA([2]enemies!$A:$A),MATCH(Z$1,[2]enemies!$2:$2,0)-MATCH($K$1,[2]enemies!$2:$2,0)+1),MATCH(Z$1,[2]enemies!$2:$2,0)-MATCH($K$1,[2]enemies!$2:$2,0)+1,FALSE)</f>
        <v>1</v>
      </c>
      <c r="AA4" s="2">
        <f t="shared" si="4"/>
        <v>340</v>
      </c>
      <c r="AB4" s="5" t="str">
        <f ca="1">IFERROR(VLOOKUP($AA4,OFFSET([3]characters!$A$1,0,0,COUNTA([3]characters!$A:$A),MATCH(AB$1,[3]characters!$2:$2,0)-MATCH("character_id",[3]characters!$2:$2,0)+1),MATCH(AB$1,[3]characters!$2:$2,0)-MATCH("character_id",[3]characters!$2:$2,0)+1,FALSE),"")</f>
        <v>水のメタルピヨピヨ</v>
      </c>
      <c r="AC4" s="5">
        <f ca="1">IFERROR(VLOOKUP($AA4,OFFSET([3]characters!$A$1,0,0,COUNTA([3]characters!$A:$A),MATCH(AC$1,[3]characters!$2:$2,0)-MATCH("character_id",[3]characters!$2:$2,0)+1),MATCH(AC$1,[3]characters!$2:$2,0)-MATCH("character_id",[3]characters!$2:$2,0)+1,FALSE),"")</f>
        <v>3</v>
      </c>
      <c r="AD4" s="5" t="str">
        <f ca="1">IFERROR(VLOOKUP($AA4,OFFSET([3]characters!$A$1,0,0,COUNTA([3]characters!$A:$A),MATCH(AD$1,[3]characters!$2:$2,0)-MATCH("character_id",[3]characters!$2:$2,0)+1),MATCH(AD$1,[3]characters!$2:$2,0)-MATCH("character_id",[3]characters!$2:$2,0)+1,FALSE),"")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4" s="8">
        <v>1</v>
      </c>
      <c r="AF4" s="35">
        <f t="shared" ca="1" si="3"/>
        <v>3</v>
      </c>
      <c r="AG4" s="9">
        <v>100</v>
      </c>
      <c r="AH4" s="8">
        <v>0</v>
      </c>
      <c r="AI4" s="8">
        <v>0</v>
      </c>
      <c r="AJ4" s="8">
        <v>0</v>
      </c>
      <c r="AK4" s="8">
        <v>0</v>
      </c>
      <c r="AL4" s="8">
        <v>1</v>
      </c>
    </row>
    <row r="5" spans="1:38" ht="21" customHeight="1">
      <c r="A5" s="21" t="str">
        <f t="shared" ca="1" si="0"/>
        <v>11209_1-1/344&lt;lv1&gt;s1</v>
      </c>
      <c r="B5" s="33">
        <v>11209</v>
      </c>
      <c r="C5" s="32">
        <v>1</v>
      </c>
      <c r="D5" s="2" t="str">
        <f t="shared" si="1"/>
        <v>11209_1</v>
      </c>
      <c r="E5" s="5" t="str">
        <f ca="1">VLOOKUP($B5,OFFSET([1]quests!$A$1,0,0,COUNTA([1]quests!$A:$A),MATCH(E$1,[1]quests!$1:$1,0)-MATCH($B$1,[1]quests!$1:$1,0)+1),MATCH(E$1,[1]quests!$1:$1,0)-MATCH($B$1,[1]quests!$1:$1,0)+1,FALSE)</f>
        <v>【100万DL記念！】 初心者応援クエスト</v>
      </c>
      <c r="F5" s="5" t="str">
        <f ca="1">VLOOKUP($D5,OFFSET([1]stages!$A$1,0,0,COUNTA([1]stages!$A:$A),MATCH(F$1,[1]stages!$2:$2,0)-MATCH($D$1,[1]stages!$2:$2,0)+1),MATCH(F$1,[1]stages!$2:$2,0)-MATCH($D$1,[1]stages!$2:$2,0)+1,FALSE)</f>
        <v>メタルダックを捕獲せよ！ 【初級】</v>
      </c>
      <c r="G5" s="32">
        <v>1</v>
      </c>
      <c r="H5" s="20" t="str">
        <f t="shared" si="2"/>
        <v>11209_1-1</v>
      </c>
      <c r="I5" s="5">
        <f ca="1">VLOOKUP($H5,OFFSET(floors_beginners!$A$1,0,0,COUNTA(floors_beginners!$A:$A),MATCH(I$1,floors_beginners!$1:$1,0)-MATCH($H$1,floors_beginners!$1:$1,0)+1),MATCH(I$1,floors_beginners!$1:$1,0)-MATCH($H$1,floors_beginners!$1:$1,0)+1,FALSE)</f>
        <v>60</v>
      </c>
      <c r="J5" s="5">
        <f ca="1">VLOOKUP($H5,OFFSET(floors_beginners!$A$1,0,0,COUNTA(floors_beginners!$A:$A),MATCH(J$1,floors_beginners!$1:$1,0)-MATCH($H$1,floors_beginners!$1:$1,0)+1),MATCH(J$1,floors_beginners!$1:$1,0)-MATCH($H$1,floors_beginners!$1:$1,0)+1,FALSE)</f>
        <v>60</v>
      </c>
      <c r="K5" s="31">
        <v>344</v>
      </c>
      <c r="L5" s="26" t="str">
        <f ca="1">VLOOKUP($K5,OFFSET([2]enemies!$A$1,0,0,COUNTA([2]enemies!$A:$A),MATCH(L$1,[2]enemies!$2:$2,0)-MATCH($K$1,[2]enemies!$2:$2,0)+1),MATCH(L$1,[2]enemies!$2:$2,0)-MATCH($K$1,[2]enemies!$2:$2,0)+1,FALSE)</f>
        <v>雷のメタルピヨピヨ</v>
      </c>
      <c r="M5" s="29" t="str">
        <f ca="1">VLOOKUP($K5,OFFSET([2]enemies!$A$1,0,0,COUNTA([2]enemies!$A:$A),MATCH(M$1,[2]enemies!$2:$2,0)-MATCH($K$1,[2]enemies!$2:$2,0)+1),MATCH(M$1,[2]enemies!$2:$2,0)-MATCH($K$1,[2]enemies!$2:$2,0)+1,FALSE)</f>
        <v>yellow</v>
      </c>
      <c r="N5" s="29" t="str">
        <f ca="1">VLOOKUP($K5,OFFSET([3]characters!$A$1,0,0,COUNTA([3]characters!$A:$A),MATCH(N$1,[3]characters!$2:$2,0)-MATCH($K$1,[3]characters!$2:$2,0)+1),MATCH(N$1,[3]characters!$2:$2,0)-MATCH($K$1,[3]characters!$2:$2,0)+1,FALSE)</f>
        <v>Material</v>
      </c>
      <c r="O5" s="28" t="str">
        <f ca="1">VLOOKUP($K5,OFFSET([3]characters!$A$1,0,0,COUNTA([3]characters!$A:$A),MATCH(O$1,[3]characters!$2:$2,0)-MATCH($K$1,[3]characters!$2:$2,0)+2),MATCH(O$1,[3]characters!$2:$2,0)-MATCH($K$1,[3]characters!$2:$2,0)+2,FALSE)</f>
        <v>Unknown</v>
      </c>
      <c r="P5" s="5">
        <f ca="1">VLOOKUP($K5,OFFSET([2]enemies!$A$1,0,0,COUNTA([2]enemies!$A:$A),MATCH(P$1,[2]enemies!$2:$2,0)-MATCH($K$1,[2]enemies!$2:$2,0)+1),MATCH(P$1,[2]enemies!$2:$2,0)-MATCH($K$1,[2]enemies!$2:$2,0)+1,FALSE)</f>
        <v>15</v>
      </c>
      <c r="Q5" s="6">
        <v>1</v>
      </c>
      <c r="R5" s="37">
        <v>1</v>
      </c>
      <c r="S5" s="37">
        <v>30</v>
      </c>
      <c r="T5" s="6">
        <v>0</v>
      </c>
      <c r="U5" s="5" t="str">
        <f ca="1">VLOOKUP($V5,OFFSET([4]enemy_skill_sets!$B$1,0,0,COUNTA([4]enemy_skill_sets!$B:$B),MATCH(L$1,[4]enemy_skill_sets!$1:$1,0)-MATCH($V$1,[4]enemy_skill_sets!$1:$1,0)+2),MATCH(L$1,[4]enemy_skill_sets!$1:$1,0)-MATCH($V$1,[4]enemy_skill_sets!$1:$1,0)+2,FALSE)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5" s="5">
        <f ca="1">VLOOKUP($K5,OFFSET([2]enemies!$A$1,0,0,COUNTA([2]enemies!$A:$A),MATCH(V$1,[2]enemies!$2:$2,0)-MATCH($K$1,[2]enemies!$2:$2,0)+1),MATCH(V$1,[2]enemies!$2:$2,0)-MATCH($K$1,[2]enemies!$2:$2,0)+1,FALSE)</f>
        <v>0</v>
      </c>
      <c r="W5" s="7">
        <v>1</v>
      </c>
      <c r="X5" s="7">
        <v>100</v>
      </c>
      <c r="Y5" s="7">
        <v>0</v>
      </c>
      <c r="Z5" s="26">
        <f ca="1">VLOOKUP($K5,OFFSET([2]enemies!$A$1,0,0,COUNTA([2]enemies!$A:$A),MATCH(Z$1,[2]enemies!$2:$2,0)-MATCH($K$1,[2]enemies!$2:$2,0)+1),MATCH(Z$1,[2]enemies!$2:$2,0)-MATCH($K$1,[2]enemies!$2:$2,0)+1,FALSE)</f>
        <v>1</v>
      </c>
      <c r="AA5" s="2">
        <f t="shared" si="4"/>
        <v>344</v>
      </c>
      <c r="AB5" s="5" t="str">
        <f ca="1">IFERROR(VLOOKUP($AA5,OFFSET([3]characters!$A$1,0,0,COUNTA([3]characters!$A:$A),MATCH(AB$1,[3]characters!$2:$2,0)-MATCH("character_id",[3]characters!$2:$2,0)+1),MATCH(AB$1,[3]characters!$2:$2,0)-MATCH("character_id",[3]characters!$2:$2,0)+1,FALSE),"")</f>
        <v>雷のメタルピヨピヨ</v>
      </c>
      <c r="AC5" s="5">
        <f ca="1">IFERROR(VLOOKUP($AA5,OFFSET([3]characters!$A$1,0,0,COUNTA([3]characters!$A:$A),MATCH(AC$1,[3]characters!$2:$2,0)-MATCH("character_id",[3]characters!$2:$2,0)+1),MATCH(AC$1,[3]characters!$2:$2,0)-MATCH("character_id",[3]characters!$2:$2,0)+1,FALSE),"")</f>
        <v>3</v>
      </c>
      <c r="AD5" s="5" t="str">
        <f ca="1">IFERROR(VLOOKUP($AA5,OFFSET([3]characters!$A$1,0,0,COUNTA([3]characters!$A:$A),MATCH(AD$1,[3]characters!$2:$2,0)-MATCH("character_id",[3]characters!$2:$2,0)+1),MATCH(AD$1,[3]characters!$2:$2,0)-MATCH("character_id",[3]characters!$2:$2,0)+1,FALSE),"")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5" s="8">
        <v>1</v>
      </c>
      <c r="AF5" s="35">
        <f t="shared" ca="1" si="3"/>
        <v>3</v>
      </c>
      <c r="AG5" s="9">
        <v>100</v>
      </c>
      <c r="AH5" s="8">
        <v>0</v>
      </c>
      <c r="AI5" s="8">
        <v>0</v>
      </c>
      <c r="AJ5" s="8">
        <v>0</v>
      </c>
      <c r="AK5" s="8">
        <v>0</v>
      </c>
      <c r="AL5" s="8">
        <v>1</v>
      </c>
    </row>
    <row r="6" spans="1:38" ht="21" customHeight="1">
      <c r="A6" s="21" t="str">
        <f t="shared" ref="A6:A13" ca="1" si="5">B6&amp;"_"&amp;C6&amp;"-"&amp;G6&amp;"/"&amp;K6&amp;"&lt;lv"&amp;Q6&amp;"&gt;s"&amp;Z6</f>
        <v>11209_1-2/332&lt;lv1&gt;s1</v>
      </c>
      <c r="B6" s="33">
        <v>11209</v>
      </c>
      <c r="C6" s="32">
        <v>1</v>
      </c>
      <c r="D6" s="2" t="str">
        <f t="shared" ref="D6:D13" si="6">B6&amp;"_"&amp;C6</f>
        <v>11209_1</v>
      </c>
      <c r="E6" s="5" t="str">
        <f ca="1">VLOOKUP($B6,OFFSET([1]quests!$A$1,0,0,COUNTA([1]quests!$A:$A),MATCH(E$1,[1]quests!$1:$1,0)-MATCH($B$1,[1]quests!$1:$1,0)+1),MATCH(E$1,[1]quests!$1:$1,0)-MATCH($B$1,[1]quests!$1:$1,0)+1,FALSE)</f>
        <v>【100万DL記念！】 初心者応援クエスト</v>
      </c>
      <c r="F6" s="5" t="str">
        <f ca="1">VLOOKUP($D6,OFFSET([1]stages!$A$1,0,0,COUNTA([1]stages!$A:$A),MATCH(F$1,[1]stages!$2:$2,0)-MATCH($D$1,[1]stages!$2:$2,0)+1),MATCH(F$1,[1]stages!$2:$2,0)-MATCH($D$1,[1]stages!$2:$2,0)+1,FALSE)</f>
        <v>メタルダックを捕獲せよ！ 【初級】</v>
      </c>
      <c r="G6" s="32">
        <v>2</v>
      </c>
      <c r="H6" s="20" t="str">
        <f t="shared" ref="H6:H13" si="7">B6&amp;"_"&amp;C6&amp;"-"&amp;G6</f>
        <v>11209_1-2</v>
      </c>
      <c r="I6" s="5">
        <f ca="1">VLOOKUP($H6,OFFSET(floors_beginners!$A$1,0,0,COUNTA(floors_beginners!$A:$A),MATCH(I$1,floors_beginners!$1:$1,0)-MATCH($H$1,floors_beginners!$1:$1,0)+1),MATCH(I$1,floors_beginners!$1:$1,0)-MATCH($H$1,floors_beginners!$1:$1,0)+1,FALSE)</f>
        <v>60</v>
      </c>
      <c r="J6" s="5">
        <f ca="1">VLOOKUP($H6,OFFSET(floors_beginners!$A$1,0,0,COUNTA(floors_beginners!$A:$A),MATCH(J$1,floors_beginners!$1:$1,0)-MATCH($H$1,floors_beginners!$1:$1,0)+1),MATCH(J$1,floors_beginners!$1:$1,0)-MATCH($H$1,floors_beginners!$1:$1,0)+1,FALSE)</f>
        <v>60</v>
      </c>
      <c r="K6" s="31">
        <v>332</v>
      </c>
      <c r="L6" s="26" t="str">
        <f ca="1">VLOOKUP($K6,OFFSET([2]enemies!$A$1,0,0,COUNTA([2]enemies!$A:$A),MATCH(L$1,[2]enemies!$2:$2,0)-MATCH($K$1,[2]enemies!$2:$2,0)+1),MATCH(L$1,[2]enemies!$2:$2,0)-MATCH($K$1,[2]enemies!$2:$2,0)+1,FALSE)</f>
        <v>炎のメタルピヨピヨ</v>
      </c>
      <c r="M6" s="29" t="str">
        <f ca="1">VLOOKUP($K6,OFFSET([2]enemies!$A$1,0,0,COUNTA([2]enemies!$A:$A),MATCH(M$1,[2]enemies!$2:$2,0)-MATCH($K$1,[2]enemies!$2:$2,0)+1),MATCH(M$1,[2]enemies!$2:$2,0)-MATCH($K$1,[2]enemies!$2:$2,0)+1,FALSE)</f>
        <v>red</v>
      </c>
      <c r="N6" s="29" t="str">
        <f ca="1">VLOOKUP($K6,OFFSET([3]characters!$A$1,0,0,COUNTA([3]characters!$A:$A),MATCH(N$1,[3]characters!$2:$2,0)-MATCH($K$1,[3]characters!$2:$2,0)+1),MATCH(N$1,[3]characters!$2:$2,0)-MATCH($K$1,[3]characters!$2:$2,0)+1,FALSE)</f>
        <v>Material</v>
      </c>
      <c r="O6" s="28" t="str">
        <f ca="1">VLOOKUP($K6,OFFSET([3]characters!$A$1,0,0,COUNTA([3]characters!$A:$A),MATCH(O$1,[3]characters!$2:$2,0)-MATCH($K$1,[3]characters!$2:$2,0)+2),MATCH(O$1,[3]characters!$2:$2,0)-MATCH($K$1,[3]characters!$2:$2,0)+2,FALSE)</f>
        <v>Unknown</v>
      </c>
      <c r="P6" s="5">
        <f ca="1">VLOOKUP($K6,OFFSET([2]enemies!$A$1,0,0,COUNTA([2]enemies!$A:$A),MATCH(P$1,[2]enemies!$2:$2,0)-MATCH($K$1,[2]enemies!$2:$2,0)+1),MATCH(P$1,[2]enemies!$2:$2,0)-MATCH($K$1,[2]enemies!$2:$2,0)+1,FALSE)</f>
        <v>15</v>
      </c>
      <c r="Q6" s="6">
        <v>1</v>
      </c>
      <c r="R6" s="37">
        <v>1</v>
      </c>
      <c r="S6" s="37">
        <v>30</v>
      </c>
      <c r="T6" s="6">
        <v>0</v>
      </c>
      <c r="U6" s="5" t="str">
        <f ca="1">VLOOKUP($V6,OFFSET([4]enemy_skill_sets!$B$1,0,0,COUNTA([4]enemy_skill_sets!$B:$B),MATCH(L$1,[4]enemy_skill_sets!$1:$1,0)-MATCH($V$1,[4]enemy_skill_sets!$1:$1,0)+2),MATCH(L$1,[4]enemy_skill_sets!$1:$1,0)-MATCH($V$1,[4]enemy_skill_sets!$1:$1,0)+2,FALSE)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6" s="5">
        <f ca="1">VLOOKUP($K6,OFFSET([2]enemies!$A$1,0,0,COUNTA([2]enemies!$A:$A),MATCH(V$1,[2]enemies!$2:$2,0)-MATCH($K$1,[2]enemies!$2:$2,0)+1),MATCH(V$1,[2]enemies!$2:$2,0)-MATCH($K$1,[2]enemies!$2:$2,0)+1,FALSE)</f>
        <v>0</v>
      </c>
      <c r="W6" s="7">
        <v>0</v>
      </c>
      <c r="X6" s="7">
        <v>100</v>
      </c>
      <c r="Y6" s="7">
        <v>0</v>
      </c>
      <c r="Z6" s="26">
        <f ca="1">VLOOKUP($K6,OFFSET([2]enemies!$A$1,0,0,COUNTA([2]enemies!$A:$A),MATCH(Z$1,[2]enemies!$2:$2,0)-MATCH($K$1,[2]enemies!$2:$2,0)+1),MATCH(Z$1,[2]enemies!$2:$2,0)-MATCH($K$1,[2]enemies!$2:$2,0)+1,FALSE)</f>
        <v>1</v>
      </c>
      <c r="AA6" s="2">
        <f t="shared" si="4"/>
        <v>332</v>
      </c>
      <c r="AB6" s="5" t="str">
        <f ca="1">IFERROR(VLOOKUP($AA6,OFFSET([3]characters!$A$1,0,0,COUNTA([3]characters!$A:$A),MATCH(AB$1,[3]characters!$2:$2,0)-MATCH("character_id",[3]characters!$2:$2,0)+1),MATCH(AB$1,[3]characters!$2:$2,0)-MATCH("character_id",[3]characters!$2:$2,0)+1,FALSE),"")</f>
        <v>炎のメタルピヨピヨ</v>
      </c>
      <c r="AC6" s="5">
        <f ca="1">IFERROR(VLOOKUP($AA6,OFFSET([3]characters!$A$1,0,0,COUNTA([3]characters!$A:$A),MATCH(AC$1,[3]characters!$2:$2,0)-MATCH("character_id",[3]characters!$2:$2,0)+1),MATCH(AC$1,[3]characters!$2:$2,0)-MATCH("character_id",[3]characters!$2:$2,0)+1,FALSE),"")</f>
        <v>3</v>
      </c>
      <c r="AD6" s="5" t="str">
        <f ca="1">IFERROR(VLOOKUP($AA6,OFFSET([3]characters!$A$1,0,0,COUNTA([3]characters!$A:$A),MATCH(AD$1,[3]characters!$2:$2,0)-MATCH("character_id",[3]characters!$2:$2,0)+1),MATCH(AD$1,[3]characters!$2:$2,0)-MATCH("character_id",[3]characters!$2:$2,0)+1,FALSE),"")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6" s="8">
        <v>1</v>
      </c>
      <c r="AF6" s="35">
        <f t="shared" ref="AF6:AF13" ca="1" si="8">AC6</f>
        <v>3</v>
      </c>
      <c r="AG6" s="9">
        <v>100</v>
      </c>
      <c r="AH6" s="8">
        <v>0</v>
      </c>
      <c r="AI6" s="8">
        <v>0</v>
      </c>
      <c r="AJ6" s="8">
        <v>0</v>
      </c>
      <c r="AK6" s="8">
        <v>0</v>
      </c>
      <c r="AL6" s="8">
        <v>1</v>
      </c>
    </row>
    <row r="7" spans="1:38" ht="21" customHeight="1">
      <c r="A7" s="21" t="str">
        <f t="shared" ca="1" si="5"/>
        <v>11209_1-2/336&lt;lv1&gt;s1</v>
      </c>
      <c r="B7" s="33">
        <v>11209</v>
      </c>
      <c r="C7" s="32">
        <v>1</v>
      </c>
      <c r="D7" s="2" t="str">
        <f t="shared" si="6"/>
        <v>11209_1</v>
      </c>
      <c r="E7" s="5" t="str">
        <f ca="1">VLOOKUP($B7,OFFSET([1]quests!$A$1,0,0,COUNTA([1]quests!$A:$A),MATCH(E$1,[1]quests!$1:$1,0)-MATCH($B$1,[1]quests!$1:$1,0)+1),MATCH(E$1,[1]quests!$1:$1,0)-MATCH($B$1,[1]quests!$1:$1,0)+1,FALSE)</f>
        <v>【100万DL記念！】 初心者応援クエスト</v>
      </c>
      <c r="F7" s="5" t="str">
        <f ca="1">VLOOKUP($D7,OFFSET([1]stages!$A$1,0,0,COUNTA([1]stages!$A:$A),MATCH(F$1,[1]stages!$2:$2,0)-MATCH($D$1,[1]stages!$2:$2,0)+1),MATCH(F$1,[1]stages!$2:$2,0)-MATCH($D$1,[1]stages!$2:$2,0)+1,FALSE)</f>
        <v>メタルダックを捕獲せよ！ 【初級】</v>
      </c>
      <c r="G7" s="32">
        <v>2</v>
      </c>
      <c r="H7" s="20" t="str">
        <f t="shared" si="7"/>
        <v>11209_1-2</v>
      </c>
      <c r="I7" s="5">
        <f ca="1">VLOOKUP($H7,OFFSET(floors_beginners!$A$1,0,0,COUNTA(floors_beginners!$A:$A),MATCH(I$1,floors_beginners!$1:$1,0)-MATCH($H$1,floors_beginners!$1:$1,0)+1),MATCH(I$1,floors_beginners!$1:$1,0)-MATCH($H$1,floors_beginners!$1:$1,0)+1,FALSE)</f>
        <v>60</v>
      </c>
      <c r="J7" s="5">
        <f ca="1">VLOOKUP($H7,OFFSET(floors_beginners!$A$1,0,0,COUNTA(floors_beginners!$A:$A),MATCH(J$1,floors_beginners!$1:$1,0)-MATCH($H$1,floors_beginners!$1:$1,0)+1),MATCH(J$1,floors_beginners!$1:$1,0)-MATCH($H$1,floors_beginners!$1:$1,0)+1,FALSE)</f>
        <v>60</v>
      </c>
      <c r="K7" s="31">
        <v>336</v>
      </c>
      <c r="L7" s="26" t="str">
        <f ca="1">VLOOKUP($K7,OFFSET([2]enemies!$A$1,0,0,COUNTA([2]enemies!$A:$A),MATCH(L$1,[2]enemies!$2:$2,0)-MATCH($K$1,[2]enemies!$2:$2,0)+1),MATCH(L$1,[2]enemies!$2:$2,0)-MATCH($K$1,[2]enemies!$2:$2,0)+1,FALSE)</f>
        <v>森のメタルピヨピヨ</v>
      </c>
      <c r="M7" s="29" t="str">
        <f ca="1">VLOOKUP($K7,OFFSET([2]enemies!$A$1,0,0,COUNTA([2]enemies!$A:$A),MATCH(M$1,[2]enemies!$2:$2,0)-MATCH($K$1,[2]enemies!$2:$2,0)+1),MATCH(M$1,[2]enemies!$2:$2,0)-MATCH($K$1,[2]enemies!$2:$2,0)+1,FALSE)</f>
        <v>green</v>
      </c>
      <c r="N7" s="29" t="str">
        <f ca="1">VLOOKUP($K7,OFFSET([3]characters!$A$1,0,0,COUNTA([3]characters!$A:$A),MATCH(N$1,[3]characters!$2:$2,0)-MATCH($K$1,[3]characters!$2:$2,0)+1),MATCH(N$1,[3]characters!$2:$2,0)-MATCH($K$1,[3]characters!$2:$2,0)+1,FALSE)</f>
        <v>Material</v>
      </c>
      <c r="O7" s="28" t="str">
        <f ca="1">VLOOKUP($K7,OFFSET([3]characters!$A$1,0,0,COUNTA([3]characters!$A:$A),MATCH(O$1,[3]characters!$2:$2,0)-MATCH($K$1,[3]characters!$2:$2,0)+2),MATCH(O$1,[3]characters!$2:$2,0)-MATCH($K$1,[3]characters!$2:$2,0)+2,FALSE)</f>
        <v>Unknown</v>
      </c>
      <c r="P7" s="5">
        <f ca="1">VLOOKUP($K7,OFFSET([2]enemies!$A$1,0,0,COUNTA([2]enemies!$A:$A),MATCH(P$1,[2]enemies!$2:$2,0)-MATCH($K$1,[2]enemies!$2:$2,0)+1),MATCH(P$1,[2]enemies!$2:$2,0)-MATCH($K$1,[2]enemies!$2:$2,0)+1,FALSE)</f>
        <v>15</v>
      </c>
      <c r="Q7" s="6">
        <v>1</v>
      </c>
      <c r="R7" s="37">
        <v>1</v>
      </c>
      <c r="S7" s="37">
        <v>30</v>
      </c>
      <c r="T7" s="6">
        <v>0</v>
      </c>
      <c r="U7" s="5" t="str">
        <f ca="1">VLOOKUP($V7,OFFSET([4]enemy_skill_sets!$B$1,0,0,COUNTA([4]enemy_skill_sets!$B:$B),MATCH(L$1,[4]enemy_skill_sets!$1:$1,0)-MATCH($V$1,[4]enemy_skill_sets!$1:$1,0)+2),MATCH(L$1,[4]enemy_skill_sets!$1:$1,0)-MATCH($V$1,[4]enemy_skill_sets!$1:$1,0)+2,FALSE)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7" s="5">
        <f ca="1">VLOOKUP($K7,OFFSET([2]enemies!$A$1,0,0,COUNTA([2]enemies!$A:$A),MATCH(V$1,[2]enemies!$2:$2,0)-MATCH($K$1,[2]enemies!$2:$2,0)+1),MATCH(V$1,[2]enemies!$2:$2,0)-MATCH($K$1,[2]enemies!$2:$2,0)+1,FALSE)</f>
        <v>0</v>
      </c>
      <c r="W7" s="7">
        <v>0</v>
      </c>
      <c r="X7" s="7">
        <v>100</v>
      </c>
      <c r="Y7" s="7">
        <v>0</v>
      </c>
      <c r="Z7" s="26">
        <f ca="1">VLOOKUP($K7,OFFSET([2]enemies!$A$1,0,0,COUNTA([2]enemies!$A:$A),MATCH(Z$1,[2]enemies!$2:$2,0)-MATCH($K$1,[2]enemies!$2:$2,0)+1),MATCH(Z$1,[2]enemies!$2:$2,0)-MATCH($K$1,[2]enemies!$2:$2,0)+1,FALSE)</f>
        <v>1</v>
      </c>
      <c r="AA7" s="2">
        <f t="shared" si="4"/>
        <v>336</v>
      </c>
      <c r="AB7" s="5" t="str">
        <f ca="1">IFERROR(VLOOKUP($AA7,OFFSET([3]characters!$A$1,0,0,COUNTA([3]characters!$A:$A),MATCH(AB$1,[3]characters!$2:$2,0)-MATCH("character_id",[3]characters!$2:$2,0)+1),MATCH(AB$1,[3]characters!$2:$2,0)-MATCH("character_id",[3]characters!$2:$2,0)+1,FALSE),"")</f>
        <v>森のメタルピヨピヨ</v>
      </c>
      <c r="AC7" s="5">
        <f ca="1">IFERROR(VLOOKUP($AA7,OFFSET([3]characters!$A$1,0,0,COUNTA([3]characters!$A:$A),MATCH(AC$1,[3]characters!$2:$2,0)-MATCH("character_id",[3]characters!$2:$2,0)+1),MATCH(AC$1,[3]characters!$2:$2,0)-MATCH("character_id",[3]characters!$2:$2,0)+1,FALSE),"")</f>
        <v>3</v>
      </c>
      <c r="AD7" s="5" t="str">
        <f ca="1">IFERROR(VLOOKUP($AA7,OFFSET([3]characters!$A$1,0,0,COUNTA([3]characters!$A:$A),MATCH(AD$1,[3]characters!$2:$2,0)-MATCH("character_id",[3]characters!$2:$2,0)+1),MATCH(AD$1,[3]characters!$2:$2,0)-MATCH("character_id",[3]characters!$2:$2,0)+1,FALSE),"")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7" s="8">
        <v>1</v>
      </c>
      <c r="AF7" s="35">
        <f t="shared" ca="1" si="8"/>
        <v>3</v>
      </c>
      <c r="AG7" s="9">
        <v>100</v>
      </c>
      <c r="AH7" s="8">
        <v>0</v>
      </c>
      <c r="AI7" s="8">
        <v>0</v>
      </c>
      <c r="AJ7" s="8">
        <v>0</v>
      </c>
      <c r="AK7" s="8">
        <v>0</v>
      </c>
      <c r="AL7" s="8">
        <v>1</v>
      </c>
    </row>
    <row r="8" spans="1:38" ht="21" customHeight="1">
      <c r="A8" s="21" t="str">
        <f t="shared" ca="1" si="5"/>
        <v>11209_1-2/340&lt;lv1&gt;s1</v>
      </c>
      <c r="B8" s="33">
        <v>11209</v>
      </c>
      <c r="C8" s="32">
        <v>1</v>
      </c>
      <c r="D8" s="2" t="str">
        <f t="shared" si="6"/>
        <v>11209_1</v>
      </c>
      <c r="E8" s="5" t="str">
        <f ca="1">VLOOKUP($B8,OFFSET([1]quests!$A$1,0,0,COUNTA([1]quests!$A:$A),MATCH(E$1,[1]quests!$1:$1,0)-MATCH($B$1,[1]quests!$1:$1,0)+1),MATCH(E$1,[1]quests!$1:$1,0)-MATCH($B$1,[1]quests!$1:$1,0)+1,FALSE)</f>
        <v>【100万DL記念！】 初心者応援クエスト</v>
      </c>
      <c r="F8" s="5" t="str">
        <f ca="1">VLOOKUP($D8,OFFSET([1]stages!$A$1,0,0,COUNTA([1]stages!$A:$A),MATCH(F$1,[1]stages!$2:$2,0)-MATCH($D$1,[1]stages!$2:$2,0)+1),MATCH(F$1,[1]stages!$2:$2,0)-MATCH($D$1,[1]stages!$2:$2,0)+1,FALSE)</f>
        <v>メタルダックを捕獲せよ！ 【初級】</v>
      </c>
      <c r="G8" s="32">
        <v>2</v>
      </c>
      <c r="H8" s="20" t="str">
        <f t="shared" si="7"/>
        <v>11209_1-2</v>
      </c>
      <c r="I8" s="5">
        <f ca="1">VLOOKUP($H8,OFFSET(floors_beginners!$A$1,0,0,COUNTA(floors_beginners!$A:$A),MATCH(I$1,floors_beginners!$1:$1,0)-MATCH($H$1,floors_beginners!$1:$1,0)+1),MATCH(I$1,floors_beginners!$1:$1,0)-MATCH($H$1,floors_beginners!$1:$1,0)+1,FALSE)</f>
        <v>60</v>
      </c>
      <c r="J8" s="5">
        <f ca="1">VLOOKUP($H8,OFFSET(floors_beginners!$A$1,0,0,COUNTA(floors_beginners!$A:$A),MATCH(J$1,floors_beginners!$1:$1,0)-MATCH($H$1,floors_beginners!$1:$1,0)+1),MATCH(J$1,floors_beginners!$1:$1,0)-MATCH($H$1,floors_beginners!$1:$1,0)+1,FALSE)</f>
        <v>60</v>
      </c>
      <c r="K8" s="31">
        <v>340</v>
      </c>
      <c r="L8" s="26" t="str">
        <f ca="1">VLOOKUP($K8,OFFSET([2]enemies!$A$1,0,0,COUNTA([2]enemies!$A:$A),MATCH(L$1,[2]enemies!$2:$2,0)-MATCH($K$1,[2]enemies!$2:$2,0)+1),MATCH(L$1,[2]enemies!$2:$2,0)-MATCH($K$1,[2]enemies!$2:$2,0)+1,FALSE)</f>
        <v>水のメタルピヨピヨ</v>
      </c>
      <c r="M8" s="29" t="str">
        <f ca="1">VLOOKUP($K8,OFFSET([2]enemies!$A$1,0,0,COUNTA([2]enemies!$A:$A),MATCH(M$1,[2]enemies!$2:$2,0)-MATCH($K$1,[2]enemies!$2:$2,0)+1),MATCH(M$1,[2]enemies!$2:$2,0)-MATCH($K$1,[2]enemies!$2:$2,0)+1,FALSE)</f>
        <v>blue</v>
      </c>
      <c r="N8" s="29" t="str">
        <f ca="1">VLOOKUP($K8,OFFSET([3]characters!$A$1,0,0,COUNTA([3]characters!$A:$A),MATCH(N$1,[3]characters!$2:$2,0)-MATCH($K$1,[3]characters!$2:$2,0)+1),MATCH(N$1,[3]characters!$2:$2,0)-MATCH($K$1,[3]characters!$2:$2,0)+1,FALSE)</f>
        <v>Material</v>
      </c>
      <c r="O8" s="28" t="str">
        <f ca="1">VLOOKUP($K8,OFFSET([3]characters!$A$1,0,0,COUNTA([3]characters!$A:$A),MATCH(O$1,[3]characters!$2:$2,0)-MATCH($K$1,[3]characters!$2:$2,0)+2),MATCH(O$1,[3]characters!$2:$2,0)-MATCH($K$1,[3]characters!$2:$2,0)+2,FALSE)</f>
        <v>Unknown</v>
      </c>
      <c r="P8" s="5">
        <f ca="1">VLOOKUP($K8,OFFSET([2]enemies!$A$1,0,0,COUNTA([2]enemies!$A:$A),MATCH(P$1,[2]enemies!$2:$2,0)-MATCH($K$1,[2]enemies!$2:$2,0)+1),MATCH(P$1,[2]enemies!$2:$2,0)-MATCH($K$1,[2]enemies!$2:$2,0)+1,FALSE)</f>
        <v>15</v>
      </c>
      <c r="Q8" s="6">
        <v>1</v>
      </c>
      <c r="R8" s="37">
        <v>1</v>
      </c>
      <c r="S8" s="37">
        <v>30</v>
      </c>
      <c r="T8" s="6">
        <v>0</v>
      </c>
      <c r="U8" s="5" t="str">
        <f ca="1">VLOOKUP($V8,OFFSET([4]enemy_skill_sets!$B$1,0,0,COUNTA([4]enemy_skill_sets!$B:$B),MATCH(L$1,[4]enemy_skill_sets!$1:$1,0)-MATCH($V$1,[4]enemy_skill_sets!$1:$1,0)+2),MATCH(L$1,[4]enemy_skill_sets!$1:$1,0)-MATCH($V$1,[4]enemy_skill_sets!$1:$1,0)+2,FALSE)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8" s="5">
        <f ca="1">VLOOKUP($K8,OFFSET([2]enemies!$A$1,0,0,COUNTA([2]enemies!$A:$A),MATCH(V$1,[2]enemies!$2:$2,0)-MATCH($K$1,[2]enemies!$2:$2,0)+1),MATCH(V$1,[2]enemies!$2:$2,0)-MATCH($K$1,[2]enemies!$2:$2,0)+1,FALSE)</f>
        <v>0</v>
      </c>
      <c r="W8" s="7">
        <v>0</v>
      </c>
      <c r="X8" s="7">
        <v>100</v>
      </c>
      <c r="Y8" s="7">
        <v>0</v>
      </c>
      <c r="Z8" s="26">
        <f ca="1">VLOOKUP($K8,OFFSET([2]enemies!$A$1,0,0,COUNTA([2]enemies!$A:$A),MATCH(Z$1,[2]enemies!$2:$2,0)-MATCH($K$1,[2]enemies!$2:$2,0)+1),MATCH(Z$1,[2]enemies!$2:$2,0)-MATCH($K$1,[2]enemies!$2:$2,0)+1,FALSE)</f>
        <v>1</v>
      </c>
      <c r="AA8" s="2">
        <f t="shared" si="4"/>
        <v>340</v>
      </c>
      <c r="AB8" s="5" t="str">
        <f ca="1">IFERROR(VLOOKUP($AA8,OFFSET([3]characters!$A$1,0,0,COUNTA([3]characters!$A:$A),MATCH(AB$1,[3]characters!$2:$2,0)-MATCH("character_id",[3]characters!$2:$2,0)+1),MATCH(AB$1,[3]characters!$2:$2,0)-MATCH("character_id",[3]characters!$2:$2,0)+1,FALSE),"")</f>
        <v>水のメタルピヨピヨ</v>
      </c>
      <c r="AC8" s="5">
        <f ca="1">IFERROR(VLOOKUP($AA8,OFFSET([3]characters!$A$1,0,0,COUNTA([3]characters!$A:$A),MATCH(AC$1,[3]characters!$2:$2,0)-MATCH("character_id",[3]characters!$2:$2,0)+1),MATCH(AC$1,[3]characters!$2:$2,0)-MATCH("character_id",[3]characters!$2:$2,0)+1,FALSE),"")</f>
        <v>3</v>
      </c>
      <c r="AD8" s="5" t="str">
        <f ca="1">IFERROR(VLOOKUP($AA8,OFFSET([3]characters!$A$1,0,0,COUNTA([3]characters!$A:$A),MATCH(AD$1,[3]characters!$2:$2,0)-MATCH("character_id",[3]characters!$2:$2,0)+1),MATCH(AD$1,[3]characters!$2:$2,0)-MATCH("character_id",[3]characters!$2:$2,0)+1,FALSE),"")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8" s="8">
        <v>1</v>
      </c>
      <c r="AF8" s="35">
        <f t="shared" ca="1" si="8"/>
        <v>3</v>
      </c>
      <c r="AG8" s="9">
        <v>100</v>
      </c>
      <c r="AH8" s="8">
        <v>0</v>
      </c>
      <c r="AI8" s="8">
        <v>0</v>
      </c>
      <c r="AJ8" s="8">
        <v>0</v>
      </c>
      <c r="AK8" s="8">
        <v>0</v>
      </c>
      <c r="AL8" s="8">
        <v>1</v>
      </c>
    </row>
    <row r="9" spans="1:38" ht="21" customHeight="1">
      <c r="A9" s="21" t="str">
        <f t="shared" ca="1" si="5"/>
        <v>11209_1-2/344&lt;lv1&gt;s1</v>
      </c>
      <c r="B9" s="33">
        <v>11209</v>
      </c>
      <c r="C9" s="32">
        <v>1</v>
      </c>
      <c r="D9" s="2" t="str">
        <f t="shared" si="6"/>
        <v>11209_1</v>
      </c>
      <c r="E9" s="5" t="str">
        <f ca="1">VLOOKUP($B9,OFFSET([1]quests!$A$1,0,0,COUNTA([1]quests!$A:$A),MATCH(E$1,[1]quests!$1:$1,0)-MATCH($B$1,[1]quests!$1:$1,0)+1),MATCH(E$1,[1]quests!$1:$1,0)-MATCH($B$1,[1]quests!$1:$1,0)+1,FALSE)</f>
        <v>【100万DL記念！】 初心者応援クエスト</v>
      </c>
      <c r="F9" s="5" t="str">
        <f ca="1">VLOOKUP($D9,OFFSET([1]stages!$A$1,0,0,COUNTA([1]stages!$A:$A),MATCH(F$1,[1]stages!$2:$2,0)-MATCH($D$1,[1]stages!$2:$2,0)+1),MATCH(F$1,[1]stages!$2:$2,0)-MATCH($D$1,[1]stages!$2:$2,0)+1,FALSE)</f>
        <v>メタルダックを捕獲せよ！ 【初級】</v>
      </c>
      <c r="G9" s="32">
        <v>2</v>
      </c>
      <c r="H9" s="20" t="str">
        <f t="shared" si="7"/>
        <v>11209_1-2</v>
      </c>
      <c r="I9" s="5">
        <f ca="1">VLOOKUP($H9,OFFSET(floors_beginners!$A$1,0,0,COUNTA(floors_beginners!$A:$A),MATCH(I$1,floors_beginners!$1:$1,0)-MATCH($H$1,floors_beginners!$1:$1,0)+1),MATCH(I$1,floors_beginners!$1:$1,0)-MATCH($H$1,floors_beginners!$1:$1,0)+1,FALSE)</f>
        <v>60</v>
      </c>
      <c r="J9" s="5">
        <f ca="1">VLOOKUP($H9,OFFSET(floors_beginners!$A$1,0,0,COUNTA(floors_beginners!$A:$A),MATCH(J$1,floors_beginners!$1:$1,0)-MATCH($H$1,floors_beginners!$1:$1,0)+1),MATCH(J$1,floors_beginners!$1:$1,0)-MATCH($H$1,floors_beginners!$1:$1,0)+1,FALSE)</f>
        <v>60</v>
      </c>
      <c r="K9" s="31">
        <v>344</v>
      </c>
      <c r="L9" s="26" t="str">
        <f ca="1">VLOOKUP($K9,OFFSET([2]enemies!$A$1,0,0,COUNTA([2]enemies!$A:$A),MATCH(L$1,[2]enemies!$2:$2,0)-MATCH($K$1,[2]enemies!$2:$2,0)+1),MATCH(L$1,[2]enemies!$2:$2,0)-MATCH($K$1,[2]enemies!$2:$2,0)+1,FALSE)</f>
        <v>雷のメタルピヨピヨ</v>
      </c>
      <c r="M9" s="29" t="str">
        <f ca="1">VLOOKUP($K9,OFFSET([2]enemies!$A$1,0,0,COUNTA([2]enemies!$A:$A),MATCH(M$1,[2]enemies!$2:$2,0)-MATCH($K$1,[2]enemies!$2:$2,0)+1),MATCH(M$1,[2]enemies!$2:$2,0)-MATCH($K$1,[2]enemies!$2:$2,0)+1,FALSE)</f>
        <v>yellow</v>
      </c>
      <c r="N9" s="29" t="str">
        <f ca="1">VLOOKUP($K9,OFFSET([3]characters!$A$1,0,0,COUNTA([3]characters!$A:$A),MATCH(N$1,[3]characters!$2:$2,0)-MATCH($K$1,[3]characters!$2:$2,0)+1),MATCH(N$1,[3]characters!$2:$2,0)-MATCH($K$1,[3]characters!$2:$2,0)+1,FALSE)</f>
        <v>Material</v>
      </c>
      <c r="O9" s="28" t="str">
        <f ca="1">VLOOKUP($K9,OFFSET([3]characters!$A$1,0,0,COUNTA([3]characters!$A:$A),MATCH(O$1,[3]characters!$2:$2,0)-MATCH($K$1,[3]characters!$2:$2,0)+2),MATCH(O$1,[3]characters!$2:$2,0)-MATCH($K$1,[3]characters!$2:$2,0)+2,FALSE)</f>
        <v>Unknown</v>
      </c>
      <c r="P9" s="5">
        <f ca="1">VLOOKUP($K9,OFFSET([2]enemies!$A$1,0,0,COUNTA([2]enemies!$A:$A),MATCH(P$1,[2]enemies!$2:$2,0)-MATCH($K$1,[2]enemies!$2:$2,0)+1),MATCH(P$1,[2]enemies!$2:$2,0)-MATCH($K$1,[2]enemies!$2:$2,0)+1,FALSE)</f>
        <v>15</v>
      </c>
      <c r="Q9" s="6">
        <v>1</v>
      </c>
      <c r="R9" s="37">
        <v>1</v>
      </c>
      <c r="S9" s="37">
        <v>30</v>
      </c>
      <c r="T9" s="6">
        <v>0</v>
      </c>
      <c r="U9" s="5" t="str">
        <f ca="1">VLOOKUP($V9,OFFSET([4]enemy_skill_sets!$B$1,0,0,COUNTA([4]enemy_skill_sets!$B:$B),MATCH(L$1,[4]enemy_skill_sets!$1:$1,0)-MATCH($V$1,[4]enemy_skill_sets!$1:$1,0)+2),MATCH(L$1,[4]enemy_skill_sets!$1:$1,0)-MATCH($V$1,[4]enemy_skill_sets!$1:$1,0)+2,FALSE)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9" s="5">
        <f ca="1">VLOOKUP($K9,OFFSET([2]enemies!$A$1,0,0,COUNTA([2]enemies!$A:$A),MATCH(V$1,[2]enemies!$2:$2,0)-MATCH($K$1,[2]enemies!$2:$2,0)+1),MATCH(V$1,[2]enemies!$2:$2,0)-MATCH($K$1,[2]enemies!$2:$2,0)+1,FALSE)</f>
        <v>0</v>
      </c>
      <c r="W9" s="7">
        <v>0</v>
      </c>
      <c r="X9" s="7">
        <v>100</v>
      </c>
      <c r="Y9" s="7">
        <v>0</v>
      </c>
      <c r="Z9" s="26">
        <f ca="1">VLOOKUP($K9,OFFSET([2]enemies!$A$1,0,0,COUNTA([2]enemies!$A:$A),MATCH(Z$1,[2]enemies!$2:$2,0)-MATCH($K$1,[2]enemies!$2:$2,0)+1),MATCH(Z$1,[2]enemies!$2:$2,0)-MATCH($K$1,[2]enemies!$2:$2,0)+1,FALSE)</f>
        <v>1</v>
      </c>
      <c r="AA9" s="2">
        <f t="shared" si="4"/>
        <v>344</v>
      </c>
      <c r="AB9" s="5" t="str">
        <f ca="1">IFERROR(VLOOKUP($AA9,OFFSET([3]characters!$A$1,0,0,COUNTA([3]characters!$A:$A),MATCH(AB$1,[3]characters!$2:$2,0)-MATCH("character_id",[3]characters!$2:$2,0)+1),MATCH(AB$1,[3]characters!$2:$2,0)-MATCH("character_id",[3]characters!$2:$2,0)+1,FALSE),"")</f>
        <v>雷のメタルピヨピヨ</v>
      </c>
      <c r="AC9" s="5">
        <f ca="1">IFERROR(VLOOKUP($AA9,OFFSET([3]characters!$A$1,0,0,COUNTA([3]characters!$A:$A),MATCH(AC$1,[3]characters!$2:$2,0)-MATCH("character_id",[3]characters!$2:$2,0)+1),MATCH(AC$1,[3]characters!$2:$2,0)-MATCH("character_id",[3]characters!$2:$2,0)+1,FALSE),"")</f>
        <v>3</v>
      </c>
      <c r="AD9" s="5" t="str">
        <f ca="1">IFERROR(VLOOKUP($AA9,OFFSET([3]characters!$A$1,0,0,COUNTA([3]characters!$A:$A),MATCH(AD$1,[3]characters!$2:$2,0)-MATCH("character_id",[3]characters!$2:$2,0)+1),MATCH(AD$1,[3]characters!$2:$2,0)-MATCH("character_id",[3]characters!$2:$2,0)+1,FALSE),"")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9" s="8">
        <v>1</v>
      </c>
      <c r="AF9" s="35">
        <f t="shared" ca="1" si="8"/>
        <v>3</v>
      </c>
      <c r="AG9" s="9">
        <v>100</v>
      </c>
      <c r="AH9" s="8">
        <v>0</v>
      </c>
      <c r="AI9" s="8">
        <v>0</v>
      </c>
      <c r="AJ9" s="8">
        <v>0</v>
      </c>
      <c r="AK9" s="8">
        <v>0</v>
      </c>
      <c r="AL9" s="8">
        <v>1</v>
      </c>
    </row>
    <row r="10" spans="1:38" ht="21" customHeight="1">
      <c r="A10" s="21" t="str">
        <f t="shared" ca="1" si="5"/>
        <v>11209_1-2/333&lt;lv1&gt;s2</v>
      </c>
      <c r="B10" s="33">
        <v>11209</v>
      </c>
      <c r="C10" s="32">
        <v>1</v>
      </c>
      <c r="D10" s="2" t="str">
        <f t="shared" si="6"/>
        <v>11209_1</v>
      </c>
      <c r="E10" s="5" t="str">
        <f ca="1">VLOOKUP($B10,OFFSET([1]quests!$A$1,0,0,COUNTA([1]quests!$A:$A),MATCH(E$1,[1]quests!$1:$1,0)-MATCH($B$1,[1]quests!$1:$1,0)+1),MATCH(E$1,[1]quests!$1:$1,0)-MATCH($B$1,[1]quests!$1:$1,0)+1,FALSE)</f>
        <v>【100万DL記念！】 初心者応援クエスト</v>
      </c>
      <c r="F10" s="5" t="str">
        <f ca="1">VLOOKUP($D10,OFFSET([1]stages!$A$1,0,0,COUNTA([1]stages!$A:$A),MATCH(F$1,[1]stages!$2:$2,0)-MATCH($D$1,[1]stages!$2:$2,0)+1),MATCH(F$1,[1]stages!$2:$2,0)-MATCH($D$1,[1]stages!$2:$2,0)+1,FALSE)</f>
        <v>メタルダックを捕獲せよ！ 【初級】</v>
      </c>
      <c r="G10" s="32">
        <v>2</v>
      </c>
      <c r="H10" s="20" t="str">
        <f t="shared" si="7"/>
        <v>11209_1-2</v>
      </c>
      <c r="I10" s="5">
        <f ca="1">VLOOKUP($H10,OFFSET(floors_beginners!$A$1,0,0,COUNTA(floors_beginners!$A:$A),MATCH(I$1,floors_beginners!$1:$1,0)-MATCH($H$1,floors_beginners!$1:$1,0)+1),MATCH(I$1,floors_beginners!$1:$1,0)-MATCH($H$1,floors_beginners!$1:$1,0)+1,FALSE)</f>
        <v>60</v>
      </c>
      <c r="J10" s="5">
        <f ca="1">VLOOKUP($H10,OFFSET(floors_beginners!$A$1,0,0,COUNTA(floors_beginners!$A:$A),MATCH(J$1,floors_beginners!$1:$1,0)-MATCH($H$1,floors_beginners!$1:$1,0)+1),MATCH(J$1,floors_beginners!$1:$1,0)-MATCH($H$1,floors_beginners!$1:$1,0)+1,FALSE)</f>
        <v>60</v>
      </c>
      <c r="K10" s="31">
        <v>333</v>
      </c>
      <c r="L10" s="26" t="str">
        <f ca="1">VLOOKUP($K10,OFFSET([2]enemies!$A$1,0,0,COUNTA([2]enemies!$A:$A),MATCH(L$1,[2]enemies!$2:$2,0)-MATCH($K$1,[2]enemies!$2:$2,0)+1),MATCH(L$1,[2]enemies!$2:$2,0)-MATCH($K$1,[2]enemies!$2:$2,0)+1,FALSE)</f>
        <v>炎のメタルチック</v>
      </c>
      <c r="M10" s="29" t="str">
        <f ca="1">VLOOKUP($K10,OFFSET([2]enemies!$A$1,0,0,COUNTA([2]enemies!$A:$A),MATCH(M$1,[2]enemies!$2:$2,0)-MATCH($K$1,[2]enemies!$2:$2,0)+1),MATCH(M$1,[2]enemies!$2:$2,0)-MATCH($K$1,[2]enemies!$2:$2,0)+1,FALSE)</f>
        <v>red</v>
      </c>
      <c r="N10" s="29" t="str">
        <f ca="1">VLOOKUP($K10,OFFSET([3]characters!$A$1,0,0,COUNTA([3]characters!$A:$A),MATCH(N$1,[3]characters!$2:$2,0)-MATCH($K$1,[3]characters!$2:$2,0)+1),MATCH(N$1,[3]characters!$2:$2,0)-MATCH($K$1,[3]characters!$2:$2,0)+1,FALSE)</f>
        <v>Material</v>
      </c>
      <c r="O10" s="28" t="str">
        <f ca="1">VLOOKUP($K10,OFFSET([3]characters!$A$1,0,0,COUNTA([3]characters!$A:$A),MATCH(O$1,[3]characters!$2:$2,0)-MATCH($K$1,[3]characters!$2:$2,0)+2),MATCH(O$1,[3]characters!$2:$2,0)-MATCH($K$1,[3]characters!$2:$2,0)+2,FALSE)</f>
        <v>Unknown</v>
      </c>
      <c r="P10" s="5">
        <f ca="1">VLOOKUP($K10,OFFSET([2]enemies!$A$1,0,0,COUNTA([2]enemies!$A:$A),MATCH(P$1,[2]enemies!$2:$2,0)-MATCH($K$1,[2]enemies!$2:$2,0)+1),MATCH(P$1,[2]enemies!$2:$2,0)-MATCH($K$1,[2]enemies!$2:$2,0)+1,FALSE)</f>
        <v>15</v>
      </c>
      <c r="Q10" s="6">
        <v>1</v>
      </c>
      <c r="R10" s="37">
        <v>1</v>
      </c>
      <c r="S10" s="37">
        <v>30</v>
      </c>
      <c r="T10" s="6">
        <v>-1000</v>
      </c>
      <c r="U10" s="5" t="str">
        <f ca="1">VLOOKUP($V10,OFFSET([4]enemy_skill_sets!$B$1,0,0,COUNTA([4]enemy_skill_sets!$B:$B),MATCH(L$1,[4]enemy_skill_sets!$1:$1,0)-MATCH($V$1,[4]enemy_skill_sets!$1:$1,0)+2),MATCH(L$1,[4]enemy_skill_sets!$1:$1,0)-MATCH($V$1,[4]enemy_skill_sets!$1:$1,0)+2,FALSE)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0" s="5">
        <f ca="1">VLOOKUP($K10,OFFSET([2]enemies!$A$1,0,0,COUNTA([2]enemies!$A:$A),MATCH(V$1,[2]enemies!$2:$2,0)-MATCH($K$1,[2]enemies!$2:$2,0)+1),MATCH(V$1,[2]enemies!$2:$2,0)-MATCH($K$1,[2]enemies!$2:$2,0)+1,FALSE)</f>
        <v>0</v>
      </c>
      <c r="W10" s="7">
        <v>0</v>
      </c>
      <c r="X10" s="7">
        <v>25</v>
      </c>
      <c r="Y10" s="7">
        <v>0</v>
      </c>
      <c r="Z10" s="26">
        <f ca="1">VLOOKUP($K10,OFFSET([2]enemies!$A$1,0,0,COUNTA([2]enemies!$A:$A),MATCH(Z$1,[2]enemies!$2:$2,0)-MATCH($K$1,[2]enemies!$2:$2,0)+1),MATCH(Z$1,[2]enemies!$2:$2,0)-MATCH($K$1,[2]enemies!$2:$2,0)+1,FALSE)</f>
        <v>2</v>
      </c>
      <c r="AA10" s="2">
        <f t="shared" si="4"/>
        <v>333</v>
      </c>
      <c r="AB10" s="5" t="str">
        <f ca="1">IFERROR(VLOOKUP($AA10,OFFSET([3]characters!$A$1,0,0,COUNTA([3]characters!$A:$A),MATCH(AB$1,[3]characters!$2:$2,0)-MATCH("character_id",[3]characters!$2:$2,0)+1),MATCH(AB$1,[3]characters!$2:$2,0)-MATCH("character_id",[3]characters!$2:$2,0)+1,FALSE),"")</f>
        <v>炎のメタルチック</v>
      </c>
      <c r="AC10" s="5">
        <f ca="1">IFERROR(VLOOKUP($AA10,OFFSET([3]characters!$A$1,0,0,COUNTA([3]characters!$A:$A),MATCH(AC$1,[3]characters!$2:$2,0)-MATCH("character_id",[3]characters!$2:$2,0)+1),MATCH(AC$1,[3]characters!$2:$2,0)-MATCH("character_id",[3]characters!$2:$2,0)+1,FALSE),"")</f>
        <v>4</v>
      </c>
      <c r="AD10" s="5" t="str">
        <f ca="1">IFERROR(VLOOKUP($AA10,OFFSET([3]characters!$A$1,0,0,COUNTA([3]characters!$A:$A),MATCH(AD$1,[3]characters!$2:$2,0)-MATCH("character_id",[3]characters!$2:$2,0)+1),MATCH(AD$1,[3]characters!$2:$2,0)-MATCH("character_id",[3]characters!$2:$2,0)+1,FALSE),"")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0" s="8">
        <v>1</v>
      </c>
      <c r="AF10" s="35">
        <f t="shared" ca="1" si="8"/>
        <v>4</v>
      </c>
      <c r="AG10" s="9">
        <v>10</v>
      </c>
      <c r="AH10" s="8">
        <v>0</v>
      </c>
      <c r="AI10" s="8">
        <v>0</v>
      </c>
      <c r="AJ10" s="8">
        <v>0</v>
      </c>
      <c r="AK10" s="8">
        <v>0</v>
      </c>
      <c r="AL10" s="8">
        <v>1</v>
      </c>
    </row>
    <row r="11" spans="1:38" ht="21" customHeight="1">
      <c r="A11" s="21" t="str">
        <f t="shared" ca="1" si="5"/>
        <v>11209_1-2/337&lt;lv1&gt;s2</v>
      </c>
      <c r="B11" s="33">
        <v>11209</v>
      </c>
      <c r="C11" s="32">
        <v>1</v>
      </c>
      <c r="D11" s="2" t="str">
        <f t="shared" si="6"/>
        <v>11209_1</v>
      </c>
      <c r="E11" s="5" t="str">
        <f ca="1">VLOOKUP($B11,OFFSET([1]quests!$A$1,0,0,COUNTA([1]quests!$A:$A),MATCH(E$1,[1]quests!$1:$1,0)-MATCH($B$1,[1]quests!$1:$1,0)+1),MATCH(E$1,[1]quests!$1:$1,0)-MATCH($B$1,[1]quests!$1:$1,0)+1,FALSE)</f>
        <v>【100万DL記念！】 初心者応援クエスト</v>
      </c>
      <c r="F11" s="5" t="str">
        <f ca="1">VLOOKUP($D11,OFFSET([1]stages!$A$1,0,0,COUNTA([1]stages!$A:$A),MATCH(F$1,[1]stages!$2:$2,0)-MATCH($D$1,[1]stages!$2:$2,0)+1),MATCH(F$1,[1]stages!$2:$2,0)-MATCH($D$1,[1]stages!$2:$2,0)+1,FALSE)</f>
        <v>メタルダックを捕獲せよ！ 【初級】</v>
      </c>
      <c r="G11" s="32">
        <v>2</v>
      </c>
      <c r="H11" s="20" t="str">
        <f t="shared" si="7"/>
        <v>11209_1-2</v>
      </c>
      <c r="I11" s="5">
        <f ca="1">VLOOKUP($H11,OFFSET(floors_beginners!$A$1,0,0,COUNTA(floors_beginners!$A:$A),MATCH(I$1,floors_beginners!$1:$1,0)-MATCH($H$1,floors_beginners!$1:$1,0)+1),MATCH(I$1,floors_beginners!$1:$1,0)-MATCH($H$1,floors_beginners!$1:$1,0)+1,FALSE)</f>
        <v>60</v>
      </c>
      <c r="J11" s="5">
        <f ca="1">VLOOKUP($H11,OFFSET(floors_beginners!$A$1,0,0,COUNTA(floors_beginners!$A:$A),MATCH(J$1,floors_beginners!$1:$1,0)-MATCH($H$1,floors_beginners!$1:$1,0)+1),MATCH(J$1,floors_beginners!$1:$1,0)-MATCH($H$1,floors_beginners!$1:$1,0)+1,FALSE)</f>
        <v>60</v>
      </c>
      <c r="K11" s="31">
        <v>337</v>
      </c>
      <c r="L11" s="26" t="str">
        <f ca="1">VLOOKUP($K11,OFFSET([2]enemies!$A$1,0,0,COUNTA([2]enemies!$A:$A),MATCH(L$1,[2]enemies!$2:$2,0)-MATCH($K$1,[2]enemies!$2:$2,0)+1),MATCH(L$1,[2]enemies!$2:$2,0)-MATCH($K$1,[2]enemies!$2:$2,0)+1,FALSE)</f>
        <v>森のメタルチック</v>
      </c>
      <c r="M11" s="29" t="str">
        <f ca="1">VLOOKUP($K11,OFFSET([2]enemies!$A$1,0,0,COUNTA([2]enemies!$A:$A),MATCH(M$1,[2]enemies!$2:$2,0)-MATCH($K$1,[2]enemies!$2:$2,0)+1),MATCH(M$1,[2]enemies!$2:$2,0)-MATCH($K$1,[2]enemies!$2:$2,0)+1,FALSE)</f>
        <v>green</v>
      </c>
      <c r="N11" s="29" t="str">
        <f ca="1">VLOOKUP($K11,OFFSET([3]characters!$A$1,0,0,COUNTA([3]characters!$A:$A),MATCH(N$1,[3]characters!$2:$2,0)-MATCH($K$1,[3]characters!$2:$2,0)+1),MATCH(N$1,[3]characters!$2:$2,0)-MATCH($K$1,[3]characters!$2:$2,0)+1,FALSE)</f>
        <v>Material</v>
      </c>
      <c r="O11" s="28" t="str">
        <f ca="1">VLOOKUP($K11,OFFSET([3]characters!$A$1,0,0,COUNTA([3]characters!$A:$A),MATCH(O$1,[3]characters!$2:$2,0)-MATCH($K$1,[3]characters!$2:$2,0)+2),MATCH(O$1,[3]characters!$2:$2,0)-MATCH($K$1,[3]characters!$2:$2,0)+2,FALSE)</f>
        <v>Unknown</v>
      </c>
      <c r="P11" s="5">
        <f ca="1">VLOOKUP($K11,OFFSET([2]enemies!$A$1,0,0,COUNTA([2]enemies!$A:$A),MATCH(P$1,[2]enemies!$2:$2,0)-MATCH($K$1,[2]enemies!$2:$2,0)+1),MATCH(P$1,[2]enemies!$2:$2,0)-MATCH($K$1,[2]enemies!$2:$2,0)+1,FALSE)</f>
        <v>15</v>
      </c>
      <c r="Q11" s="6">
        <v>1</v>
      </c>
      <c r="R11" s="37">
        <v>1</v>
      </c>
      <c r="S11" s="37">
        <v>30</v>
      </c>
      <c r="T11" s="6">
        <v>-1000</v>
      </c>
      <c r="U11" s="5" t="str">
        <f ca="1">VLOOKUP($V11,OFFSET([4]enemy_skill_sets!$B$1,0,0,COUNTA([4]enemy_skill_sets!$B:$B),MATCH(L$1,[4]enemy_skill_sets!$1:$1,0)-MATCH($V$1,[4]enemy_skill_sets!$1:$1,0)+2),MATCH(L$1,[4]enemy_skill_sets!$1:$1,0)-MATCH($V$1,[4]enemy_skill_sets!$1:$1,0)+2,FALSE)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1" s="5">
        <f ca="1">VLOOKUP($K11,OFFSET([2]enemies!$A$1,0,0,COUNTA([2]enemies!$A:$A),MATCH(V$1,[2]enemies!$2:$2,0)-MATCH($K$1,[2]enemies!$2:$2,0)+1),MATCH(V$1,[2]enemies!$2:$2,0)-MATCH($K$1,[2]enemies!$2:$2,0)+1,FALSE)</f>
        <v>0</v>
      </c>
      <c r="W11" s="7">
        <v>0</v>
      </c>
      <c r="X11" s="7">
        <v>25</v>
      </c>
      <c r="Y11" s="7">
        <v>0</v>
      </c>
      <c r="Z11" s="26">
        <f ca="1">VLOOKUP($K11,OFFSET([2]enemies!$A$1,0,0,COUNTA([2]enemies!$A:$A),MATCH(Z$1,[2]enemies!$2:$2,0)-MATCH($K$1,[2]enemies!$2:$2,0)+1),MATCH(Z$1,[2]enemies!$2:$2,0)-MATCH($K$1,[2]enemies!$2:$2,0)+1,FALSE)</f>
        <v>2</v>
      </c>
      <c r="AA11" s="2">
        <f t="shared" si="4"/>
        <v>337</v>
      </c>
      <c r="AB11" s="5" t="str">
        <f ca="1">IFERROR(VLOOKUP($AA11,OFFSET([3]characters!$A$1,0,0,COUNTA([3]characters!$A:$A),MATCH(AB$1,[3]characters!$2:$2,0)-MATCH("character_id",[3]characters!$2:$2,0)+1),MATCH(AB$1,[3]characters!$2:$2,0)-MATCH("character_id",[3]characters!$2:$2,0)+1,FALSE),"")</f>
        <v>森のメタルチック</v>
      </c>
      <c r="AC11" s="5">
        <f ca="1">IFERROR(VLOOKUP($AA11,OFFSET([3]characters!$A$1,0,0,COUNTA([3]characters!$A:$A),MATCH(AC$1,[3]characters!$2:$2,0)-MATCH("character_id",[3]characters!$2:$2,0)+1),MATCH(AC$1,[3]characters!$2:$2,0)-MATCH("character_id",[3]characters!$2:$2,0)+1,FALSE),"")</f>
        <v>4</v>
      </c>
      <c r="AD11" s="5" t="str">
        <f ca="1">IFERROR(VLOOKUP($AA11,OFFSET([3]characters!$A$1,0,0,COUNTA([3]characters!$A:$A),MATCH(AD$1,[3]characters!$2:$2,0)-MATCH("character_id",[3]characters!$2:$2,0)+1),MATCH(AD$1,[3]characters!$2:$2,0)-MATCH("character_id",[3]characters!$2:$2,0)+1,FALSE),"")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1" s="8">
        <v>1</v>
      </c>
      <c r="AF11" s="35">
        <f t="shared" ca="1" si="8"/>
        <v>4</v>
      </c>
      <c r="AG11" s="9">
        <v>10</v>
      </c>
      <c r="AH11" s="8">
        <v>0</v>
      </c>
      <c r="AI11" s="8">
        <v>0</v>
      </c>
      <c r="AJ11" s="8">
        <v>0</v>
      </c>
      <c r="AK11" s="8">
        <v>0</v>
      </c>
      <c r="AL11" s="8">
        <v>1</v>
      </c>
    </row>
    <row r="12" spans="1:38" ht="21" customHeight="1">
      <c r="A12" s="21" t="str">
        <f t="shared" ca="1" si="5"/>
        <v>11209_1-2/341&lt;lv1&gt;s2</v>
      </c>
      <c r="B12" s="33">
        <v>11209</v>
      </c>
      <c r="C12" s="32">
        <v>1</v>
      </c>
      <c r="D12" s="2" t="str">
        <f t="shared" si="6"/>
        <v>11209_1</v>
      </c>
      <c r="E12" s="5" t="str">
        <f ca="1">VLOOKUP($B12,OFFSET([1]quests!$A$1,0,0,COUNTA([1]quests!$A:$A),MATCH(E$1,[1]quests!$1:$1,0)-MATCH($B$1,[1]quests!$1:$1,0)+1),MATCH(E$1,[1]quests!$1:$1,0)-MATCH($B$1,[1]quests!$1:$1,0)+1,FALSE)</f>
        <v>【100万DL記念！】 初心者応援クエスト</v>
      </c>
      <c r="F12" s="5" t="str">
        <f ca="1">VLOOKUP($D12,OFFSET([1]stages!$A$1,0,0,COUNTA([1]stages!$A:$A),MATCH(F$1,[1]stages!$2:$2,0)-MATCH($D$1,[1]stages!$2:$2,0)+1),MATCH(F$1,[1]stages!$2:$2,0)-MATCH($D$1,[1]stages!$2:$2,0)+1,FALSE)</f>
        <v>メタルダックを捕獲せよ！ 【初級】</v>
      </c>
      <c r="G12" s="32">
        <v>2</v>
      </c>
      <c r="H12" s="20" t="str">
        <f t="shared" si="7"/>
        <v>11209_1-2</v>
      </c>
      <c r="I12" s="5">
        <f ca="1">VLOOKUP($H12,OFFSET(floors_beginners!$A$1,0,0,COUNTA(floors_beginners!$A:$A),MATCH(I$1,floors_beginners!$1:$1,0)-MATCH($H$1,floors_beginners!$1:$1,0)+1),MATCH(I$1,floors_beginners!$1:$1,0)-MATCH($H$1,floors_beginners!$1:$1,0)+1,FALSE)</f>
        <v>60</v>
      </c>
      <c r="J12" s="5">
        <f ca="1">VLOOKUP($H12,OFFSET(floors_beginners!$A$1,0,0,COUNTA(floors_beginners!$A:$A),MATCH(J$1,floors_beginners!$1:$1,0)-MATCH($H$1,floors_beginners!$1:$1,0)+1),MATCH(J$1,floors_beginners!$1:$1,0)-MATCH($H$1,floors_beginners!$1:$1,0)+1,FALSE)</f>
        <v>60</v>
      </c>
      <c r="K12" s="31">
        <v>341</v>
      </c>
      <c r="L12" s="26" t="str">
        <f ca="1">VLOOKUP($K12,OFFSET([2]enemies!$A$1,0,0,COUNTA([2]enemies!$A:$A),MATCH(L$1,[2]enemies!$2:$2,0)-MATCH($K$1,[2]enemies!$2:$2,0)+1),MATCH(L$1,[2]enemies!$2:$2,0)-MATCH($K$1,[2]enemies!$2:$2,0)+1,FALSE)</f>
        <v>水のメタルチック</v>
      </c>
      <c r="M12" s="29" t="str">
        <f ca="1">VLOOKUP($K12,OFFSET([2]enemies!$A$1,0,0,COUNTA([2]enemies!$A:$A),MATCH(M$1,[2]enemies!$2:$2,0)-MATCH($K$1,[2]enemies!$2:$2,0)+1),MATCH(M$1,[2]enemies!$2:$2,0)-MATCH($K$1,[2]enemies!$2:$2,0)+1,FALSE)</f>
        <v>blue</v>
      </c>
      <c r="N12" s="29" t="str">
        <f ca="1">VLOOKUP($K12,OFFSET([3]characters!$A$1,0,0,COUNTA([3]characters!$A:$A),MATCH(N$1,[3]characters!$2:$2,0)-MATCH($K$1,[3]characters!$2:$2,0)+1),MATCH(N$1,[3]characters!$2:$2,0)-MATCH($K$1,[3]characters!$2:$2,0)+1,FALSE)</f>
        <v>Material</v>
      </c>
      <c r="O12" s="28" t="str">
        <f ca="1">VLOOKUP($K12,OFFSET([3]characters!$A$1,0,0,COUNTA([3]characters!$A:$A),MATCH(O$1,[3]characters!$2:$2,0)-MATCH($K$1,[3]characters!$2:$2,0)+2),MATCH(O$1,[3]characters!$2:$2,0)-MATCH($K$1,[3]characters!$2:$2,0)+2,FALSE)</f>
        <v>Unknown</v>
      </c>
      <c r="P12" s="5">
        <f ca="1">VLOOKUP($K12,OFFSET([2]enemies!$A$1,0,0,COUNTA([2]enemies!$A:$A),MATCH(P$1,[2]enemies!$2:$2,0)-MATCH($K$1,[2]enemies!$2:$2,0)+1),MATCH(P$1,[2]enemies!$2:$2,0)-MATCH($K$1,[2]enemies!$2:$2,0)+1,FALSE)</f>
        <v>15</v>
      </c>
      <c r="Q12" s="6">
        <v>1</v>
      </c>
      <c r="R12" s="37">
        <v>1</v>
      </c>
      <c r="S12" s="37">
        <v>30</v>
      </c>
      <c r="T12" s="6">
        <v>-1000</v>
      </c>
      <c r="U12" s="5" t="str">
        <f ca="1">VLOOKUP($V12,OFFSET([4]enemy_skill_sets!$B$1,0,0,COUNTA([4]enemy_skill_sets!$B:$B),MATCH(L$1,[4]enemy_skill_sets!$1:$1,0)-MATCH($V$1,[4]enemy_skill_sets!$1:$1,0)+2),MATCH(L$1,[4]enemy_skill_sets!$1:$1,0)-MATCH($V$1,[4]enemy_skill_sets!$1:$1,0)+2,FALSE)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2" s="5">
        <f ca="1">VLOOKUP($K12,OFFSET([2]enemies!$A$1,0,0,COUNTA([2]enemies!$A:$A),MATCH(V$1,[2]enemies!$2:$2,0)-MATCH($K$1,[2]enemies!$2:$2,0)+1),MATCH(V$1,[2]enemies!$2:$2,0)-MATCH($K$1,[2]enemies!$2:$2,0)+1,FALSE)</f>
        <v>0</v>
      </c>
      <c r="W12" s="7">
        <v>0</v>
      </c>
      <c r="X12" s="7">
        <v>25</v>
      </c>
      <c r="Y12" s="7">
        <v>0</v>
      </c>
      <c r="Z12" s="26">
        <f ca="1">VLOOKUP($K12,OFFSET([2]enemies!$A$1,0,0,COUNTA([2]enemies!$A:$A),MATCH(Z$1,[2]enemies!$2:$2,0)-MATCH($K$1,[2]enemies!$2:$2,0)+1),MATCH(Z$1,[2]enemies!$2:$2,0)-MATCH($K$1,[2]enemies!$2:$2,0)+1,FALSE)</f>
        <v>2</v>
      </c>
      <c r="AA12" s="2">
        <f t="shared" si="4"/>
        <v>341</v>
      </c>
      <c r="AB12" s="5" t="str">
        <f ca="1">IFERROR(VLOOKUP($AA12,OFFSET([3]characters!$A$1,0,0,COUNTA([3]characters!$A:$A),MATCH(AB$1,[3]characters!$2:$2,0)-MATCH("character_id",[3]characters!$2:$2,0)+1),MATCH(AB$1,[3]characters!$2:$2,0)-MATCH("character_id",[3]characters!$2:$2,0)+1,FALSE),"")</f>
        <v>水のメタルチック</v>
      </c>
      <c r="AC12" s="5">
        <f ca="1">IFERROR(VLOOKUP($AA12,OFFSET([3]characters!$A$1,0,0,COUNTA([3]characters!$A:$A),MATCH(AC$1,[3]characters!$2:$2,0)-MATCH("character_id",[3]characters!$2:$2,0)+1),MATCH(AC$1,[3]characters!$2:$2,0)-MATCH("character_id",[3]characters!$2:$2,0)+1,FALSE),"")</f>
        <v>4</v>
      </c>
      <c r="AD12" s="5" t="str">
        <f ca="1">IFERROR(VLOOKUP($AA12,OFFSET([3]characters!$A$1,0,0,COUNTA([3]characters!$A:$A),MATCH(AD$1,[3]characters!$2:$2,0)-MATCH("character_id",[3]characters!$2:$2,0)+1),MATCH(AD$1,[3]characters!$2:$2,0)-MATCH("character_id",[3]characters!$2:$2,0)+1,FALSE),"")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2" s="8">
        <v>1</v>
      </c>
      <c r="AF12" s="35">
        <f t="shared" ca="1" si="8"/>
        <v>4</v>
      </c>
      <c r="AG12" s="9">
        <v>10</v>
      </c>
      <c r="AH12" s="8">
        <v>0</v>
      </c>
      <c r="AI12" s="8">
        <v>0</v>
      </c>
      <c r="AJ12" s="8">
        <v>0</v>
      </c>
      <c r="AK12" s="8">
        <v>0</v>
      </c>
      <c r="AL12" s="8">
        <v>1</v>
      </c>
    </row>
    <row r="13" spans="1:38" ht="21" customHeight="1">
      <c r="A13" s="21" t="str">
        <f t="shared" ca="1" si="5"/>
        <v>11209_1-2/345&lt;lv1&gt;s2</v>
      </c>
      <c r="B13" s="33">
        <v>11209</v>
      </c>
      <c r="C13" s="32">
        <v>1</v>
      </c>
      <c r="D13" s="2" t="str">
        <f t="shared" si="6"/>
        <v>11209_1</v>
      </c>
      <c r="E13" s="5" t="str">
        <f ca="1">VLOOKUP($B13,OFFSET([1]quests!$A$1,0,0,COUNTA([1]quests!$A:$A),MATCH(E$1,[1]quests!$1:$1,0)-MATCH($B$1,[1]quests!$1:$1,0)+1),MATCH(E$1,[1]quests!$1:$1,0)-MATCH($B$1,[1]quests!$1:$1,0)+1,FALSE)</f>
        <v>【100万DL記念！】 初心者応援クエスト</v>
      </c>
      <c r="F13" s="5" t="str">
        <f ca="1">VLOOKUP($D13,OFFSET([1]stages!$A$1,0,0,COUNTA([1]stages!$A:$A),MATCH(F$1,[1]stages!$2:$2,0)-MATCH($D$1,[1]stages!$2:$2,0)+1),MATCH(F$1,[1]stages!$2:$2,0)-MATCH($D$1,[1]stages!$2:$2,0)+1,FALSE)</f>
        <v>メタルダックを捕獲せよ！ 【初級】</v>
      </c>
      <c r="G13" s="32">
        <v>2</v>
      </c>
      <c r="H13" s="20" t="str">
        <f t="shared" si="7"/>
        <v>11209_1-2</v>
      </c>
      <c r="I13" s="5">
        <f ca="1">VLOOKUP($H13,OFFSET(floors_beginners!$A$1,0,0,COUNTA(floors_beginners!$A:$A),MATCH(I$1,floors_beginners!$1:$1,0)-MATCH($H$1,floors_beginners!$1:$1,0)+1),MATCH(I$1,floors_beginners!$1:$1,0)-MATCH($H$1,floors_beginners!$1:$1,0)+1,FALSE)</f>
        <v>60</v>
      </c>
      <c r="J13" s="5">
        <f ca="1">VLOOKUP($H13,OFFSET(floors_beginners!$A$1,0,0,COUNTA(floors_beginners!$A:$A),MATCH(J$1,floors_beginners!$1:$1,0)-MATCH($H$1,floors_beginners!$1:$1,0)+1),MATCH(J$1,floors_beginners!$1:$1,0)-MATCH($H$1,floors_beginners!$1:$1,0)+1,FALSE)</f>
        <v>60</v>
      </c>
      <c r="K13" s="31">
        <v>345</v>
      </c>
      <c r="L13" s="26" t="str">
        <f ca="1">VLOOKUP($K13,OFFSET([2]enemies!$A$1,0,0,COUNTA([2]enemies!$A:$A),MATCH(L$1,[2]enemies!$2:$2,0)-MATCH($K$1,[2]enemies!$2:$2,0)+1),MATCH(L$1,[2]enemies!$2:$2,0)-MATCH($K$1,[2]enemies!$2:$2,0)+1,FALSE)</f>
        <v>雷のメタルチック</v>
      </c>
      <c r="M13" s="29" t="str">
        <f ca="1">VLOOKUP($K13,OFFSET([2]enemies!$A$1,0,0,COUNTA([2]enemies!$A:$A),MATCH(M$1,[2]enemies!$2:$2,0)-MATCH($K$1,[2]enemies!$2:$2,0)+1),MATCH(M$1,[2]enemies!$2:$2,0)-MATCH($K$1,[2]enemies!$2:$2,0)+1,FALSE)</f>
        <v>yellow</v>
      </c>
      <c r="N13" s="29" t="str">
        <f ca="1">VLOOKUP($K13,OFFSET([3]characters!$A$1,0,0,COUNTA([3]characters!$A:$A),MATCH(N$1,[3]characters!$2:$2,0)-MATCH($K$1,[3]characters!$2:$2,0)+1),MATCH(N$1,[3]characters!$2:$2,0)-MATCH($K$1,[3]characters!$2:$2,0)+1,FALSE)</f>
        <v>Material</v>
      </c>
      <c r="O13" s="28" t="str">
        <f ca="1">VLOOKUP($K13,OFFSET([3]characters!$A$1,0,0,COUNTA([3]characters!$A:$A),MATCH(O$1,[3]characters!$2:$2,0)-MATCH($K$1,[3]characters!$2:$2,0)+2),MATCH(O$1,[3]characters!$2:$2,0)-MATCH($K$1,[3]characters!$2:$2,0)+2,FALSE)</f>
        <v>Unknown</v>
      </c>
      <c r="P13" s="5">
        <f ca="1">VLOOKUP($K13,OFFSET([2]enemies!$A$1,0,0,COUNTA([2]enemies!$A:$A),MATCH(P$1,[2]enemies!$2:$2,0)-MATCH($K$1,[2]enemies!$2:$2,0)+1),MATCH(P$1,[2]enemies!$2:$2,0)-MATCH($K$1,[2]enemies!$2:$2,0)+1,FALSE)</f>
        <v>15</v>
      </c>
      <c r="Q13" s="6">
        <v>1</v>
      </c>
      <c r="R13" s="37">
        <v>1</v>
      </c>
      <c r="S13" s="37">
        <v>30</v>
      </c>
      <c r="T13" s="6">
        <v>-1000</v>
      </c>
      <c r="U13" s="5" t="str">
        <f ca="1">VLOOKUP($V13,OFFSET([4]enemy_skill_sets!$B$1,0,0,COUNTA([4]enemy_skill_sets!$B:$B),MATCH(L$1,[4]enemy_skill_sets!$1:$1,0)-MATCH($V$1,[4]enemy_skill_sets!$1:$1,0)+2),MATCH(L$1,[4]enemy_skill_sets!$1:$1,0)-MATCH($V$1,[4]enemy_skill_sets!$1:$1,0)+2,FALSE)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3" s="5">
        <f ca="1">VLOOKUP($K13,OFFSET([2]enemies!$A$1,0,0,COUNTA([2]enemies!$A:$A),MATCH(V$1,[2]enemies!$2:$2,0)-MATCH($K$1,[2]enemies!$2:$2,0)+1),MATCH(V$1,[2]enemies!$2:$2,0)-MATCH($K$1,[2]enemies!$2:$2,0)+1,FALSE)</f>
        <v>0</v>
      </c>
      <c r="W13" s="7">
        <v>0</v>
      </c>
      <c r="X13" s="7">
        <v>25</v>
      </c>
      <c r="Y13" s="7">
        <v>0</v>
      </c>
      <c r="Z13" s="26">
        <f ca="1">VLOOKUP($K13,OFFSET([2]enemies!$A$1,0,0,COUNTA([2]enemies!$A:$A),MATCH(Z$1,[2]enemies!$2:$2,0)-MATCH($K$1,[2]enemies!$2:$2,0)+1),MATCH(Z$1,[2]enemies!$2:$2,0)-MATCH($K$1,[2]enemies!$2:$2,0)+1,FALSE)</f>
        <v>2</v>
      </c>
      <c r="AA13" s="2">
        <f t="shared" si="4"/>
        <v>345</v>
      </c>
      <c r="AB13" s="5" t="str">
        <f ca="1">IFERROR(VLOOKUP($AA13,OFFSET([3]characters!$A$1,0,0,COUNTA([3]characters!$A:$A),MATCH(AB$1,[3]characters!$2:$2,0)-MATCH("character_id",[3]characters!$2:$2,0)+1),MATCH(AB$1,[3]characters!$2:$2,0)-MATCH("character_id",[3]characters!$2:$2,0)+1,FALSE),"")</f>
        <v>雷のメタルチック</v>
      </c>
      <c r="AC13" s="5">
        <f ca="1">IFERROR(VLOOKUP($AA13,OFFSET([3]characters!$A$1,0,0,COUNTA([3]characters!$A:$A),MATCH(AC$1,[3]characters!$2:$2,0)-MATCH("character_id",[3]characters!$2:$2,0)+1),MATCH(AC$1,[3]characters!$2:$2,0)-MATCH("character_id",[3]characters!$2:$2,0)+1,FALSE),"")</f>
        <v>4</v>
      </c>
      <c r="AD13" s="5" t="str">
        <f ca="1">IFERROR(VLOOKUP($AA13,OFFSET([3]characters!$A$1,0,0,COUNTA([3]characters!$A:$A),MATCH(AD$1,[3]characters!$2:$2,0)-MATCH("character_id",[3]characters!$2:$2,0)+1),MATCH(AD$1,[3]characters!$2:$2,0)-MATCH("character_id",[3]characters!$2:$2,0)+1,FALSE),"")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3" s="8">
        <v>1</v>
      </c>
      <c r="AF13" s="35">
        <f t="shared" ca="1" si="8"/>
        <v>4</v>
      </c>
      <c r="AG13" s="9">
        <v>10</v>
      </c>
      <c r="AH13" s="8">
        <v>0</v>
      </c>
      <c r="AI13" s="8">
        <v>0</v>
      </c>
      <c r="AJ13" s="8">
        <v>0</v>
      </c>
      <c r="AK13" s="8">
        <v>0</v>
      </c>
      <c r="AL13" s="8">
        <v>1</v>
      </c>
    </row>
    <row r="14" spans="1:38" ht="21" customHeight="1">
      <c r="A14" s="21" t="str">
        <f t="shared" ref="A14:A19" ca="1" si="9">B14&amp;"_"&amp;C14&amp;"-"&amp;G14&amp;"/"&amp;K14&amp;"&lt;lv"&amp;Q14&amp;"&gt;s"&amp;Z14</f>
        <v>11209_1-3/332&lt;lv1&gt;s1</v>
      </c>
      <c r="B14" s="33">
        <v>11209</v>
      </c>
      <c r="C14" s="32">
        <v>1</v>
      </c>
      <c r="D14" s="2" t="str">
        <f t="shared" ref="D14:D19" si="10">B14&amp;"_"&amp;C14</f>
        <v>11209_1</v>
      </c>
      <c r="E14" s="5" t="str">
        <f ca="1">VLOOKUP($B14,OFFSET([1]quests!$A$1,0,0,COUNTA([1]quests!$A:$A),MATCH(E$1,[1]quests!$1:$1,0)-MATCH($B$1,[1]quests!$1:$1,0)+1),MATCH(E$1,[1]quests!$1:$1,0)-MATCH($B$1,[1]quests!$1:$1,0)+1,FALSE)</f>
        <v>【100万DL記念！】 初心者応援クエスト</v>
      </c>
      <c r="F14" s="5" t="str">
        <f ca="1">VLOOKUP($D14,OFFSET([1]stages!$A$1,0,0,COUNTA([1]stages!$A:$A),MATCH(F$1,[1]stages!$2:$2,0)-MATCH($D$1,[1]stages!$2:$2,0)+1),MATCH(F$1,[1]stages!$2:$2,0)-MATCH($D$1,[1]stages!$2:$2,0)+1,FALSE)</f>
        <v>メタルダックを捕獲せよ！ 【初級】</v>
      </c>
      <c r="G14" s="32">
        <v>3</v>
      </c>
      <c r="H14" s="20" t="str">
        <f t="shared" ref="H14:H19" si="11">B14&amp;"_"&amp;C14&amp;"-"&amp;G14</f>
        <v>11209_1-3</v>
      </c>
      <c r="I14" s="5">
        <f ca="1">VLOOKUP($H14,OFFSET(floors_beginners!$A$1,0,0,COUNTA(floors_beginners!$A:$A),MATCH(I$1,floors_beginners!$1:$1,0)-MATCH($H$1,floors_beginners!$1:$1,0)+1),MATCH(I$1,floors_beginners!$1:$1,0)-MATCH($H$1,floors_beginners!$1:$1,0)+1,FALSE)</f>
        <v>60</v>
      </c>
      <c r="J14" s="5">
        <f ca="1">VLOOKUP($H14,OFFSET(floors_beginners!$A$1,0,0,COUNTA(floors_beginners!$A:$A),MATCH(J$1,floors_beginners!$1:$1,0)-MATCH($H$1,floors_beginners!$1:$1,0)+1),MATCH(J$1,floors_beginners!$1:$1,0)-MATCH($H$1,floors_beginners!$1:$1,0)+1,FALSE)</f>
        <v>60</v>
      </c>
      <c r="K14" s="31">
        <v>332</v>
      </c>
      <c r="L14" s="26" t="str">
        <f ca="1">VLOOKUP($K14,OFFSET([2]enemies!$A$1,0,0,COUNTA([2]enemies!$A:$A),MATCH(L$1,[2]enemies!$2:$2,0)-MATCH($K$1,[2]enemies!$2:$2,0)+1),MATCH(L$1,[2]enemies!$2:$2,0)-MATCH($K$1,[2]enemies!$2:$2,0)+1,FALSE)</f>
        <v>炎のメタルピヨピヨ</v>
      </c>
      <c r="M14" s="29" t="str">
        <f ca="1">VLOOKUP($K14,OFFSET([2]enemies!$A$1,0,0,COUNTA([2]enemies!$A:$A),MATCH(M$1,[2]enemies!$2:$2,0)-MATCH($K$1,[2]enemies!$2:$2,0)+1),MATCH(M$1,[2]enemies!$2:$2,0)-MATCH($K$1,[2]enemies!$2:$2,0)+1,FALSE)</f>
        <v>red</v>
      </c>
      <c r="N14" s="29" t="str">
        <f ca="1">VLOOKUP($K14,OFFSET([3]characters!$A$1,0,0,COUNTA([3]characters!$A:$A),MATCH(N$1,[3]characters!$2:$2,0)-MATCH($K$1,[3]characters!$2:$2,0)+1),MATCH(N$1,[3]characters!$2:$2,0)-MATCH($K$1,[3]characters!$2:$2,0)+1,FALSE)</f>
        <v>Material</v>
      </c>
      <c r="O14" s="28" t="str">
        <f ca="1">VLOOKUP($K14,OFFSET([3]characters!$A$1,0,0,COUNTA([3]characters!$A:$A),MATCH(O$1,[3]characters!$2:$2,0)-MATCH($K$1,[3]characters!$2:$2,0)+2),MATCH(O$1,[3]characters!$2:$2,0)-MATCH($K$1,[3]characters!$2:$2,0)+2,FALSE)</f>
        <v>Unknown</v>
      </c>
      <c r="P14" s="5">
        <f ca="1">VLOOKUP($K14,OFFSET([2]enemies!$A$1,0,0,COUNTA([2]enemies!$A:$A),MATCH(P$1,[2]enemies!$2:$2,0)-MATCH($K$1,[2]enemies!$2:$2,0)+1),MATCH(P$1,[2]enemies!$2:$2,0)-MATCH($K$1,[2]enemies!$2:$2,0)+1,FALSE)</f>
        <v>15</v>
      </c>
      <c r="Q14" s="6">
        <v>1</v>
      </c>
      <c r="R14" s="37">
        <v>1</v>
      </c>
      <c r="S14" s="37">
        <v>30</v>
      </c>
      <c r="T14" s="6">
        <v>0</v>
      </c>
      <c r="U14" s="5" t="str">
        <f ca="1">VLOOKUP($V14,OFFSET([4]enemy_skill_sets!$B$1,0,0,COUNTA([4]enemy_skill_sets!$B:$B),MATCH(L$1,[4]enemy_skill_sets!$1:$1,0)-MATCH($V$1,[4]enemy_skill_sets!$1:$1,0)+2),MATCH(L$1,[4]enemy_skill_sets!$1:$1,0)-MATCH($V$1,[4]enemy_skill_sets!$1:$1,0)+2,FALSE)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4" s="5">
        <f ca="1">VLOOKUP($K14,OFFSET([2]enemies!$A$1,0,0,COUNTA([2]enemies!$A:$A),MATCH(V$1,[2]enemies!$2:$2,0)-MATCH($K$1,[2]enemies!$2:$2,0)+1),MATCH(V$1,[2]enemies!$2:$2,0)-MATCH($K$1,[2]enemies!$2:$2,0)+1,FALSE)</f>
        <v>0</v>
      </c>
      <c r="W14" s="7">
        <v>0</v>
      </c>
      <c r="X14" s="7">
        <v>100</v>
      </c>
      <c r="Y14" s="7">
        <v>0</v>
      </c>
      <c r="Z14" s="26">
        <f ca="1">VLOOKUP($K14,OFFSET([2]enemies!$A$1,0,0,COUNTA([2]enemies!$A:$A),MATCH(Z$1,[2]enemies!$2:$2,0)-MATCH($K$1,[2]enemies!$2:$2,0)+1),MATCH(Z$1,[2]enemies!$2:$2,0)-MATCH($K$1,[2]enemies!$2:$2,0)+1,FALSE)</f>
        <v>1</v>
      </c>
      <c r="AA14" s="2">
        <f t="shared" si="4"/>
        <v>332</v>
      </c>
      <c r="AB14" s="5" t="str">
        <f ca="1">IFERROR(VLOOKUP($AA14,OFFSET([3]characters!$A$1,0,0,COUNTA([3]characters!$A:$A),MATCH(AB$1,[3]characters!$2:$2,0)-MATCH("character_id",[3]characters!$2:$2,0)+1),MATCH(AB$1,[3]characters!$2:$2,0)-MATCH("character_id",[3]characters!$2:$2,0)+1,FALSE),"")</f>
        <v>炎のメタルピヨピヨ</v>
      </c>
      <c r="AC14" s="5">
        <f ca="1">IFERROR(VLOOKUP($AA14,OFFSET([3]characters!$A$1,0,0,COUNTA([3]characters!$A:$A),MATCH(AC$1,[3]characters!$2:$2,0)-MATCH("character_id",[3]characters!$2:$2,0)+1),MATCH(AC$1,[3]characters!$2:$2,0)-MATCH("character_id",[3]characters!$2:$2,0)+1,FALSE),"")</f>
        <v>3</v>
      </c>
      <c r="AD14" s="5" t="str">
        <f ca="1">IFERROR(VLOOKUP($AA14,OFFSET([3]characters!$A$1,0,0,COUNTA([3]characters!$A:$A),MATCH(AD$1,[3]characters!$2:$2,0)-MATCH("character_id",[3]characters!$2:$2,0)+1),MATCH(AD$1,[3]characters!$2:$2,0)-MATCH("character_id",[3]characters!$2:$2,0)+1,FALSE),"")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4" s="8">
        <v>1</v>
      </c>
      <c r="AF14" s="35">
        <f t="shared" ref="AF14:AF19" ca="1" si="12">AC14</f>
        <v>3</v>
      </c>
      <c r="AG14" s="9">
        <v>100</v>
      </c>
      <c r="AH14" s="8">
        <v>0</v>
      </c>
      <c r="AI14" s="8">
        <v>0</v>
      </c>
      <c r="AJ14" s="8">
        <v>0</v>
      </c>
      <c r="AK14" s="8">
        <v>0</v>
      </c>
      <c r="AL14" s="8">
        <v>1</v>
      </c>
    </row>
    <row r="15" spans="1:38" ht="21" customHeight="1">
      <c r="A15" s="21" t="str">
        <f t="shared" ca="1" si="9"/>
        <v>11209_1-3/336&lt;lv1&gt;s1</v>
      </c>
      <c r="B15" s="33">
        <v>11209</v>
      </c>
      <c r="C15" s="32">
        <v>1</v>
      </c>
      <c r="D15" s="2" t="str">
        <f t="shared" si="10"/>
        <v>11209_1</v>
      </c>
      <c r="E15" s="5" t="str">
        <f ca="1">VLOOKUP($B15,OFFSET([1]quests!$A$1,0,0,COUNTA([1]quests!$A:$A),MATCH(E$1,[1]quests!$1:$1,0)-MATCH($B$1,[1]quests!$1:$1,0)+1),MATCH(E$1,[1]quests!$1:$1,0)-MATCH($B$1,[1]quests!$1:$1,0)+1,FALSE)</f>
        <v>【100万DL記念！】 初心者応援クエスト</v>
      </c>
      <c r="F15" s="5" t="str">
        <f ca="1">VLOOKUP($D15,OFFSET([1]stages!$A$1,0,0,COUNTA([1]stages!$A:$A),MATCH(F$1,[1]stages!$2:$2,0)-MATCH($D$1,[1]stages!$2:$2,0)+1),MATCH(F$1,[1]stages!$2:$2,0)-MATCH($D$1,[1]stages!$2:$2,0)+1,FALSE)</f>
        <v>メタルダックを捕獲せよ！ 【初級】</v>
      </c>
      <c r="G15" s="32">
        <v>3</v>
      </c>
      <c r="H15" s="20" t="str">
        <f t="shared" si="11"/>
        <v>11209_1-3</v>
      </c>
      <c r="I15" s="5">
        <f ca="1">VLOOKUP($H15,OFFSET(floors_beginners!$A$1,0,0,COUNTA(floors_beginners!$A:$A),MATCH(I$1,floors_beginners!$1:$1,0)-MATCH($H$1,floors_beginners!$1:$1,0)+1),MATCH(I$1,floors_beginners!$1:$1,0)-MATCH($H$1,floors_beginners!$1:$1,0)+1,FALSE)</f>
        <v>60</v>
      </c>
      <c r="J15" s="5">
        <f ca="1">VLOOKUP($H15,OFFSET(floors_beginners!$A$1,0,0,COUNTA(floors_beginners!$A:$A),MATCH(J$1,floors_beginners!$1:$1,0)-MATCH($H$1,floors_beginners!$1:$1,0)+1),MATCH(J$1,floors_beginners!$1:$1,0)-MATCH($H$1,floors_beginners!$1:$1,0)+1,FALSE)</f>
        <v>60</v>
      </c>
      <c r="K15" s="31">
        <v>336</v>
      </c>
      <c r="L15" s="26" t="str">
        <f ca="1">VLOOKUP($K15,OFFSET([2]enemies!$A$1,0,0,COUNTA([2]enemies!$A:$A),MATCH(L$1,[2]enemies!$2:$2,0)-MATCH($K$1,[2]enemies!$2:$2,0)+1),MATCH(L$1,[2]enemies!$2:$2,0)-MATCH($K$1,[2]enemies!$2:$2,0)+1,FALSE)</f>
        <v>森のメタルピヨピヨ</v>
      </c>
      <c r="M15" s="29" t="str">
        <f ca="1">VLOOKUP($K15,OFFSET([2]enemies!$A$1,0,0,COUNTA([2]enemies!$A:$A),MATCH(M$1,[2]enemies!$2:$2,0)-MATCH($K$1,[2]enemies!$2:$2,0)+1),MATCH(M$1,[2]enemies!$2:$2,0)-MATCH($K$1,[2]enemies!$2:$2,0)+1,FALSE)</f>
        <v>green</v>
      </c>
      <c r="N15" s="29" t="str">
        <f ca="1">VLOOKUP($K15,OFFSET([3]characters!$A$1,0,0,COUNTA([3]characters!$A:$A),MATCH(N$1,[3]characters!$2:$2,0)-MATCH($K$1,[3]characters!$2:$2,0)+1),MATCH(N$1,[3]characters!$2:$2,0)-MATCH($K$1,[3]characters!$2:$2,0)+1,FALSE)</f>
        <v>Material</v>
      </c>
      <c r="O15" s="28" t="str">
        <f ca="1">VLOOKUP($K15,OFFSET([3]characters!$A$1,0,0,COUNTA([3]characters!$A:$A),MATCH(O$1,[3]characters!$2:$2,0)-MATCH($K$1,[3]characters!$2:$2,0)+2),MATCH(O$1,[3]characters!$2:$2,0)-MATCH($K$1,[3]characters!$2:$2,0)+2,FALSE)</f>
        <v>Unknown</v>
      </c>
      <c r="P15" s="5">
        <f ca="1">VLOOKUP($K15,OFFSET([2]enemies!$A$1,0,0,COUNTA([2]enemies!$A:$A),MATCH(P$1,[2]enemies!$2:$2,0)-MATCH($K$1,[2]enemies!$2:$2,0)+1),MATCH(P$1,[2]enemies!$2:$2,0)-MATCH($K$1,[2]enemies!$2:$2,0)+1,FALSE)</f>
        <v>15</v>
      </c>
      <c r="Q15" s="6">
        <v>1</v>
      </c>
      <c r="R15" s="37">
        <v>1</v>
      </c>
      <c r="S15" s="37">
        <v>30</v>
      </c>
      <c r="T15" s="6">
        <v>0</v>
      </c>
      <c r="U15" s="5" t="str">
        <f ca="1">VLOOKUP($V15,OFFSET([4]enemy_skill_sets!$B$1,0,0,COUNTA([4]enemy_skill_sets!$B:$B),MATCH(L$1,[4]enemy_skill_sets!$1:$1,0)-MATCH($V$1,[4]enemy_skill_sets!$1:$1,0)+2),MATCH(L$1,[4]enemy_skill_sets!$1:$1,0)-MATCH($V$1,[4]enemy_skill_sets!$1:$1,0)+2,FALSE)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5" s="5">
        <f ca="1">VLOOKUP($K15,OFFSET([2]enemies!$A$1,0,0,COUNTA([2]enemies!$A:$A),MATCH(V$1,[2]enemies!$2:$2,0)-MATCH($K$1,[2]enemies!$2:$2,0)+1),MATCH(V$1,[2]enemies!$2:$2,0)-MATCH($K$1,[2]enemies!$2:$2,0)+1,FALSE)</f>
        <v>0</v>
      </c>
      <c r="W15" s="7">
        <v>0</v>
      </c>
      <c r="X15" s="7">
        <v>100</v>
      </c>
      <c r="Y15" s="7">
        <v>0</v>
      </c>
      <c r="Z15" s="26">
        <f ca="1">VLOOKUP($K15,OFFSET([2]enemies!$A$1,0,0,COUNTA([2]enemies!$A:$A),MATCH(Z$1,[2]enemies!$2:$2,0)-MATCH($K$1,[2]enemies!$2:$2,0)+1),MATCH(Z$1,[2]enemies!$2:$2,0)-MATCH($K$1,[2]enemies!$2:$2,0)+1,FALSE)</f>
        <v>1</v>
      </c>
      <c r="AA15" s="2">
        <f t="shared" si="4"/>
        <v>336</v>
      </c>
      <c r="AB15" s="5" t="str">
        <f ca="1">IFERROR(VLOOKUP($AA15,OFFSET([3]characters!$A$1,0,0,COUNTA([3]characters!$A:$A),MATCH(AB$1,[3]characters!$2:$2,0)-MATCH("character_id",[3]characters!$2:$2,0)+1),MATCH(AB$1,[3]characters!$2:$2,0)-MATCH("character_id",[3]characters!$2:$2,0)+1,FALSE),"")</f>
        <v>森のメタルピヨピヨ</v>
      </c>
      <c r="AC15" s="5">
        <f ca="1">IFERROR(VLOOKUP($AA15,OFFSET([3]characters!$A$1,0,0,COUNTA([3]characters!$A:$A),MATCH(AC$1,[3]characters!$2:$2,0)-MATCH("character_id",[3]characters!$2:$2,0)+1),MATCH(AC$1,[3]characters!$2:$2,0)-MATCH("character_id",[3]characters!$2:$2,0)+1,FALSE),"")</f>
        <v>3</v>
      </c>
      <c r="AD15" s="5" t="str">
        <f ca="1">IFERROR(VLOOKUP($AA15,OFFSET([3]characters!$A$1,0,0,COUNTA([3]characters!$A:$A),MATCH(AD$1,[3]characters!$2:$2,0)-MATCH("character_id",[3]characters!$2:$2,0)+1),MATCH(AD$1,[3]characters!$2:$2,0)-MATCH("character_id",[3]characters!$2:$2,0)+1,FALSE),"")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5" s="8">
        <v>1</v>
      </c>
      <c r="AF15" s="35">
        <f t="shared" ca="1" si="12"/>
        <v>3</v>
      </c>
      <c r="AG15" s="9">
        <v>100</v>
      </c>
      <c r="AH15" s="8">
        <v>0</v>
      </c>
      <c r="AI15" s="8">
        <v>0</v>
      </c>
      <c r="AJ15" s="8">
        <v>0</v>
      </c>
      <c r="AK15" s="8">
        <v>0</v>
      </c>
      <c r="AL15" s="8">
        <v>1</v>
      </c>
    </row>
    <row r="16" spans="1:38" ht="21" customHeight="1">
      <c r="A16" s="21" t="str">
        <f t="shared" ca="1" si="9"/>
        <v>11209_1-3/340&lt;lv1&gt;s1</v>
      </c>
      <c r="B16" s="33">
        <v>11209</v>
      </c>
      <c r="C16" s="32">
        <v>1</v>
      </c>
      <c r="D16" s="2" t="str">
        <f t="shared" si="10"/>
        <v>11209_1</v>
      </c>
      <c r="E16" s="5" t="str">
        <f ca="1">VLOOKUP($B16,OFFSET([1]quests!$A$1,0,0,COUNTA([1]quests!$A:$A),MATCH(E$1,[1]quests!$1:$1,0)-MATCH($B$1,[1]quests!$1:$1,0)+1),MATCH(E$1,[1]quests!$1:$1,0)-MATCH($B$1,[1]quests!$1:$1,0)+1,FALSE)</f>
        <v>【100万DL記念！】 初心者応援クエスト</v>
      </c>
      <c r="F16" s="5" t="str">
        <f ca="1">VLOOKUP($D16,OFFSET([1]stages!$A$1,0,0,COUNTA([1]stages!$A:$A),MATCH(F$1,[1]stages!$2:$2,0)-MATCH($D$1,[1]stages!$2:$2,0)+1),MATCH(F$1,[1]stages!$2:$2,0)-MATCH($D$1,[1]stages!$2:$2,0)+1,FALSE)</f>
        <v>メタルダックを捕獲せよ！ 【初級】</v>
      </c>
      <c r="G16" s="32">
        <v>3</v>
      </c>
      <c r="H16" s="20" t="str">
        <f t="shared" si="11"/>
        <v>11209_1-3</v>
      </c>
      <c r="I16" s="5">
        <f ca="1">VLOOKUP($H16,OFFSET(floors_beginners!$A$1,0,0,COUNTA(floors_beginners!$A:$A),MATCH(I$1,floors_beginners!$1:$1,0)-MATCH($H$1,floors_beginners!$1:$1,0)+1),MATCH(I$1,floors_beginners!$1:$1,0)-MATCH($H$1,floors_beginners!$1:$1,0)+1,FALSE)</f>
        <v>60</v>
      </c>
      <c r="J16" s="5">
        <f ca="1">VLOOKUP($H16,OFFSET(floors_beginners!$A$1,0,0,COUNTA(floors_beginners!$A:$A),MATCH(J$1,floors_beginners!$1:$1,0)-MATCH($H$1,floors_beginners!$1:$1,0)+1),MATCH(J$1,floors_beginners!$1:$1,0)-MATCH($H$1,floors_beginners!$1:$1,0)+1,FALSE)</f>
        <v>60</v>
      </c>
      <c r="K16" s="31">
        <v>340</v>
      </c>
      <c r="L16" s="26" t="str">
        <f ca="1">VLOOKUP($K16,OFFSET([2]enemies!$A$1,0,0,COUNTA([2]enemies!$A:$A),MATCH(L$1,[2]enemies!$2:$2,0)-MATCH($K$1,[2]enemies!$2:$2,0)+1),MATCH(L$1,[2]enemies!$2:$2,0)-MATCH($K$1,[2]enemies!$2:$2,0)+1,FALSE)</f>
        <v>水のメタルピヨピヨ</v>
      </c>
      <c r="M16" s="29" t="str">
        <f ca="1">VLOOKUP($K16,OFFSET([2]enemies!$A$1,0,0,COUNTA([2]enemies!$A:$A),MATCH(M$1,[2]enemies!$2:$2,0)-MATCH($K$1,[2]enemies!$2:$2,0)+1),MATCH(M$1,[2]enemies!$2:$2,0)-MATCH($K$1,[2]enemies!$2:$2,0)+1,FALSE)</f>
        <v>blue</v>
      </c>
      <c r="N16" s="29" t="str">
        <f ca="1">VLOOKUP($K16,OFFSET([3]characters!$A$1,0,0,COUNTA([3]characters!$A:$A),MATCH(N$1,[3]characters!$2:$2,0)-MATCH($K$1,[3]characters!$2:$2,0)+1),MATCH(N$1,[3]characters!$2:$2,0)-MATCH($K$1,[3]characters!$2:$2,0)+1,FALSE)</f>
        <v>Material</v>
      </c>
      <c r="O16" s="28" t="str">
        <f ca="1">VLOOKUP($K16,OFFSET([3]characters!$A$1,0,0,COUNTA([3]characters!$A:$A),MATCH(O$1,[3]characters!$2:$2,0)-MATCH($K$1,[3]characters!$2:$2,0)+2),MATCH(O$1,[3]characters!$2:$2,0)-MATCH($K$1,[3]characters!$2:$2,0)+2,FALSE)</f>
        <v>Unknown</v>
      </c>
      <c r="P16" s="5">
        <f ca="1">VLOOKUP($K16,OFFSET([2]enemies!$A$1,0,0,COUNTA([2]enemies!$A:$A),MATCH(P$1,[2]enemies!$2:$2,0)-MATCH($K$1,[2]enemies!$2:$2,0)+1),MATCH(P$1,[2]enemies!$2:$2,0)-MATCH($K$1,[2]enemies!$2:$2,0)+1,FALSE)</f>
        <v>15</v>
      </c>
      <c r="Q16" s="6">
        <v>1</v>
      </c>
      <c r="R16" s="37">
        <v>1</v>
      </c>
      <c r="S16" s="37">
        <v>30</v>
      </c>
      <c r="T16" s="6">
        <v>0</v>
      </c>
      <c r="U16" s="5" t="str">
        <f ca="1">VLOOKUP($V16,OFFSET([4]enemy_skill_sets!$B$1,0,0,COUNTA([4]enemy_skill_sets!$B:$B),MATCH(L$1,[4]enemy_skill_sets!$1:$1,0)-MATCH($V$1,[4]enemy_skill_sets!$1:$1,0)+2),MATCH(L$1,[4]enemy_skill_sets!$1:$1,0)-MATCH($V$1,[4]enemy_skill_sets!$1:$1,0)+2,FALSE)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6" s="5">
        <f ca="1">VLOOKUP($K16,OFFSET([2]enemies!$A$1,0,0,COUNTA([2]enemies!$A:$A),MATCH(V$1,[2]enemies!$2:$2,0)-MATCH($K$1,[2]enemies!$2:$2,0)+1),MATCH(V$1,[2]enemies!$2:$2,0)-MATCH($K$1,[2]enemies!$2:$2,0)+1,FALSE)</f>
        <v>0</v>
      </c>
      <c r="W16" s="7">
        <v>0</v>
      </c>
      <c r="X16" s="7">
        <v>100</v>
      </c>
      <c r="Y16" s="7">
        <v>0</v>
      </c>
      <c r="Z16" s="26">
        <f ca="1">VLOOKUP($K16,OFFSET([2]enemies!$A$1,0,0,COUNTA([2]enemies!$A:$A),MATCH(Z$1,[2]enemies!$2:$2,0)-MATCH($K$1,[2]enemies!$2:$2,0)+1),MATCH(Z$1,[2]enemies!$2:$2,0)-MATCH($K$1,[2]enemies!$2:$2,0)+1,FALSE)</f>
        <v>1</v>
      </c>
      <c r="AA16" s="2">
        <f t="shared" si="4"/>
        <v>340</v>
      </c>
      <c r="AB16" s="5" t="str">
        <f ca="1">IFERROR(VLOOKUP($AA16,OFFSET([3]characters!$A$1,0,0,COUNTA([3]characters!$A:$A),MATCH(AB$1,[3]characters!$2:$2,0)-MATCH("character_id",[3]characters!$2:$2,0)+1),MATCH(AB$1,[3]characters!$2:$2,0)-MATCH("character_id",[3]characters!$2:$2,0)+1,FALSE),"")</f>
        <v>水のメタルピヨピヨ</v>
      </c>
      <c r="AC16" s="5">
        <f ca="1">IFERROR(VLOOKUP($AA16,OFFSET([3]characters!$A$1,0,0,COUNTA([3]characters!$A:$A),MATCH(AC$1,[3]characters!$2:$2,0)-MATCH("character_id",[3]characters!$2:$2,0)+1),MATCH(AC$1,[3]characters!$2:$2,0)-MATCH("character_id",[3]characters!$2:$2,0)+1,FALSE),"")</f>
        <v>3</v>
      </c>
      <c r="AD16" s="5" t="str">
        <f ca="1">IFERROR(VLOOKUP($AA16,OFFSET([3]characters!$A$1,0,0,COUNTA([3]characters!$A:$A),MATCH(AD$1,[3]characters!$2:$2,0)-MATCH("character_id",[3]characters!$2:$2,0)+1),MATCH(AD$1,[3]characters!$2:$2,0)-MATCH("character_id",[3]characters!$2:$2,0)+1,FALSE),"")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6" s="8">
        <v>1</v>
      </c>
      <c r="AF16" s="35">
        <f t="shared" ca="1" si="12"/>
        <v>3</v>
      </c>
      <c r="AG16" s="9">
        <v>100</v>
      </c>
      <c r="AH16" s="8">
        <v>0</v>
      </c>
      <c r="AI16" s="8">
        <v>0</v>
      </c>
      <c r="AJ16" s="8">
        <v>0</v>
      </c>
      <c r="AK16" s="8">
        <v>0</v>
      </c>
      <c r="AL16" s="8">
        <v>1</v>
      </c>
    </row>
    <row r="17" spans="1:38" ht="21" customHeight="1">
      <c r="A17" s="21" t="str">
        <f t="shared" ca="1" si="9"/>
        <v>11209_1-3/344&lt;lv1&gt;s1</v>
      </c>
      <c r="B17" s="33">
        <v>11209</v>
      </c>
      <c r="C17" s="32">
        <v>1</v>
      </c>
      <c r="D17" s="2" t="str">
        <f t="shared" si="10"/>
        <v>11209_1</v>
      </c>
      <c r="E17" s="5" t="str">
        <f ca="1">VLOOKUP($B17,OFFSET([1]quests!$A$1,0,0,COUNTA([1]quests!$A:$A),MATCH(E$1,[1]quests!$1:$1,0)-MATCH($B$1,[1]quests!$1:$1,0)+1),MATCH(E$1,[1]quests!$1:$1,0)-MATCH($B$1,[1]quests!$1:$1,0)+1,FALSE)</f>
        <v>【100万DL記念！】 初心者応援クエスト</v>
      </c>
      <c r="F17" s="5" t="str">
        <f ca="1">VLOOKUP($D17,OFFSET([1]stages!$A$1,0,0,COUNTA([1]stages!$A:$A),MATCH(F$1,[1]stages!$2:$2,0)-MATCH($D$1,[1]stages!$2:$2,0)+1),MATCH(F$1,[1]stages!$2:$2,0)-MATCH($D$1,[1]stages!$2:$2,0)+1,FALSE)</f>
        <v>メタルダックを捕獲せよ！ 【初級】</v>
      </c>
      <c r="G17" s="32">
        <v>3</v>
      </c>
      <c r="H17" s="20" t="str">
        <f t="shared" si="11"/>
        <v>11209_1-3</v>
      </c>
      <c r="I17" s="5">
        <f ca="1">VLOOKUP($H17,OFFSET(floors_beginners!$A$1,0,0,COUNTA(floors_beginners!$A:$A),MATCH(I$1,floors_beginners!$1:$1,0)-MATCH($H$1,floors_beginners!$1:$1,0)+1),MATCH(I$1,floors_beginners!$1:$1,0)-MATCH($H$1,floors_beginners!$1:$1,0)+1,FALSE)</f>
        <v>60</v>
      </c>
      <c r="J17" s="5">
        <f ca="1">VLOOKUP($H17,OFFSET(floors_beginners!$A$1,0,0,COUNTA(floors_beginners!$A:$A),MATCH(J$1,floors_beginners!$1:$1,0)-MATCH($H$1,floors_beginners!$1:$1,0)+1),MATCH(J$1,floors_beginners!$1:$1,0)-MATCH($H$1,floors_beginners!$1:$1,0)+1,FALSE)</f>
        <v>60</v>
      </c>
      <c r="K17" s="31">
        <v>344</v>
      </c>
      <c r="L17" s="26" t="str">
        <f ca="1">VLOOKUP($K17,OFFSET([2]enemies!$A$1,0,0,COUNTA([2]enemies!$A:$A),MATCH(L$1,[2]enemies!$2:$2,0)-MATCH($K$1,[2]enemies!$2:$2,0)+1),MATCH(L$1,[2]enemies!$2:$2,0)-MATCH($K$1,[2]enemies!$2:$2,0)+1,FALSE)</f>
        <v>雷のメタルピヨピヨ</v>
      </c>
      <c r="M17" s="29" t="str">
        <f ca="1">VLOOKUP($K17,OFFSET([2]enemies!$A$1,0,0,COUNTA([2]enemies!$A:$A),MATCH(M$1,[2]enemies!$2:$2,0)-MATCH($K$1,[2]enemies!$2:$2,0)+1),MATCH(M$1,[2]enemies!$2:$2,0)-MATCH($K$1,[2]enemies!$2:$2,0)+1,FALSE)</f>
        <v>yellow</v>
      </c>
      <c r="N17" s="29" t="str">
        <f ca="1">VLOOKUP($K17,OFFSET([3]characters!$A$1,0,0,COUNTA([3]characters!$A:$A),MATCH(N$1,[3]characters!$2:$2,0)-MATCH($K$1,[3]characters!$2:$2,0)+1),MATCH(N$1,[3]characters!$2:$2,0)-MATCH($K$1,[3]characters!$2:$2,0)+1,FALSE)</f>
        <v>Material</v>
      </c>
      <c r="O17" s="28" t="str">
        <f ca="1">VLOOKUP($K17,OFFSET([3]characters!$A$1,0,0,COUNTA([3]characters!$A:$A),MATCH(O$1,[3]characters!$2:$2,0)-MATCH($K$1,[3]characters!$2:$2,0)+2),MATCH(O$1,[3]characters!$2:$2,0)-MATCH($K$1,[3]characters!$2:$2,0)+2,FALSE)</f>
        <v>Unknown</v>
      </c>
      <c r="P17" s="5">
        <f ca="1">VLOOKUP($K17,OFFSET([2]enemies!$A$1,0,0,COUNTA([2]enemies!$A:$A),MATCH(P$1,[2]enemies!$2:$2,0)-MATCH($K$1,[2]enemies!$2:$2,0)+1),MATCH(P$1,[2]enemies!$2:$2,0)-MATCH($K$1,[2]enemies!$2:$2,0)+1,FALSE)</f>
        <v>15</v>
      </c>
      <c r="Q17" s="6">
        <v>1</v>
      </c>
      <c r="R17" s="37">
        <v>1</v>
      </c>
      <c r="S17" s="37">
        <v>30</v>
      </c>
      <c r="T17" s="6">
        <v>0</v>
      </c>
      <c r="U17" s="5" t="str">
        <f ca="1">VLOOKUP($V17,OFFSET([4]enemy_skill_sets!$B$1,0,0,COUNTA([4]enemy_skill_sets!$B:$B),MATCH(L$1,[4]enemy_skill_sets!$1:$1,0)-MATCH($V$1,[4]enemy_skill_sets!$1:$1,0)+2),MATCH(L$1,[4]enemy_skill_sets!$1:$1,0)-MATCH($V$1,[4]enemy_skill_sets!$1:$1,0)+2,FALSE)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7" s="5">
        <f ca="1">VLOOKUP($K17,OFFSET([2]enemies!$A$1,0,0,COUNTA([2]enemies!$A:$A),MATCH(V$1,[2]enemies!$2:$2,0)-MATCH($K$1,[2]enemies!$2:$2,0)+1),MATCH(V$1,[2]enemies!$2:$2,0)-MATCH($K$1,[2]enemies!$2:$2,0)+1,FALSE)</f>
        <v>0</v>
      </c>
      <c r="W17" s="7">
        <v>0</v>
      </c>
      <c r="X17" s="7">
        <v>100</v>
      </c>
      <c r="Y17" s="7">
        <v>0</v>
      </c>
      <c r="Z17" s="26">
        <f ca="1">VLOOKUP($K17,OFFSET([2]enemies!$A$1,0,0,COUNTA([2]enemies!$A:$A),MATCH(Z$1,[2]enemies!$2:$2,0)-MATCH($K$1,[2]enemies!$2:$2,0)+1),MATCH(Z$1,[2]enemies!$2:$2,0)-MATCH($K$1,[2]enemies!$2:$2,0)+1,FALSE)</f>
        <v>1</v>
      </c>
      <c r="AA17" s="2">
        <f t="shared" si="4"/>
        <v>344</v>
      </c>
      <c r="AB17" s="5" t="str">
        <f ca="1">IFERROR(VLOOKUP($AA17,OFFSET([3]characters!$A$1,0,0,COUNTA([3]characters!$A:$A),MATCH(AB$1,[3]characters!$2:$2,0)-MATCH("character_id",[3]characters!$2:$2,0)+1),MATCH(AB$1,[3]characters!$2:$2,0)-MATCH("character_id",[3]characters!$2:$2,0)+1,FALSE),"")</f>
        <v>雷のメタルピヨピヨ</v>
      </c>
      <c r="AC17" s="5">
        <f ca="1">IFERROR(VLOOKUP($AA17,OFFSET([3]characters!$A$1,0,0,COUNTA([3]characters!$A:$A),MATCH(AC$1,[3]characters!$2:$2,0)-MATCH("character_id",[3]characters!$2:$2,0)+1),MATCH(AC$1,[3]characters!$2:$2,0)-MATCH("character_id",[3]characters!$2:$2,0)+1,FALSE),"")</f>
        <v>3</v>
      </c>
      <c r="AD17" s="5" t="str">
        <f ca="1">IFERROR(VLOOKUP($AA17,OFFSET([3]characters!$A$1,0,0,COUNTA([3]characters!$A:$A),MATCH(AD$1,[3]characters!$2:$2,0)-MATCH("character_id",[3]characters!$2:$2,0)+1),MATCH(AD$1,[3]characters!$2:$2,0)-MATCH("character_id",[3]characters!$2:$2,0)+1,FALSE),"")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7" s="8">
        <v>1</v>
      </c>
      <c r="AF17" s="35">
        <f t="shared" ca="1" si="12"/>
        <v>3</v>
      </c>
      <c r="AG17" s="9">
        <v>100</v>
      </c>
      <c r="AH17" s="8">
        <v>0</v>
      </c>
      <c r="AI17" s="8">
        <v>0</v>
      </c>
      <c r="AJ17" s="8">
        <v>0</v>
      </c>
      <c r="AK17" s="8">
        <v>0</v>
      </c>
      <c r="AL17" s="8">
        <v>1</v>
      </c>
    </row>
    <row r="18" spans="1:38" ht="21" customHeight="1">
      <c r="A18" s="21" t="str">
        <f t="shared" ca="1" si="9"/>
        <v>11209_1-3/333&lt;lv1&gt;s2</v>
      </c>
      <c r="B18" s="33">
        <v>11209</v>
      </c>
      <c r="C18" s="32">
        <v>1</v>
      </c>
      <c r="D18" s="2" t="str">
        <f t="shared" si="10"/>
        <v>11209_1</v>
      </c>
      <c r="E18" s="5" t="str">
        <f ca="1">VLOOKUP($B18,OFFSET([1]quests!$A$1,0,0,COUNTA([1]quests!$A:$A),MATCH(E$1,[1]quests!$1:$1,0)-MATCH($B$1,[1]quests!$1:$1,0)+1),MATCH(E$1,[1]quests!$1:$1,0)-MATCH($B$1,[1]quests!$1:$1,0)+1,FALSE)</f>
        <v>【100万DL記念！】 初心者応援クエスト</v>
      </c>
      <c r="F18" s="5" t="str">
        <f ca="1">VLOOKUP($D18,OFFSET([1]stages!$A$1,0,0,COUNTA([1]stages!$A:$A),MATCH(F$1,[1]stages!$2:$2,0)-MATCH($D$1,[1]stages!$2:$2,0)+1),MATCH(F$1,[1]stages!$2:$2,0)-MATCH($D$1,[1]stages!$2:$2,0)+1,FALSE)</f>
        <v>メタルダックを捕獲せよ！ 【初級】</v>
      </c>
      <c r="G18" s="32">
        <v>3</v>
      </c>
      <c r="H18" s="20" t="str">
        <f t="shared" si="11"/>
        <v>11209_1-3</v>
      </c>
      <c r="I18" s="5">
        <f ca="1">VLOOKUP($H18,OFFSET(floors_beginners!$A$1,0,0,COUNTA(floors_beginners!$A:$A),MATCH(I$1,floors_beginners!$1:$1,0)-MATCH($H$1,floors_beginners!$1:$1,0)+1),MATCH(I$1,floors_beginners!$1:$1,0)-MATCH($H$1,floors_beginners!$1:$1,0)+1,FALSE)</f>
        <v>60</v>
      </c>
      <c r="J18" s="5">
        <f ca="1">VLOOKUP($H18,OFFSET(floors_beginners!$A$1,0,0,COUNTA(floors_beginners!$A:$A),MATCH(J$1,floors_beginners!$1:$1,0)-MATCH($H$1,floors_beginners!$1:$1,0)+1),MATCH(J$1,floors_beginners!$1:$1,0)-MATCH($H$1,floors_beginners!$1:$1,0)+1,FALSE)</f>
        <v>60</v>
      </c>
      <c r="K18" s="31">
        <v>333</v>
      </c>
      <c r="L18" s="26" t="str">
        <f ca="1">VLOOKUP($K18,OFFSET([2]enemies!$A$1,0,0,COUNTA([2]enemies!$A:$A),MATCH(L$1,[2]enemies!$2:$2,0)-MATCH($K$1,[2]enemies!$2:$2,0)+1),MATCH(L$1,[2]enemies!$2:$2,0)-MATCH($K$1,[2]enemies!$2:$2,0)+1,FALSE)</f>
        <v>炎のメタルチック</v>
      </c>
      <c r="M18" s="29" t="str">
        <f ca="1">VLOOKUP($K18,OFFSET([2]enemies!$A$1,0,0,COUNTA([2]enemies!$A:$A),MATCH(M$1,[2]enemies!$2:$2,0)-MATCH($K$1,[2]enemies!$2:$2,0)+1),MATCH(M$1,[2]enemies!$2:$2,0)-MATCH($K$1,[2]enemies!$2:$2,0)+1,FALSE)</f>
        <v>red</v>
      </c>
      <c r="N18" s="29" t="str">
        <f ca="1">VLOOKUP($K18,OFFSET([3]characters!$A$1,0,0,COUNTA([3]characters!$A:$A),MATCH(N$1,[3]characters!$2:$2,0)-MATCH($K$1,[3]characters!$2:$2,0)+1),MATCH(N$1,[3]characters!$2:$2,0)-MATCH($K$1,[3]characters!$2:$2,0)+1,FALSE)</f>
        <v>Material</v>
      </c>
      <c r="O18" s="28" t="str">
        <f ca="1">VLOOKUP($K18,OFFSET([3]characters!$A$1,0,0,COUNTA([3]characters!$A:$A),MATCH(O$1,[3]characters!$2:$2,0)-MATCH($K$1,[3]characters!$2:$2,0)+2),MATCH(O$1,[3]characters!$2:$2,0)-MATCH($K$1,[3]characters!$2:$2,0)+2,FALSE)</f>
        <v>Unknown</v>
      </c>
      <c r="P18" s="5">
        <f ca="1">VLOOKUP($K18,OFFSET([2]enemies!$A$1,0,0,COUNTA([2]enemies!$A:$A),MATCH(P$1,[2]enemies!$2:$2,0)-MATCH($K$1,[2]enemies!$2:$2,0)+1),MATCH(P$1,[2]enemies!$2:$2,0)-MATCH($K$1,[2]enemies!$2:$2,0)+1,FALSE)</f>
        <v>15</v>
      </c>
      <c r="Q18" s="6">
        <v>1</v>
      </c>
      <c r="R18" s="37">
        <v>1</v>
      </c>
      <c r="S18" s="37">
        <v>30</v>
      </c>
      <c r="T18" s="6">
        <v>-1000</v>
      </c>
      <c r="U18" s="5" t="str">
        <f ca="1">VLOOKUP($V18,OFFSET([4]enemy_skill_sets!$B$1,0,0,COUNTA([4]enemy_skill_sets!$B:$B),MATCH(L$1,[4]enemy_skill_sets!$1:$1,0)-MATCH($V$1,[4]enemy_skill_sets!$1:$1,0)+2),MATCH(L$1,[4]enemy_skill_sets!$1:$1,0)-MATCH($V$1,[4]enemy_skill_sets!$1:$1,0)+2,FALSE)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8" s="5">
        <f ca="1">VLOOKUP($K18,OFFSET([2]enemies!$A$1,0,0,COUNTA([2]enemies!$A:$A),MATCH(V$1,[2]enemies!$2:$2,0)-MATCH($K$1,[2]enemies!$2:$2,0)+1),MATCH(V$1,[2]enemies!$2:$2,0)-MATCH($K$1,[2]enemies!$2:$2,0)+1,FALSE)</f>
        <v>0</v>
      </c>
      <c r="W18" s="7">
        <v>1</v>
      </c>
      <c r="X18" s="7">
        <v>0</v>
      </c>
      <c r="Y18" s="7">
        <v>2</v>
      </c>
      <c r="Z18" s="26">
        <f ca="1">VLOOKUP($K18,OFFSET([2]enemies!$A$1,0,0,COUNTA([2]enemies!$A:$A),MATCH(Z$1,[2]enemies!$2:$2,0)-MATCH($K$1,[2]enemies!$2:$2,0)+1),MATCH(Z$1,[2]enemies!$2:$2,0)-MATCH($K$1,[2]enemies!$2:$2,0)+1,FALSE)</f>
        <v>2</v>
      </c>
      <c r="AA18" s="2">
        <f t="shared" si="4"/>
        <v>333</v>
      </c>
      <c r="AB18" s="5" t="str">
        <f ca="1">IFERROR(VLOOKUP($AA18,OFFSET([3]characters!$A$1,0,0,COUNTA([3]characters!$A:$A),MATCH(AB$1,[3]characters!$2:$2,0)-MATCH("character_id",[3]characters!$2:$2,0)+1),MATCH(AB$1,[3]characters!$2:$2,0)-MATCH("character_id",[3]characters!$2:$2,0)+1,FALSE),"")</f>
        <v>炎のメタルチック</v>
      </c>
      <c r="AC18" s="5">
        <f ca="1">IFERROR(VLOOKUP($AA18,OFFSET([3]characters!$A$1,0,0,COUNTA([3]characters!$A:$A),MATCH(AC$1,[3]characters!$2:$2,0)-MATCH("character_id",[3]characters!$2:$2,0)+1),MATCH(AC$1,[3]characters!$2:$2,0)-MATCH("character_id",[3]characters!$2:$2,0)+1,FALSE),"")</f>
        <v>4</v>
      </c>
      <c r="AD18" s="5" t="str">
        <f ca="1">IFERROR(VLOOKUP($AA18,OFFSET([3]characters!$A$1,0,0,COUNTA([3]characters!$A:$A),MATCH(AD$1,[3]characters!$2:$2,0)-MATCH("character_id",[3]characters!$2:$2,0)+1),MATCH(AD$1,[3]characters!$2:$2,0)-MATCH("character_id",[3]characters!$2:$2,0)+1,FALSE),"")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8" s="8">
        <v>1</v>
      </c>
      <c r="AF18" s="35">
        <f t="shared" ca="1" si="12"/>
        <v>4</v>
      </c>
      <c r="AG18" s="9">
        <v>30</v>
      </c>
      <c r="AH18" s="8">
        <v>0</v>
      </c>
      <c r="AI18" s="8">
        <v>0</v>
      </c>
      <c r="AJ18" s="8">
        <v>0</v>
      </c>
      <c r="AK18" s="8">
        <v>0</v>
      </c>
      <c r="AL18" s="8">
        <v>1</v>
      </c>
    </row>
    <row r="19" spans="1:38" ht="21" customHeight="1">
      <c r="A19" s="21" t="str">
        <f t="shared" ca="1" si="9"/>
        <v>11209_1-3/345&lt;lv1&gt;s2</v>
      </c>
      <c r="B19" s="33">
        <v>11209</v>
      </c>
      <c r="C19" s="32">
        <v>1</v>
      </c>
      <c r="D19" s="2" t="str">
        <f t="shared" si="10"/>
        <v>11209_1</v>
      </c>
      <c r="E19" s="5" t="str">
        <f ca="1">VLOOKUP($B19,OFFSET([1]quests!$A$1,0,0,COUNTA([1]quests!$A:$A),MATCH(E$1,[1]quests!$1:$1,0)-MATCH($B$1,[1]quests!$1:$1,0)+1),MATCH(E$1,[1]quests!$1:$1,0)-MATCH($B$1,[1]quests!$1:$1,0)+1,FALSE)</f>
        <v>【100万DL記念！】 初心者応援クエスト</v>
      </c>
      <c r="F19" s="5" t="str">
        <f ca="1">VLOOKUP($D19,OFFSET([1]stages!$A$1,0,0,COUNTA([1]stages!$A:$A),MATCH(F$1,[1]stages!$2:$2,0)-MATCH($D$1,[1]stages!$2:$2,0)+1),MATCH(F$1,[1]stages!$2:$2,0)-MATCH($D$1,[1]stages!$2:$2,0)+1,FALSE)</f>
        <v>メタルダックを捕獲せよ！ 【初級】</v>
      </c>
      <c r="G19" s="32">
        <v>3</v>
      </c>
      <c r="H19" s="20" t="str">
        <f t="shared" si="11"/>
        <v>11209_1-3</v>
      </c>
      <c r="I19" s="5">
        <f ca="1">VLOOKUP($H19,OFFSET(floors_beginners!$A$1,0,0,COUNTA(floors_beginners!$A:$A),MATCH(I$1,floors_beginners!$1:$1,0)-MATCH($H$1,floors_beginners!$1:$1,0)+1),MATCH(I$1,floors_beginners!$1:$1,0)-MATCH($H$1,floors_beginners!$1:$1,0)+1,FALSE)</f>
        <v>60</v>
      </c>
      <c r="J19" s="5">
        <f ca="1">VLOOKUP($H19,OFFSET(floors_beginners!$A$1,0,0,COUNTA(floors_beginners!$A:$A),MATCH(J$1,floors_beginners!$1:$1,0)-MATCH($H$1,floors_beginners!$1:$1,0)+1),MATCH(J$1,floors_beginners!$1:$1,0)-MATCH($H$1,floors_beginners!$1:$1,0)+1,FALSE)</f>
        <v>60</v>
      </c>
      <c r="K19" s="31">
        <v>345</v>
      </c>
      <c r="L19" s="26" t="str">
        <f ca="1">VLOOKUP($K19,OFFSET([2]enemies!$A$1,0,0,COUNTA([2]enemies!$A:$A),MATCH(L$1,[2]enemies!$2:$2,0)-MATCH($K$1,[2]enemies!$2:$2,0)+1),MATCH(L$1,[2]enemies!$2:$2,0)-MATCH($K$1,[2]enemies!$2:$2,0)+1,FALSE)</f>
        <v>雷のメタルチック</v>
      </c>
      <c r="M19" s="29" t="str">
        <f ca="1">VLOOKUP($K19,OFFSET([2]enemies!$A$1,0,0,COUNTA([2]enemies!$A:$A),MATCH(M$1,[2]enemies!$2:$2,0)-MATCH($K$1,[2]enemies!$2:$2,0)+1),MATCH(M$1,[2]enemies!$2:$2,0)-MATCH($K$1,[2]enemies!$2:$2,0)+1,FALSE)</f>
        <v>yellow</v>
      </c>
      <c r="N19" s="29" t="str">
        <f ca="1">VLOOKUP($K19,OFFSET([3]characters!$A$1,0,0,COUNTA([3]characters!$A:$A),MATCH(N$1,[3]characters!$2:$2,0)-MATCH($K$1,[3]characters!$2:$2,0)+1),MATCH(N$1,[3]characters!$2:$2,0)-MATCH($K$1,[3]characters!$2:$2,0)+1,FALSE)</f>
        <v>Material</v>
      </c>
      <c r="O19" s="28" t="str">
        <f ca="1">VLOOKUP($K19,OFFSET([3]characters!$A$1,0,0,COUNTA([3]characters!$A:$A),MATCH(O$1,[3]characters!$2:$2,0)-MATCH($K$1,[3]characters!$2:$2,0)+2),MATCH(O$1,[3]characters!$2:$2,0)-MATCH($K$1,[3]characters!$2:$2,0)+2,FALSE)</f>
        <v>Unknown</v>
      </c>
      <c r="P19" s="5">
        <f ca="1">VLOOKUP($K19,OFFSET([2]enemies!$A$1,0,0,COUNTA([2]enemies!$A:$A),MATCH(P$1,[2]enemies!$2:$2,0)-MATCH($K$1,[2]enemies!$2:$2,0)+1),MATCH(P$1,[2]enemies!$2:$2,0)-MATCH($K$1,[2]enemies!$2:$2,0)+1,FALSE)</f>
        <v>15</v>
      </c>
      <c r="Q19" s="6">
        <v>1</v>
      </c>
      <c r="R19" s="37">
        <v>1</v>
      </c>
      <c r="S19" s="37">
        <v>30</v>
      </c>
      <c r="T19" s="6">
        <v>-1000</v>
      </c>
      <c r="U19" s="5" t="str">
        <f ca="1">VLOOKUP($V19,OFFSET([4]enemy_skill_sets!$B$1,0,0,COUNTA([4]enemy_skill_sets!$B:$B),MATCH(L$1,[4]enemy_skill_sets!$1:$1,0)-MATCH($V$1,[4]enemy_skill_sets!$1:$1,0)+2),MATCH(L$1,[4]enemy_skill_sets!$1:$1,0)-MATCH($V$1,[4]enemy_skill_sets!$1:$1,0)+2,FALSE)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9" s="5">
        <f ca="1">VLOOKUP($K19,OFFSET([2]enemies!$A$1,0,0,COUNTA([2]enemies!$A:$A),MATCH(V$1,[2]enemies!$2:$2,0)-MATCH($K$1,[2]enemies!$2:$2,0)+1),MATCH(V$1,[2]enemies!$2:$2,0)-MATCH($K$1,[2]enemies!$2:$2,0)+1,FALSE)</f>
        <v>0</v>
      </c>
      <c r="W19" s="7">
        <v>1</v>
      </c>
      <c r="X19" s="7">
        <v>0</v>
      </c>
      <c r="Y19" s="7">
        <v>2</v>
      </c>
      <c r="Z19" s="26">
        <f ca="1">VLOOKUP($K19,OFFSET([2]enemies!$A$1,0,0,COUNTA([2]enemies!$A:$A),MATCH(Z$1,[2]enemies!$2:$2,0)-MATCH($K$1,[2]enemies!$2:$2,0)+1),MATCH(Z$1,[2]enemies!$2:$2,0)-MATCH($K$1,[2]enemies!$2:$2,0)+1,FALSE)</f>
        <v>2</v>
      </c>
      <c r="AA19" s="2">
        <f t="shared" si="4"/>
        <v>345</v>
      </c>
      <c r="AB19" s="5" t="str">
        <f ca="1">IFERROR(VLOOKUP($AA19,OFFSET([3]characters!$A$1,0,0,COUNTA([3]characters!$A:$A),MATCH(AB$1,[3]characters!$2:$2,0)-MATCH("character_id",[3]characters!$2:$2,0)+1),MATCH(AB$1,[3]characters!$2:$2,0)-MATCH("character_id",[3]characters!$2:$2,0)+1,FALSE),"")</f>
        <v>雷のメタルチック</v>
      </c>
      <c r="AC19" s="5">
        <f ca="1">IFERROR(VLOOKUP($AA19,OFFSET([3]characters!$A$1,0,0,COUNTA([3]characters!$A:$A),MATCH(AC$1,[3]characters!$2:$2,0)-MATCH("character_id",[3]characters!$2:$2,0)+1),MATCH(AC$1,[3]characters!$2:$2,0)-MATCH("character_id",[3]characters!$2:$2,0)+1,FALSE),"")</f>
        <v>4</v>
      </c>
      <c r="AD19" s="5" t="str">
        <f ca="1">IFERROR(VLOOKUP($AA19,OFFSET([3]characters!$A$1,0,0,COUNTA([3]characters!$A:$A),MATCH(AD$1,[3]characters!$2:$2,0)-MATCH("character_id",[3]characters!$2:$2,0)+1),MATCH(AD$1,[3]characters!$2:$2,0)-MATCH("character_id",[3]characters!$2:$2,0)+1,FALSE),"")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19" s="8">
        <v>1</v>
      </c>
      <c r="AF19" s="35">
        <f t="shared" ca="1" si="12"/>
        <v>4</v>
      </c>
      <c r="AG19" s="9">
        <v>30</v>
      </c>
      <c r="AH19" s="8">
        <v>0</v>
      </c>
      <c r="AI19" s="8">
        <v>0</v>
      </c>
      <c r="AJ19" s="8">
        <v>0</v>
      </c>
      <c r="AK19" s="8">
        <v>0</v>
      </c>
      <c r="AL19" s="8">
        <v>1</v>
      </c>
    </row>
    <row r="20" spans="1:38" ht="21" customHeight="1">
      <c r="A20" s="21" t="str">
        <f t="shared" ref="A20:A23" ca="1" si="13">B20&amp;"_"&amp;C20&amp;"-"&amp;G20&amp;"/"&amp;K20&amp;"&lt;lv"&amp;Q20&amp;"&gt;s"&amp;Z20</f>
        <v>11209_1-4/333&lt;lv1&gt;s2</v>
      </c>
      <c r="B20" s="33">
        <v>11209</v>
      </c>
      <c r="C20" s="32">
        <v>1</v>
      </c>
      <c r="D20" s="2" t="str">
        <f t="shared" ref="D20:D23" si="14">B20&amp;"_"&amp;C20</f>
        <v>11209_1</v>
      </c>
      <c r="E20" s="5" t="str">
        <f ca="1">VLOOKUP($B20,OFFSET([1]quests!$A$1,0,0,COUNTA([1]quests!$A:$A),MATCH(E$1,[1]quests!$1:$1,0)-MATCH($B$1,[1]quests!$1:$1,0)+1),MATCH(E$1,[1]quests!$1:$1,0)-MATCH($B$1,[1]quests!$1:$1,0)+1,FALSE)</f>
        <v>【100万DL記念！】 初心者応援クエスト</v>
      </c>
      <c r="F20" s="5" t="str">
        <f ca="1">VLOOKUP($D20,OFFSET([1]stages!$A$1,0,0,COUNTA([1]stages!$A:$A),MATCH(F$1,[1]stages!$2:$2,0)-MATCH($D$1,[1]stages!$2:$2,0)+1),MATCH(F$1,[1]stages!$2:$2,0)-MATCH($D$1,[1]stages!$2:$2,0)+1,FALSE)</f>
        <v>メタルダックを捕獲せよ！ 【初級】</v>
      </c>
      <c r="G20" s="32">
        <v>4</v>
      </c>
      <c r="H20" s="20" t="str">
        <f t="shared" ref="H20:H23" si="15">B20&amp;"_"&amp;C20&amp;"-"&amp;G20</f>
        <v>11209_1-4</v>
      </c>
      <c r="I20" s="5">
        <f ca="1">VLOOKUP($H20,OFFSET(floors_beginners!$A$1,0,0,COUNTA(floors_beginners!$A:$A),MATCH(I$1,floors_beginners!$1:$1,0)-MATCH($H$1,floors_beginners!$1:$1,0)+1),MATCH(I$1,floors_beginners!$1:$1,0)-MATCH($H$1,floors_beginners!$1:$1,0)+1,FALSE)</f>
        <v>60</v>
      </c>
      <c r="J20" s="5">
        <f ca="1">VLOOKUP($H20,OFFSET(floors_beginners!$A$1,0,0,COUNTA(floors_beginners!$A:$A),MATCH(J$1,floors_beginners!$1:$1,0)-MATCH($H$1,floors_beginners!$1:$1,0)+1),MATCH(J$1,floors_beginners!$1:$1,0)-MATCH($H$1,floors_beginners!$1:$1,0)+1,FALSE)</f>
        <v>60</v>
      </c>
      <c r="K20" s="31">
        <v>333</v>
      </c>
      <c r="L20" s="26" t="str">
        <f ca="1">VLOOKUP($K20,OFFSET([2]enemies!$A$1,0,0,COUNTA([2]enemies!$A:$A),MATCH(L$1,[2]enemies!$2:$2,0)-MATCH($K$1,[2]enemies!$2:$2,0)+1),MATCH(L$1,[2]enemies!$2:$2,0)-MATCH($K$1,[2]enemies!$2:$2,0)+1,FALSE)</f>
        <v>炎のメタルチック</v>
      </c>
      <c r="M20" s="29" t="str">
        <f ca="1">VLOOKUP($K20,OFFSET([2]enemies!$A$1,0,0,COUNTA([2]enemies!$A:$A),MATCH(M$1,[2]enemies!$2:$2,0)-MATCH($K$1,[2]enemies!$2:$2,0)+1),MATCH(M$1,[2]enemies!$2:$2,0)-MATCH($K$1,[2]enemies!$2:$2,0)+1,FALSE)</f>
        <v>red</v>
      </c>
      <c r="N20" s="29" t="str">
        <f ca="1">VLOOKUP($K20,OFFSET([3]characters!$A$1,0,0,COUNTA([3]characters!$A:$A),MATCH(N$1,[3]characters!$2:$2,0)-MATCH($K$1,[3]characters!$2:$2,0)+1),MATCH(N$1,[3]characters!$2:$2,0)-MATCH($K$1,[3]characters!$2:$2,0)+1,FALSE)</f>
        <v>Material</v>
      </c>
      <c r="O20" s="28" t="str">
        <f ca="1">VLOOKUP($K20,OFFSET([3]characters!$A$1,0,0,COUNTA([3]characters!$A:$A),MATCH(O$1,[3]characters!$2:$2,0)-MATCH($K$1,[3]characters!$2:$2,0)+2),MATCH(O$1,[3]characters!$2:$2,0)-MATCH($K$1,[3]characters!$2:$2,0)+2,FALSE)</f>
        <v>Unknown</v>
      </c>
      <c r="P20" s="5">
        <f ca="1">VLOOKUP($K20,OFFSET([2]enemies!$A$1,0,0,COUNTA([2]enemies!$A:$A),MATCH(P$1,[2]enemies!$2:$2,0)-MATCH($K$1,[2]enemies!$2:$2,0)+1),MATCH(P$1,[2]enemies!$2:$2,0)-MATCH($K$1,[2]enemies!$2:$2,0)+1,FALSE)</f>
        <v>15</v>
      </c>
      <c r="Q20" s="6">
        <v>1</v>
      </c>
      <c r="R20" s="37">
        <v>1</v>
      </c>
      <c r="S20" s="37">
        <v>30</v>
      </c>
      <c r="T20" s="6">
        <v>-1000</v>
      </c>
      <c r="U20" s="5" t="str">
        <f ca="1">VLOOKUP($V20,OFFSET([4]enemy_skill_sets!$B$1,0,0,COUNTA([4]enemy_skill_sets!$B:$B),MATCH(L$1,[4]enemy_skill_sets!$1:$1,0)-MATCH($V$1,[4]enemy_skill_sets!$1:$1,0)+2),MATCH(L$1,[4]enemy_skill_sets!$1:$1,0)-MATCH($V$1,[4]enemy_skill_sets!$1:$1,0)+2,FALSE)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0" s="5">
        <f ca="1">VLOOKUP($K20,OFFSET([2]enemies!$A$1,0,0,COUNTA([2]enemies!$A:$A),MATCH(V$1,[2]enemies!$2:$2,0)-MATCH($K$1,[2]enemies!$2:$2,0)+1),MATCH(V$1,[2]enemies!$2:$2,0)-MATCH($K$1,[2]enemies!$2:$2,0)+1,FALSE)</f>
        <v>0</v>
      </c>
      <c r="W20" s="7">
        <v>1</v>
      </c>
      <c r="X20" s="7">
        <v>100</v>
      </c>
      <c r="Y20" s="7">
        <v>0</v>
      </c>
      <c r="Z20" s="26">
        <f ca="1">VLOOKUP($K20,OFFSET([2]enemies!$A$1,0,0,COUNTA([2]enemies!$A:$A),MATCH(Z$1,[2]enemies!$2:$2,0)-MATCH($K$1,[2]enemies!$2:$2,0)+1),MATCH(Z$1,[2]enemies!$2:$2,0)-MATCH($K$1,[2]enemies!$2:$2,0)+1,FALSE)</f>
        <v>2</v>
      </c>
      <c r="AA20" s="2">
        <f t="shared" si="4"/>
        <v>333</v>
      </c>
      <c r="AB20" s="5" t="str">
        <f ca="1">IFERROR(VLOOKUP($AA20,OFFSET([3]characters!$A$1,0,0,COUNTA([3]characters!$A:$A),MATCH(AB$1,[3]characters!$2:$2,0)-MATCH("character_id",[3]characters!$2:$2,0)+1),MATCH(AB$1,[3]characters!$2:$2,0)-MATCH("character_id",[3]characters!$2:$2,0)+1,FALSE),"")</f>
        <v>炎のメタルチック</v>
      </c>
      <c r="AC20" s="5">
        <f ca="1">IFERROR(VLOOKUP($AA20,OFFSET([3]characters!$A$1,0,0,COUNTA([3]characters!$A:$A),MATCH(AC$1,[3]characters!$2:$2,0)-MATCH("character_id",[3]characters!$2:$2,0)+1),MATCH(AC$1,[3]characters!$2:$2,0)-MATCH("character_id",[3]characters!$2:$2,0)+1,FALSE),"")</f>
        <v>4</v>
      </c>
      <c r="AD20" s="5" t="str">
        <f ca="1">IFERROR(VLOOKUP($AA20,OFFSET([3]characters!$A$1,0,0,COUNTA([3]characters!$A:$A),MATCH(AD$1,[3]characters!$2:$2,0)-MATCH("character_id",[3]characters!$2:$2,0)+1),MATCH(AD$1,[3]characters!$2:$2,0)-MATCH("character_id",[3]characters!$2:$2,0)+1,FALSE),"")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0" s="8">
        <v>1</v>
      </c>
      <c r="AF20" s="35">
        <f t="shared" ref="AF20:AF23" ca="1" si="16">AC20</f>
        <v>4</v>
      </c>
      <c r="AG20" s="9">
        <v>100</v>
      </c>
      <c r="AH20" s="8">
        <v>0</v>
      </c>
      <c r="AI20" s="8">
        <v>0</v>
      </c>
      <c r="AJ20" s="8">
        <v>0</v>
      </c>
      <c r="AK20" s="8">
        <v>0</v>
      </c>
      <c r="AL20" s="8">
        <v>1</v>
      </c>
    </row>
    <row r="21" spans="1:38" ht="21" customHeight="1">
      <c r="A21" s="21" t="str">
        <f t="shared" ca="1" si="13"/>
        <v>11209_1-4/337&lt;lv1&gt;s2</v>
      </c>
      <c r="B21" s="33">
        <v>11209</v>
      </c>
      <c r="C21" s="32">
        <v>1</v>
      </c>
      <c r="D21" s="2" t="str">
        <f t="shared" si="14"/>
        <v>11209_1</v>
      </c>
      <c r="E21" s="5" t="str">
        <f ca="1">VLOOKUP($B21,OFFSET([1]quests!$A$1,0,0,COUNTA([1]quests!$A:$A),MATCH(E$1,[1]quests!$1:$1,0)-MATCH($B$1,[1]quests!$1:$1,0)+1),MATCH(E$1,[1]quests!$1:$1,0)-MATCH($B$1,[1]quests!$1:$1,0)+1,FALSE)</f>
        <v>【100万DL記念！】 初心者応援クエスト</v>
      </c>
      <c r="F21" s="5" t="str">
        <f ca="1">VLOOKUP($D21,OFFSET([1]stages!$A$1,0,0,COUNTA([1]stages!$A:$A),MATCH(F$1,[1]stages!$2:$2,0)-MATCH($D$1,[1]stages!$2:$2,0)+1),MATCH(F$1,[1]stages!$2:$2,0)-MATCH($D$1,[1]stages!$2:$2,0)+1,FALSE)</f>
        <v>メタルダックを捕獲せよ！ 【初級】</v>
      </c>
      <c r="G21" s="32">
        <v>4</v>
      </c>
      <c r="H21" s="20" t="str">
        <f t="shared" si="15"/>
        <v>11209_1-4</v>
      </c>
      <c r="I21" s="5">
        <f ca="1">VLOOKUP($H21,OFFSET(floors_beginners!$A$1,0,0,COUNTA(floors_beginners!$A:$A),MATCH(I$1,floors_beginners!$1:$1,0)-MATCH($H$1,floors_beginners!$1:$1,0)+1),MATCH(I$1,floors_beginners!$1:$1,0)-MATCH($H$1,floors_beginners!$1:$1,0)+1,FALSE)</f>
        <v>60</v>
      </c>
      <c r="J21" s="5">
        <f ca="1">VLOOKUP($H21,OFFSET(floors_beginners!$A$1,0,0,COUNTA(floors_beginners!$A:$A),MATCH(J$1,floors_beginners!$1:$1,0)-MATCH($H$1,floors_beginners!$1:$1,0)+1),MATCH(J$1,floors_beginners!$1:$1,0)-MATCH($H$1,floors_beginners!$1:$1,0)+1,FALSE)</f>
        <v>60</v>
      </c>
      <c r="K21" s="31">
        <v>337</v>
      </c>
      <c r="L21" s="26" t="str">
        <f ca="1">VLOOKUP($K21,OFFSET([2]enemies!$A$1,0,0,COUNTA([2]enemies!$A:$A),MATCH(L$1,[2]enemies!$2:$2,0)-MATCH($K$1,[2]enemies!$2:$2,0)+1),MATCH(L$1,[2]enemies!$2:$2,0)-MATCH($K$1,[2]enemies!$2:$2,0)+1,FALSE)</f>
        <v>森のメタルチック</v>
      </c>
      <c r="M21" s="29" t="str">
        <f ca="1">VLOOKUP($K21,OFFSET([2]enemies!$A$1,0,0,COUNTA([2]enemies!$A:$A),MATCH(M$1,[2]enemies!$2:$2,0)-MATCH($K$1,[2]enemies!$2:$2,0)+1),MATCH(M$1,[2]enemies!$2:$2,0)-MATCH($K$1,[2]enemies!$2:$2,0)+1,FALSE)</f>
        <v>green</v>
      </c>
      <c r="N21" s="29" t="str">
        <f ca="1">VLOOKUP($K21,OFFSET([3]characters!$A$1,0,0,COUNTA([3]characters!$A:$A),MATCH(N$1,[3]characters!$2:$2,0)-MATCH($K$1,[3]characters!$2:$2,0)+1),MATCH(N$1,[3]characters!$2:$2,0)-MATCH($K$1,[3]characters!$2:$2,0)+1,FALSE)</f>
        <v>Material</v>
      </c>
      <c r="O21" s="28" t="str">
        <f ca="1">VLOOKUP($K21,OFFSET([3]characters!$A$1,0,0,COUNTA([3]characters!$A:$A),MATCH(O$1,[3]characters!$2:$2,0)-MATCH($K$1,[3]characters!$2:$2,0)+2),MATCH(O$1,[3]characters!$2:$2,0)-MATCH($K$1,[3]characters!$2:$2,0)+2,FALSE)</f>
        <v>Unknown</v>
      </c>
      <c r="P21" s="5">
        <f ca="1">VLOOKUP($K21,OFFSET([2]enemies!$A$1,0,0,COUNTA([2]enemies!$A:$A),MATCH(P$1,[2]enemies!$2:$2,0)-MATCH($K$1,[2]enemies!$2:$2,0)+1),MATCH(P$1,[2]enemies!$2:$2,0)-MATCH($K$1,[2]enemies!$2:$2,0)+1,FALSE)</f>
        <v>15</v>
      </c>
      <c r="Q21" s="6">
        <v>1</v>
      </c>
      <c r="R21" s="37">
        <v>1</v>
      </c>
      <c r="S21" s="37">
        <v>30</v>
      </c>
      <c r="T21" s="6">
        <v>-1000</v>
      </c>
      <c r="U21" s="5" t="str">
        <f ca="1">VLOOKUP($V21,OFFSET([4]enemy_skill_sets!$B$1,0,0,COUNTA([4]enemy_skill_sets!$B:$B),MATCH(L$1,[4]enemy_skill_sets!$1:$1,0)-MATCH($V$1,[4]enemy_skill_sets!$1:$1,0)+2),MATCH(L$1,[4]enemy_skill_sets!$1:$1,0)-MATCH($V$1,[4]enemy_skill_sets!$1:$1,0)+2,FALSE)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1" s="5">
        <f ca="1">VLOOKUP($K21,OFFSET([2]enemies!$A$1,0,0,COUNTA([2]enemies!$A:$A),MATCH(V$1,[2]enemies!$2:$2,0)-MATCH($K$1,[2]enemies!$2:$2,0)+1),MATCH(V$1,[2]enemies!$2:$2,0)-MATCH($K$1,[2]enemies!$2:$2,0)+1,FALSE)</f>
        <v>0</v>
      </c>
      <c r="W21" s="7">
        <v>1</v>
      </c>
      <c r="X21" s="7">
        <v>100</v>
      </c>
      <c r="Y21" s="7">
        <v>0</v>
      </c>
      <c r="Z21" s="26">
        <f ca="1">VLOOKUP($K21,OFFSET([2]enemies!$A$1,0,0,COUNTA([2]enemies!$A:$A),MATCH(Z$1,[2]enemies!$2:$2,0)-MATCH($K$1,[2]enemies!$2:$2,0)+1),MATCH(Z$1,[2]enemies!$2:$2,0)-MATCH($K$1,[2]enemies!$2:$2,0)+1,FALSE)</f>
        <v>2</v>
      </c>
      <c r="AA21" s="2">
        <f t="shared" si="4"/>
        <v>337</v>
      </c>
      <c r="AB21" s="5" t="str">
        <f ca="1">IFERROR(VLOOKUP($AA21,OFFSET([3]characters!$A$1,0,0,COUNTA([3]characters!$A:$A),MATCH(AB$1,[3]characters!$2:$2,0)-MATCH("character_id",[3]characters!$2:$2,0)+1),MATCH(AB$1,[3]characters!$2:$2,0)-MATCH("character_id",[3]characters!$2:$2,0)+1,FALSE),"")</f>
        <v>森のメタルチック</v>
      </c>
      <c r="AC21" s="5">
        <f ca="1">IFERROR(VLOOKUP($AA21,OFFSET([3]characters!$A$1,0,0,COUNTA([3]characters!$A:$A),MATCH(AC$1,[3]characters!$2:$2,0)-MATCH("character_id",[3]characters!$2:$2,0)+1),MATCH(AC$1,[3]characters!$2:$2,0)-MATCH("character_id",[3]characters!$2:$2,0)+1,FALSE),"")</f>
        <v>4</v>
      </c>
      <c r="AD21" s="5" t="str">
        <f ca="1">IFERROR(VLOOKUP($AA21,OFFSET([3]characters!$A$1,0,0,COUNTA([3]characters!$A:$A),MATCH(AD$1,[3]characters!$2:$2,0)-MATCH("character_id",[3]characters!$2:$2,0)+1),MATCH(AD$1,[3]characters!$2:$2,0)-MATCH("character_id",[3]characters!$2:$2,0)+1,FALSE),"")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1" s="8">
        <v>1</v>
      </c>
      <c r="AF21" s="35">
        <f t="shared" ca="1" si="16"/>
        <v>4</v>
      </c>
      <c r="AG21" s="9">
        <v>100</v>
      </c>
      <c r="AH21" s="8">
        <v>0</v>
      </c>
      <c r="AI21" s="8">
        <v>0</v>
      </c>
      <c r="AJ21" s="8">
        <v>0</v>
      </c>
      <c r="AK21" s="8">
        <v>0</v>
      </c>
      <c r="AL21" s="8">
        <v>1</v>
      </c>
    </row>
    <row r="22" spans="1:38" ht="21" customHeight="1">
      <c r="A22" s="21" t="str">
        <f t="shared" ca="1" si="13"/>
        <v>11209_1-4/341&lt;lv1&gt;s2</v>
      </c>
      <c r="B22" s="33">
        <v>11209</v>
      </c>
      <c r="C22" s="32">
        <v>1</v>
      </c>
      <c r="D22" s="2" t="str">
        <f t="shared" si="14"/>
        <v>11209_1</v>
      </c>
      <c r="E22" s="5" t="str">
        <f ca="1">VLOOKUP($B22,OFFSET([1]quests!$A$1,0,0,COUNTA([1]quests!$A:$A),MATCH(E$1,[1]quests!$1:$1,0)-MATCH($B$1,[1]quests!$1:$1,0)+1),MATCH(E$1,[1]quests!$1:$1,0)-MATCH($B$1,[1]quests!$1:$1,0)+1,FALSE)</f>
        <v>【100万DL記念！】 初心者応援クエスト</v>
      </c>
      <c r="F22" s="5" t="str">
        <f ca="1">VLOOKUP($D22,OFFSET([1]stages!$A$1,0,0,COUNTA([1]stages!$A:$A),MATCH(F$1,[1]stages!$2:$2,0)-MATCH($D$1,[1]stages!$2:$2,0)+1),MATCH(F$1,[1]stages!$2:$2,0)-MATCH($D$1,[1]stages!$2:$2,0)+1,FALSE)</f>
        <v>メタルダックを捕獲せよ！ 【初級】</v>
      </c>
      <c r="G22" s="32">
        <v>4</v>
      </c>
      <c r="H22" s="20" t="str">
        <f t="shared" si="15"/>
        <v>11209_1-4</v>
      </c>
      <c r="I22" s="5">
        <f ca="1">VLOOKUP($H22,OFFSET(floors_beginners!$A$1,0,0,COUNTA(floors_beginners!$A:$A),MATCH(I$1,floors_beginners!$1:$1,0)-MATCH($H$1,floors_beginners!$1:$1,0)+1),MATCH(I$1,floors_beginners!$1:$1,0)-MATCH($H$1,floors_beginners!$1:$1,0)+1,FALSE)</f>
        <v>60</v>
      </c>
      <c r="J22" s="5">
        <f ca="1">VLOOKUP($H22,OFFSET(floors_beginners!$A$1,0,0,COUNTA(floors_beginners!$A:$A),MATCH(J$1,floors_beginners!$1:$1,0)-MATCH($H$1,floors_beginners!$1:$1,0)+1),MATCH(J$1,floors_beginners!$1:$1,0)-MATCH($H$1,floors_beginners!$1:$1,0)+1,FALSE)</f>
        <v>60</v>
      </c>
      <c r="K22" s="31">
        <v>341</v>
      </c>
      <c r="L22" s="26" t="str">
        <f ca="1">VLOOKUP($K22,OFFSET([2]enemies!$A$1,0,0,COUNTA([2]enemies!$A:$A),MATCH(L$1,[2]enemies!$2:$2,0)-MATCH($K$1,[2]enemies!$2:$2,0)+1),MATCH(L$1,[2]enemies!$2:$2,0)-MATCH($K$1,[2]enemies!$2:$2,0)+1,FALSE)</f>
        <v>水のメタルチック</v>
      </c>
      <c r="M22" s="29" t="str">
        <f ca="1">VLOOKUP($K22,OFFSET([2]enemies!$A$1,0,0,COUNTA([2]enemies!$A:$A),MATCH(M$1,[2]enemies!$2:$2,0)-MATCH($K$1,[2]enemies!$2:$2,0)+1),MATCH(M$1,[2]enemies!$2:$2,0)-MATCH($K$1,[2]enemies!$2:$2,0)+1,FALSE)</f>
        <v>blue</v>
      </c>
      <c r="N22" s="29" t="str">
        <f ca="1">VLOOKUP($K22,OFFSET([3]characters!$A$1,0,0,COUNTA([3]characters!$A:$A),MATCH(N$1,[3]characters!$2:$2,0)-MATCH($K$1,[3]characters!$2:$2,0)+1),MATCH(N$1,[3]characters!$2:$2,0)-MATCH($K$1,[3]characters!$2:$2,0)+1,FALSE)</f>
        <v>Material</v>
      </c>
      <c r="O22" s="28" t="str">
        <f ca="1">VLOOKUP($K22,OFFSET([3]characters!$A$1,0,0,COUNTA([3]characters!$A:$A),MATCH(O$1,[3]characters!$2:$2,0)-MATCH($K$1,[3]characters!$2:$2,0)+2),MATCH(O$1,[3]characters!$2:$2,0)-MATCH($K$1,[3]characters!$2:$2,0)+2,FALSE)</f>
        <v>Unknown</v>
      </c>
      <c r="P22" s="5">
        <f ca="1">VLOOKUP($K22,OFFSET([2]enemies!$A$1,0,0,COUNTA([2]enemies!$A:$A),MATCH(P$1,[2]enemies!$2:$2,0)-MATCH($K$1,[2]enemies!$2:$2,0)+1),MATCH(P$1,[2]enemies!$2:$2,0)-MATCH($K$1,[2]enemies!$2:$2,0)+1,FALSE)</f>
        <v>15</v>
      </c>
      <c r="Q22" s="6">
        <v>1</v>
      </c>
      <c r="R22" s="37">
        <v>1</v>
      </c>
      <c r="S22" s="37">
        <v>30</v>
      </c>
      <c r="T22" s="6">
        <v>-1000</v>
      </c>
      <c r="U22" s="5" t="str">
        <f ca="1">VLOOKUP($V22,OFFSET([4]enemy_skill_sets!$B$1,0,0,COUNTA([4]enemy_skill_sets!$B:$B),MATCH(L$1,[4]enemy_skill_sets!$1:$1,0)-MATCH($V$1,[4]enemy_skill_sets!$1:$1,0)+2),MATCH(L$1,[4]enemy_skill_sets!$1:$1,0)-MATCH($V$1,[4]enemy_skill_sets!$1:$1,0)+2,FALSE)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2" s="5">
        <f ca="1">VLOOKUP($K22,OFFSET([2]enemies!$A$1,0,0,COUNTA([2]enemies!$A:$A),MATCH(V$1,[2]enemies!$2:$2,0)-MATCH($K$1,[2]enemies!$2:$2,0)+1),MATCH(V$1,[2]enemies!$2:$2,0)-MATCH($K$1,[2]enemies!$2:$2,0)+1,FALSE)</f>
        <v>0</v>
      </c>
      <c r="W22" s="7">
        <v>1</v>
      </c>
      <c r="X22" s="7">
        <v>100</v>
      </c>
      <c r="Y22" s="7">
        <v>0</v>
      </c>
      <c r="Z22" s="26">
        <f ca="1">VLOOKUP($K22,OFFSET([2]enemies!$A$1,0,0,COUNTA([2]enemies!$A:$A),MATCH(Z$1,[2]enemies!$2:$2,0)-MATCH($K$1,[2]enemies!$2:$2,0)+1),MATCH(Z$1,[2]enemies!$2:$2,0)-MATCH($K$1,[2]enemies!$2:$2,0)+1,FALSE)</f>
        <v>2</v>
      </c>
      <c r="AA22" s="2">
        <f t="shared" si="4"/>
        <v>341</v>
      </c>
      <c r="AB22" s="5" t="str">
        <f ca="1">IFERROR(VLOOKUP($AA22,OFFSET([3]characters!$A$1,0,0,COUNTA([3]characters!$A:$A),MATCH(AB$1,[3]characters!$2:$2,0)-MATCH("character_id",[3]characters!$2:$2,0)+1),MATCH(AB$1,[3]characters!$2:$2,0)-MATCH("character_id",[3]characters!$2:$2,0)+1,FALSE),"")</f>
        <v>水のメタルチック</v>
      </c>
      <c r="AC22" s="5">
        <f ca="1">IFERROR(VLOOKUP($AA22,OFFSET([3]characters!$A$1,0,0,COUNTA([3]characters!$A:$A),MATCH(AC$1,[3]characters!$2:$2,0)-MATCH("character_id",[3]characters!$2:$2,0)+1),MATCH(AC$1,[3]characters!$2:$2,0)-MATCH("character_id",[3]characters!$2:$2,0)+1,FALSE),"")</f>
        <v>4</v>
      </c>
      <c r="AD22" s="5" t="str">
        <f ca="1">IFERROR(VLOOKUP($AA22,OFFSET([3]characters!$A$1,0,0,COUNTA([3]characters!$A:$A),MATCH(AD$1,[3]characters!$2:$2,0)-MATCH("character_id",[3]characters!$2:$2,0)+1),MATCH(AD$1,[3]characters!$2:$2,0)-MATCH("character_id",[3]characters!$2:$2,0)+1,FALSE),"")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2" s="8">
        <v>1</v>
      </c>
      <c r="AF22" s="35">
        <f t="shared" ca="1" si="16"/>
        <v>4</v>
      </c>
      <c r="AG22" s="9">
        <v>100</v>
      </c>
      <c r="AH22" s="8">
        <v>0</v>
      </c>
      <c r="AI22" s="8">
        <v>0</v>
      </c>
      <c r="AJ22" s="8">
        <v>0</v>
      </c>
      <c r="AK22" s="8">
        <v>0</v>
      </c>
      <c r="AL22" s="8">
        <v>1</v>
      </c>
    </row>
    <row r="23" spans="1:38" ht="21" customHeight="1">
      <c r="A23" s="21" t="str">
        <f t="shared" ca="1" si="13"/>
        <v>11209_1-4/345&lt;lv1&gt;s2</v>
      </c>
      <c r="B23" s="33">
        <v>11209</v>
      </c>
      <c r="C23" s="32">
        <v>1</v>
      </c>
      <c r="D23" s="2" t="str">
        <f t="shared" si="14"/>
        <v>11209_1</v>
      </c>
      <c r="E23" s="5" t="str">
        <f ca="1">VLOOKUP($B23,OFFSET([1]quests!$A$1,0,0,COUNTA([1]quests!$A:$A),MATCH(E$1,[1]quests!$1:$1,0)-MATCH($B$1,[1]quests!$1:$1,0)+1),MATCH(E$1,[1]quests!$1:$1,0)-MATCH($B$1,[1]quests!$1:$1,0)+1,FALSE)</f>
        <v>【100万DL記念！】 初心者応援クエスト</v>
      </c>
      <c r="F23" s="5" t="str">
        <f ca="1">VLOOKUP($D23,OFFSET([1]stages!$A$1,0,0,COUNTA([1]stages!$A:$A),MATCH(F$1,[1]stages!$2:$2,0)-MATCH($D$1,[1]stages!$2:$2,0)+1),MATCH(F$1,[1]stages!$2:$2,0)-MATCH($D$1,[1]stages!$2:$2,0)+1,FALSE)</f>
        <v>メタルダックを捕獲せよ！ 【初級】</v>
      </c>
      <c r="G23" s="32">
        <v>4</v>
      </c>
      <c r="H23" s="20" t="str">
        <f t="shared" si="15"/>
        <v>11209_1-4</v>
      </c>
      <c r="I23" s="5">
        <f ca="1">VLOOKUP($H23,OFFSET(floors_beginners!$A$1,0,0,COUNTA(floors_beginners!$A:$A),MATCH(I$1,floors_beginners!$1:$1,0)-MATCH($H$1,floors_beginners!$1:$1,0)+1),MATCH(I$1,floors_beginners!$1:$1,0)-MATCH($H$1,floors_beginners!$1:$1,0)+1,FALSE)</f>
        <v>60</v>
      </c>
      <c r="J23" s="5">
        <f ca="1">VLOOKUP($H23,OFFSET(floors_beginners!$A$1,0,0,COUNTA(floors_beginners!$A:$A),MATCH(J$1,floors_beginners!$1:$1,0)-MATCH($H$1,floors_beginners!$1:$1,0)+1),MATCH(J$1,floors_beginners!$1:$1,0)-MATCH($H$1,floors_beginners!$1:$1,0)+1,FALSE)</f>
        <v>60</v>
      </c>
      <c r="K23" s="31">
        <v>345</v>
      </c>
      <c r="L23" s="26" t="str">
        <f ca="1">VLOOKUP($K23,OFFSET([2]enemies!$A$1,0,0,COUNTA([2]enemies!$A:$A),MATCH(L$1,[2]enemies!$2:$2,0)-MATCH($K$1,[2]enemies!$2:$2,0)+1),MATCH(L$1,[2]enemies!$2:$2,0)-MATCH($K$1,[2]enemies!$2:$2,0)+1,FALSE)</f>
        <v>雷のメタルチック</v>
      </c>
      <c r="M23" s="29" t="str">
        <f ca="1">VLOOKUP($K23,OFFSET([2]enemies!$A$1,0,0,COUNTA([2]enemies!$A:$A),MATCH(M$1,[2]enemies!$2:$2,0)-MATCH($K$1,[2]enemies!$2:$2,0)+1),MATCH(M$1,[2]enemies!$2:$2,0)-MATCH($K$1,[2]enemies!$2:$2,0)+1,FALSE)</f>
        <v>yellow</v>
      </c>
      <c r="N23" s="29" t="str">
        <f ca="1">VLOOKUP($K23,OFFSET([3]characters!$A$1,0,0,COUNTA([3]characters!$A:$A),MATCH(N$1,[3]characters!$2:$2,0)-MATCH($K$1,[3]characters!$2:$2,0)+1),MATCH(N$1,[3]characters!$2:$2,0)-MATCH($K$1,[3]characters!$2:$2,0)+1,FALSE)</f>
        <v>Material</v>
      </c>
      <c r="O23" s="28" t="str">
        <f ca="1">VLOOKUP($K23,OFFSET([3]characters!$A$1,0,0,COUNTA([3]characters!$A:$A),MATCH(O$1,[3]characters!$2:$2,0)-MATCH($K$1,[3]characters!$2:$2,0)+2),MATCH(O$1,[3]characters!$2:$2,0)-MATCH($K$1,[3]characters!$2:$2,0)+2,FALSE)</f>
        <v>Unknown</v>
      </c>
      <c r="P23" s="5">
        <f ca="1">VLOOKUP($K23,OFFSET([2]enemies!$A$1,0,0,COUNTA([2]enemies!$A:$A),MATCH(P$1,[2]enemies!$2:$2,0)-MATCH($K$1,[2]enemies!$2:$2,0)+1),MATCH(P$1,[2]enemies!$2:$2,0)-MATCH($K$1,[2]enemies!$2:$2,0)+1,FALSE)</f>
        <v>15</v>
      </c>
      <c r="Q23" s="6">
        <v>1</v>
      </c>
      <c r="R23" s="37">
        <v>1</v>
      </c>
      <c r="S23" s="37">
        <v>30</v>
      </c>
      <c r="T23" s="6">
        <v>-1000</v>
      </c>
      <c r="U23" s="5" t="str">
        <f ca="1">VLOOKUP($V23,OFFSET([4]enemy_skill_sets!$B$1,0,0,COUNTA([4]enemy_skill_sets!$B:$B),MATCH(L$1,[4]enemy_skill_sets!$1:$1,0)-MATCH($V$1,[4]enemy_skill_sets!$1:$1,0)+2),MATCH(L$1,[4]enemy_skill_sets!$1:$1,0)-MATCH($V$1,[4]enemy_skill_sets!$1:$1,0)+2,FALSE)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3" s="5">
        <f ca="1">VLOOKUP($K23,OFFSET([2]enemies!$A$1,0,0,COUNTA([2]enemies!$A:$A),MATCH(V$1,[2]enemies!$2:$2,0)-MATCH($K$1,[2]enemies!$2:$2,0)+1),MATCH(V$1,[2]enemies!$2:$2,0)-MATCH($K$1,[2]enemies!$2:$2,0)+1,FALSE)</f>
        <v>0</v>
      </c>
      <c r="W23" s="7">
        <v>1</v>
      </c>
      <c r="X23" s="7">
        <v>100</v>
      </c>
      <c r="Y23" s="7">
        <v>0</v>
      </c>
      <c r="Z23" s="26">
        <f ca="1">VLOOKUP($K23,OFFSET([2]enemies!$A$1,0,0,COUNTA([2]enemies!$A:$A),MATCH(Z$1,[2]enemies!$2:$2,0)-MATCH($K$1,[2]enemies!$2:$2,0)+1),MATCH(Z$1,[2]enemies!$2:$2,0)-MATCH($K$1,[2]enemies!$2:$2,0)+1,FALSE)</f>
        <v>2</v>
      </c>
      <c r="AA23" s="2">
        <f t="shared" si="4"/>
        <v>345</v>
      </c>
      <c r="AB23" s="5" t="str">
        <f ca="1">IFERROR(VLOOKUP($AA23,OFFSET([3]characters!$A$1,0,0,COUNTA([3]characters!$A:$A),MATCH(AB$1,[3]characters!$2:$2,0)-MATCH("character_id",[3]characters!$2:$2,0)+1),MATCH(AB$1,[3]characters!$2:$2,0)-MATCH("character_id",[3]characters!$2:$2,0)+1,FALSE),"")</f>
        <v>雷のメタルチック</v>
      </c>
      <c r="AC23" s="5">
        <f ca="1">IFERROR(VLOOKUP($AA23,OFFSET([3]characters!$A$1,0,0,COUNTA([3]characters!$A:$A),MATCH(AC$1,[3]characters!$2:$2,0)-MATCH("character_id",[3]characters!$2:$2,0)+1),MATCH(AC$1,[3]characters!$2:$2,0)-MATCH("character_id",[3]characters!$2:$2,0)+1,FALSE),"")</f>
        <v>4</v>
      </c>
      <c r="AD23" s="5" t="str">
        <f ca="1">IFERROR(VLOOKUP($AA23,OFFSET([3]characters!$A$1,0,0,COUNTA([3]characters!$A:$A),MATCH(AD$1,[3]characters!$2:$2,0)-MATCH("character_id",[3]characters!$2:$2,0)+1),MATCH(AD$1,[3]characters!$2:$2,0)-MATCH("character_id",[3]characters!$2:$2,0)+1,FALSE),"")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3" s="8">
        <v>1</v>
      </c>
      <c r="AF23" s="35">
        <f t="shared" ca="1" si="16"/>
        <v>4</v>
      </c>
      <c r="AG23" s="9">
        <v>100</v>
      </c>
      <c r="AH23" s="8">
        <v>0</v>
      </c>
      <c r="AI23" s="8">
        <v>0</v>
      </c>
      <c r="AJ23" s="8">
        <v>0</v>
      </c>
      <c r="AK23" s="8">
        <v>0</v>
      </c>
      <c r="AL23" s="8">
        <v>1</v>
      </c>
    </row>
    <row r="24" spans="1:38" ht="21" customHeight="1">
      <c r="A24" s="21" t="str">
        <f t="shared" ref="A24:A25" ca="1" si="17">B24&amp;"_"&amp;C24&amp;"-"&amp;G24&amp;"/"&amp;K24&amp;"&lt;lv"&amp;Q24&amp;"&gt;s"&amp;Z24</f>
        <v>11209_1-5/337&lt;lv1&gt;s2</v>
      </c>
      <c r="B24" s="33">
        <v>11209</v>
      </c>
      <c r="C24" s="32">
        <v>1</v>
      </c>
      <c r="D24" s="2" t="str">
        <f t="shared" ref="D24:D25" si="18">B24&amp;"_"&amp;C24</f>
        <v>11209_1</v>
      </c>
      <c r="E24" s="5" t="str">
        <f ca="1">VLOOKUP($B24,OFFSET([1]quests!$A$1,0,0,COUNTA([1]quests!$A:$A),MATCH(E$1,[1]quests!$1:$1,0)-MATCH($B$1,[1]quests!$1:$1,0)+1),MATCH(E$1,[1]quests!$1:$1,0)-MATCH($B$1,[1]quests!$1:$1,0)+1,FALSE)</f>
        <v>【100万DL記念！】 初心者応援クエスト</v>
      </c>
      <c r="F24" s="5" t="str">
        <f ca="1">VLOOKUP($D24,OFFSET([1]stages!$A$1,0,0,COUNTA([1]stages!$A:$A),MATCH(F$1,[1]stages!$2:$2,0)-MATCH($D$1,[1]stages!$2:$2,0)+1),MATCH(F$1,[1]stages!$2:$2,0)-MATCH($D$1,[1]stages!$2:$2,0)+1,FALSE)</f>
        <v>メタルダックを捕獲せよ！ 【初級】</v>
      </c>
      <c r="G24" s="32">
        <v>5</v>
      </c>
      <c r="H24" s="20" t="str">
        <f t="shared" ref="H24:H25" si="19">B24&amp;"_"&amp;C24&amp;"-"&amp;G24</f>
        <v>11209_1-5</v>
      </c>
      <c r="I24" s="5">
        <f ca="1">VLOOKUP($H24,OFFSET(floors_beginners!$A$1,0,0,COUNTA(floors_beginners!$A:$A),MATCH(I$1,floors_beginners!$1:$1,0)-MATCH($H$1,floors_beginners!$1:$1,0)+1),MATCH(I$1,floors_beginners!$1:$1,0)-MATCH($H$1,floors_beginners!$1:$1,0)+1,FALSE)</f>
        <v>50</v>
      </c>
      <c r="J24" s="5">
        <f ca="1">VLOOKUP($H24,OFFSET(floors_beginners!$A$1,0,0,COUNTA(floors_beginners!$A:$A),MATCH(J$1,floors_beginners!$1:$1,0)-MATCH($H$1,floors_beginners!$1:$1,0)+1),MATCH(J$1,floors_beginners!$1:$1,0)-MATCH($H$1,floors_beginners!$1:$1,0)+1,FALSE)</f>
        <v>50</v>
      </c>
      <c r="K24" s="31">
        <v>337</v>
      </c>
      <c r="L24" s="26" t="str">
        <f ca="1">VLOOKUP($K24,OFFSET([2]enemies!$A$1,0,0,COUNTA([2]enemies!$A:$A),MATCH(L$1,[2]enemies!$2:$2,0)-MATCH($K$1,[2]enemies!$2:$2,0)+1),MATCH(L$1,[2]enemies!$2:$2,0)-MATCH($K$1,[2]enemies!$2:$2,0)+1,FALSE)</f>
        <v>森のメタルチック</v>
      </c>
      <c r="M24" s="29" t="str">
        <f ca="1">VLOOKUP($K24,OFFSET([2]enemies!$A$1,0,0,COUNTA([2]enemies!$A:$A),MATCH(M$1,[2]enemies!$2:$2,0)-MATCH($K$1,[2]enemies!$2:$2,0)+1),MATCH(M$1,[2]enemies!$2:$2,0)-MATCH($K$1,[2]enemies!$2:$2,0)+1,FALSE)</f>
        <v>green</v>
      </c>
      <c r="N24" s="29" t="str">
        <f ca="1">VLOOKUP($K24,OFFSET([3]characters!$A$1,0,0,COUNTA([3]characters!$A:$A),MATCH(N$1,[3]characters!$2:$2,0)-MATCH($K$1,[3]characters!$2:$2,0)+1),MATCH(N$1,[3]characters!$2:$2,0)-MATCH($K$1,[3]characters!$2:$2,0)+1,FALSE)</f>
        <v>Material</v>
      </c>
      <c r="O24" s="28" t="str">
        <f ca="1">VLOOKUP($K24,OFFSET([3]characters!$A$1,0,0,COUNTA([3]characters!$A:$A),MATCH(O$1,[3]characters!$2:$2,0)-MATCH($K$1,[3]characters!$2:$2,0)+2),MATCH(O$1,[3]characters!$2:$2,0)-MATCH($K$1,[3]characters!$2:$2,0)+2,FALSE)</f>
        <v>Unknown</v>
      </c>
      <c r="P24" s="5">
        <f ca="1">VLOOKUP($K24,OFFSET([2]enemies!$A$1,0,0,COUNTA([2]enemies!$A:$A),MATCH(P$1,[2]enemies!$2:$2,0)-MATCH($K$1,[2]enemies!$2:$2,0)+1),MATCH(P$1,[2]enemies!$2:$2,0)-MATCH($K$1,[2]enemies!$2:$2,0)+1,FALSE)</f>
        <v>15</v>
      </c>
      <c r="Q24" s="6">
        <v>1</v>
      </c>
      <c r="R24" s="37">
        <v>1</v>
      </c>
      <c r="S24" s="37">
        <v>30</v>
      </c>
      <c r="T24" s="6">
        <v>-1000</v>
      </c>
      <c r="U24" s="5" t="str">
        <f ca="1">VLOOKUP($V24,OFFSET([4]enemy_skill_sets!$B$1,0,0,COUNTA([4]enemy_skill_sets!$B:$B),MATCH(L$1,[4]enemy_skill_sets!$1:$1,0)-MATCH($V$1,[4]enemy_skill_sets!$1:$1,0)+2),MATCH(L$1,[4]enemy_skill_sets!$1:$1,0)-MATCH($V$1,[4]enemy_skill_sets!$1:$1,0)+2,FALSE)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4" s="5">
        <f ca="1">VLOOKUP($K24,OFFSET([2]enemies!$A$1,0,0,COUNTA([2]enemies!$A:$A),MATCH(V$1,[2]enemies!$2:$2,0)-MATCH($K$1,[2]enemies!$2:$2,0)+1),MATCH(V$1,[2]enemies!$2:$2,0)-MATCH($K$1,[2]enemies!$2:$2,0)+1,FALSE)</f>
        <v>0</v>
      </c>
      <c r="W24" s="7">
        <v>1</v>
      </c>
      <c r="X24" s="7">
        <v>100</v>
      </c>
      <c r="Y24" s="7">
        <v>0</v>
      </c>
      <c r="Z24" s="26">
        <f ca="1">VLOOKUP($K24,OFFSET([2]enemies!$A$1,0,0,COUNTA([2]enemies!$A:$A),MATCH(Z$1,[2]enemies!$2:$2,0)-MATCH($K$1,[2]enemies!$2:$2,0)+1),MATCH(Z$1,[2]enemies!$2:$2,0)-MATCH($K$1,[2]enemies!$2:$2,0)+1,FALSE)</f>
        <v>2</v>
      </c>
      <c r="AA24" s="2">
        <f t="shared" si="4"/>
        <v>337</v>
      </c>
      <c r="AB24" s="5" t="str">
        <f ca="1">IFERROR(VLOOKUP($AA24,OFFSET([3]characters!$A$1,0,0,COUNTA([3]characters!$A:$A),MATCH(AB$1,[3]characters!$2:$2,0)-MATCH("character_id",[3]characters!$2:$2,0)+1),MATCH(AB$1,[3]characters!$2:$2,0)-MATCH("character_id",[3]characters!$2:$2,0)+1,FALSE),"")</f>
        <v>森のメタルチック</v>
      </c>
      <c r="AC24" s="5">
        <f ca="1">IFERROR(VLOOKUP($AA24,OFFSET([3]characters!$A$1,0,0,COUNTA([3]characters!$A:$A),MATCH(AC$1,[3]characters!$2:$2,0)-MATCH("character_id",[3]characters!$2:$2,0)+1),MATCH(AC$1,[3]characters!$2:$2,0)-MATCH("character_id",[3]characters!$2:$2,0)+1,FALSE),"")</f>
        <v>4</v>
      </c>
      <c r="AD24" s="5" t="str">
        <f ca="1">IFERROR(VLOOKUP($AA24,OFFSET([3]characters!$A$1,0,0,COUNTA([3]characters!$A:$A),MATCH(AD$1,[3]characters!$2:$2,0)-MATCH("character_id",[3]characters!$2:$2,0)+1),MATCH(AD$1,[3]characters!$2:$2,0)-MATCH("character_id",[3]characters!$2:$2,0)+1,FALSE),"")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4" s="8">
        <v>1</v>
      </c>
      <c r="AF24" s="35">
        <f t="shared" ref="AF24:AF25" ca="1" si="20">AC24</f>
        <v>4</v>
      </c>
      <c r="AG24" s="9">
        <v>100</v>
      </c>
      <c r="AH24" s="8">
        <v>0</v>
      </c>
      <c r="AI24" s="8">
        <v>0</v>
      </c>
      <c r="AJ24" s="8">
        <v>0</v>
      </c>
      <c r="AK24" s="8">
        <v>0</v>
      </c>
      <c r="AL24" s="8">
        <v>1</v>
      </c>
    </row>
    <row r="25" spans="1:38" ht="21" customHeight="1">
      <c r="A25" s="21" t="str">
        <f t="shared" ca="1" si="17"/>
        <v>11209_1-5/341&lt;lv1&gt;s2</v>
      </c>
      <c r="B25" s="33">
        <v>11209</v>
      </c>
      <c r="C25" s="32">
        <v>1</v>
      </c>
      <c r="D25" s="2" t="str">
        <f t="shared" si="18"/>
        <v>11209_1</v>
      </c>
      <c r="E25" s="5" t="str">
        <f ca="1">VLOOKUP($B25,OFFSET([1]quests!$A$1,0,0,COUNTA([1]quests!$A:$A),MATCH(E$1,[1]quests!$1:$1,0)-MATCH($B$1,[1]quests!$1:$1,0)+1),MATCH(E$1,[1]quests!$1:$1,0)-MATCH($B$1,[1]quests!$1:$1,0)+1,FALSE)</f>
        <v>【100万DL記念！】 初心者応援クエスト</v>
      </c>
      <c r="F25" s="5" t="str">
        <f ca="1">VLOOKUP($D25,OFFSET([1]stages!$A$1,0,0,COUNTA([1]stages!$A:$A),MATCH(F$1,[1]stages!$2:$2,0)-MATCH($D$1,[1]stages!$2:$2,0)+1),MATCH(F$1,[1]stages!$2:$2,0)-MATCH($D$1,[1]stages!$2:$2,0)+1,FALSE)</f>
        <v>メタルダックを捕獲せよ！ 【初級】</v>
      </c>
      <c r="G25" s="32">
        <v>5</v>
      </c>
      <c r="H25" s="20" t="str">
        <f t="shared" si="19"/>
        <v>11209_1-5</v>
      </c>
      <c r="I25" s="5">
        <f ca="1">VLOOKUP($H25,OFFSET(floors_beginners!$A$1,0,0,COUNTA(floors_beginners!$A:$A),MATCH(I$1,floors_beginners!$1:$1,0)-MATCH($H$1,floors_beginners!$1:$1,0)+1),MATCH(I$1,floors_beginners!$1:$1,0)-MATCH($H$1,floors_beginners!$1:$1,0)+1,FALSE)</f>
        <v>50</v>
      </c>
      <c r="J25" s="5">
        <f ca="1">VLOOKUP($H25,OFFSET(floors_beginners!$A$1,0,0,COUNTA(floors_beginners!$A:$A),MATCH(J$1,floors_beginners!$1:$1,0)-MATCH($H$1,floors_beginners!$1:$1,0)+1),MATCH(J$1,floors_beginners!$1:$1,0)-MATCH($H$1,floors_beginners!$1:$1,0)+1,FALSE)</f>
        <v>50</v>
      </c>
      <c r="K25" s="31">
        <v>341</v>
      </c>
      <c r="L25" s="26" t="str">
        <f ca="1">VLOOKUP($K25,OFFSET([2]enemies!$A$1,0,0,COUNTA([2]enemies!$A:$A),MATCH(L$1,[2]enemies!$2:$2,0)-MATCH($K$1,[2]enemies!$2:$2,0)+1),MATCH(L$1,[2]enemies!$2:$2,0)-MATCH($K$1,[2]enemies!$2:$2,0)+1,FALSE)</f>
        <v>水のメタルチック</v>
      </c>
      <c r="M25" s="29" t="str">
        <f ca="1">VLOOKUP($K25,OFFSET([2]enemies!$A$1,0,0,COUNTA([2]enemies!$A:$A),MATCH(M$1,[2]enemies!$2:$2,0)-MATCH($K$1,[2]enemies!$2:$2,0)+1),MATCH(M$1,[2]enemies!$2:$2,0)-MATCH($K$1,[2]enemies!$2:$2,0)+1,FALSE)</f>
        <v>blue</v>
      </c>
      <c r="N25" s="29" t="str">
        <f ca="1">VLOOKUP($K25,OFFSET([3]characters!$A$1,0,0,COUNTA([3]characters!$A:$A),MATCH(N$1,[3]characters!$2:$2,0)-MATCH($K$1,[3]characters!$2:$2,0)+1),MATCH(N$1,[3]characters!$2:$2,0)-MATCH($K$1,[3]characters!$2:$2,0)+1,FALSE)</f>
        <v>Material</v>
      </c>
      <c r="O25" s="28" t="str">
        <f ca="1">VLOOKUP($K25,OFFSET([3]characters!$A$1,0,0,COUNTA([3]characters!$A:$A),MATCH(O$1,[3]characters!$2:$2,0)-MATCH($K$1,[3]characters!$2:$2,0)+2),MATCH(O$1,[3]characters!$2:$2,0)-MATCH($K$1,[3]characters!$2:$2,0)+2,FALSE)</f>
        <v>Unknown</v>
      </c>
      <c r="P25" s="5">
        <f ca="1">VLOOKUP($K25,OFFSET([2]enemies!$A$1,0,0,COUNTA([2]enemies!$A:$A),MATCH(P$1,[2]enemies!$2:$2,0)-MATCH($K$1,[2]enemies!$2:$2,0)+1),MATCH(P$1,[2]enemies!$2:$2,0)-MATCH($K$1,[2]enemies!$2:$2,0)+1,FALSE)</f>
        <v>15</v>
      </c>
      <c r="Q25" s="6">
        <v>1</v>
      </c>
      <c r="R25" s="37">
        <v>1</v>
      </c>
      <c r="S25" s="37">
        <v>30</v>
      </c>
      <c r="T25" s="6">
        <v>-1000</v>
      </c>
      <c r="U25" s="5" t="str">
        <f ca="1">VLOOKUP($V25,OFFSET([4]enemy_skill_sets!$B$1,0,0,COUNTA([4]enemy_skill_sets!$B:$B),MATCH(L$1,[4]enemy_skill_sets!$1:$1,0)-MATCH($V$1,[4]enemy_skill_sets!$1:$1,0)+2),MATCH(L$1,[4]enemy_skill_sets!$1:$1,0)-MATCH($V$1,[4]enemy_skill_sets!$1:$1,0)+2,FALSE)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5" s="5">
        <f ca="1">VLOOKUP($K25,OFFSET([2]enemies!$A$1,0,0,COUNTA([2]enemies!$A:$A),MATCH(V$1,[2]enemies!$2:$2,0)-MATCH($K$1,[2]enemies!$2:$2,0)+1),MATCH(V$1,[2]enemies!$2:$2,0)-MATCH($K$1,[2]enemies!$2:$2,0)+1,FALSE)</f>
        <v>0</v>
      </c>
      <c r="W25" s="7">
        <v>1</v>
      </c>
      <c r="X25" s="7">
        <v>100</v>
      </c>
      <c r="Y25" s="7">
        <v>0</v>
      </c>
      <c r="Z25" s="26">
        <f ca="1">VLOOKUP($K25,OFFSET([2]enemies!$A$1,0,0,COUNTA([2]enemies!$A:$A),MATCH(Z$1,[2]enemies!$2:$2,0)-MATCH($K$1,[2]enemies!$2:$2,0)+1),MATCH(Z$1,[2]enemies!$2:$2,0)-MATCH($K$1,[2]enemies!$2:$2,0)+1,FALSE)</f>
        <v>2</v>
      </c>
      <c r="AA25" s="2">
        <f t="shared" si="4"/>
        <v>341</v>
      </c>
      <c r="AB25" s="5" t="str">
        <f ca="1">IFERROR(VLOOKUP($AA25,OFFSET([3]characters!$A$1,0,0,COUNTA([3]characters!$A:$A),MATCH(AB$1,[3]characters!$2:$2,0)-MATCH("character_id",[3]characters!$2:$2,0)+1),MATCH(AB$1,[3]characters!$2:$2,0)-MATCH("character_id",[3]characters!$2:$2,0)+1,FALSE),"")</f>
        <v>水のメタルチック</v>
      </c>
      <c r="AC25" s="5">
        <f ca="1">IFERROR(VLOOKUP($AA25,OFFSET([3]characters!$A$1,0,0,COUNTA([3]characters!$A:$A),MATCH(AC$1,[3]characters!$2:$2,0)-MATCH("character_id",[3]characters!$2:$2,0)+1),MATCH(AC$1,[3]characters!$2:$2,0)-MATCH("character_id",[3]characters!$2:$2,0)+1,FALSE),"")</f>
        <v>4</v>
      </c>
      <c r="AD25" s="5" t="str">
        <f ca="1">IFERROR(VLOOKUP($AA25,OFFSET([3]characters!$A$1,0,0,COUNTA([3]characters!$A:$A),MATCH(AD$1,[3]characters!$2:$2,0)-MATCH("character_id",[3]characters!$2:$2,0)+1),MATCH(AD$1,[3]characters!$2:$2,0)-MATCH("character_id",[3]characters!$2:$2,0)+1,FALSE),"")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5" s="8">
        <v>1</v>
      </c>
      <c r="AF25" s="35">
        <f t="shared" ca="1" si="20"/>
        <v>4</v>
      </c>
      <c r="AG25" s="9">
        <v>100</v>
      </c>
      <c r="AH25" s="8">
        <v>0</v>
      </c>
      <c r="AI25" s="8">
        <v>0</v>
      </c>
      <c r="AJ25" s="8">
        <v>0</v>
      </c>
      <c r="AK25" s="8">
        <v>0</v>
      </c>
      <c r="AL25" s="8">
        <v>1</v>
      </c>
    </row>
    <row r="26" spans="1:38" ht="21" customHeight="1">
      <c r="A26" s="21" t="str">
        <f ca="1">B26&amp;"_"&amp;C26&amp;"-"&amp;G26&amp;"/"&amp;K26&amp;"&lt;lv"&amp;Q26&amp;"&gt;s"&amp;Z26</f>
        <v>11209_1-5/334&lt;lv1&gt;s3</v>
      </c>
      <c r="B26" s="33">
        <v>11209</v>
      </c>
      <c r="C26" s="32">
        <v>1</v>
      </c>
      <c r="D26" s="2" t="str">
        <f t="shared" ref="D26:D52" si="21">B26&amp;"_"&amp;C26</f>
        <v>11209_1</v>
      </c>
      <c r="E26" s="5" t="str">
        <f ca="1">VLOOKUP($B26,OFFSET([1]quests!$A$1,0,0,COUNTA([1]quests!$A:$A),MATCH(E$1,[1]quests!$1:$1,0)-MATCH($B$1,[1]quests!$1:$1,0)+1),MATCH(E$1,[1]quests!$1:$1,0)-MATCH($B$1,[1]quests!$1:$1,0)+1,FALSE)</f>
        <v>【100万DL記念！】 初心者応援クエスト</v>
      </c>
      <c r="F26" s="5" t="str">
        <f ca="1">VLOOKUP($D26,OFFSET([1]stages!$A$1,0,0,COUNTA([1]stages!$A:$A),MATCH(F$1,[1]stages!$2:$2,0)-MATCH($D$1,[1]stages!$2:$2,0)+1),MATCH(F$1,[1]stages!$2:$2,0)-MATCH($D$1,[1]stages!$2:$2,0)+1,FALSE)</f>
        <v>メタルダックを捕獲せよ！ 【初級】</v>
      </c>
      <c r="G26" s="32">
        <v>5</v>
      </c>
      <c r="H26" s="20" t="str">
        <f t="shared" ref="H26:H52" si="22">B26&amp;"_"&amp;C26&amp;"-"&amp;G26</f>
        <v>11209_1-5</v>
      </c>
      <c r="I26" s="5">
        <f ca="1">VLOOKUP($H26,OFFSET(floors_beginners!$A$1,0,0,COUNTA(floors_beginners!$A:$A),MATCH(I$1,floors_beginners!$1:$1,0)-MATCH($H$1,floors_beginners!$1:$1,0)+1),MATCH(I$1,floors_beginners!$1:$1,0)-MATCH($H$1,floors_beginners!$1:$1,0)+1,FALSE)</f>
        <v>50</v>
      </c>
      <c r="J26" s="5">
        <f ca="1">VLOOKUP($H26,OFFSET(floors_beginners!$A$1,0,0,COUNTA(floors_beginners!$A:$A),MATCH(J$1,floors_beginners!$1:$1,0)-MATCH($H$1,floors_beginners!$1:$1,0)+1),MATCH(J$1,floors_beginners!$1:$1,0)-MATCH($H$1,floors_beginners!$1:$1,0)+1,FALSE)</f>
        <v>50</v>
      </c>
      <c r="K26" s="31">
        <v>334</v>
      </c>
      <c r="L26" s="26" t="str">
        <f ca="1">VLOOKUP($K26,OFFSET([2]enemies!$A$1,0,0,COUNTA([2]enemies!$A:$A),MATCH(L$1,[2]enemies!$2:$2,0)-MATCH($K$1,[2]enemies!$2:$2,0)+1),MATCH(L$1,[2]enemies!$2:$2,0)-MATCH($K$1,[2]enemies!$2:$2,0)+1,FALSE)</f>
        <v>炎のメタルダック</v>
      </c>
      <c r="M26" s="29" t="str">
        <f ca="1">VLOOKUP($K26,OFFSET([2]enemies!$A$1,0,0,COUNTA([2]enemies!$A:$A),MATCH(M$1,[2]enemies!$2:$2,0)-MATCH($K$1,[2]enemies!$2:$2,0)+1),MATCH(M$1,[2]enemies!$2:$2,0)-MATCH($K$1,[2]enemies!$2:$2,0)+1,FALSE)</f>
        <v>red</v>
      </c>
      <c r="N26" s="29" t="str">
        <f ca="1">VLOOKUP($K26,OFFSET([3]characters!$A$1,0,0,COUNTA([3]characters!$A:$A),MATCH(N$1,[3]characters!$2:$2,0)-MATCH($K$1,[3]characters!$2:$2,0)+1),MATCH(N$1,[3]characters!$2:$2,0)-MATCH($K$1,[3]characters!$2:$2,0)+1,FALSE)</f>
        <v>Material</v>
      </c>
      <c r="O26" s="28" t="str">
        <f ca="1">VLOOKUP($K26,OFFSET([3]characters!$A$1,0,0,COUNTA([3]characters!$A:$A),MATCH(O$1,[3]characters!$2:$2,0)-MATCH($K$1,[3]characters!$2:$2,0)+2),MATCH(O$1,[3]characters!$2:$2,0)-MATCH($K$1,[3]characters!$2:$2,0)+2,FALSE)</f>
        <v>Unknown</v>
      </c>
      <c r="P26" s="5">
        <f ca="1">VLOOKUP($K26,OFFSET([2]enemies!$A$1,0,0,COUNTA([2]enemies!$A:$A),MATCH(P$1,[2]enemies!$2:$2,0)-MATCH($K$1,[2]enemies!$2:$2,0)+1),MATCH(P$1,[2]enemies!$2:$2,0)-MATCH($K$1,[2]enemies!$2:$2,0)+1,FALSE)</f>
        <v>20</v>
      </c>
      <c r="Q26" s="6">
        <v>1</v>
      </c>
      <c r="R26" s="37">
        <v>1</v>
      </c>
      <c r="S26" s="37">
        <v>30</v>
      </c>
      <c r="T26" s="6">
        <v>-5000</v>
      </c>
      <c r="U26" s="5" t="str">
        <f ca="1">VLOOKUP($V26,OFFSET([4]enemy_skill_sets!$B$1,0,0,COUNTA([4]enemy_skill_sets!$B:$B),MATCH(L$1,[4]enemy_skill_sets!$1:$1,0)-MATCH($V$1,[4]enemy_skill_sets!$1:$1,0)+2),MATCH(L$1,[4]enemy_skill_sets!$1:$1,0)-MATCH($V$1,[4]enemy_skill_sets!$1:$1,0)+2,FALSE)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6" s="5">
        <f ca="1">VLOOKUP($K26,OFFSET([2]enemies!$A$1,0,0,COUNTA([2]enemies!$A:$A),MATCH(V$1,[2]enemies!$2:$2,0)-MATCH($K$1,[2]enemies!$2:$2,0)+1),MATCH(V$1,[2]enemies!$2:$2,0)-MATCH($K$1,[2]enemies!$2:$2,0)+1,FALSE)</f>
        <v>0</v>
      </c>
      <c r="W26" s="7">
        <v>0</v>
      </c>
      <c r="X26" s="7">
        <v>100</v>
      </c>
      <c r="Y26" s="7">
        <v>1</v>
      </c>
      <c r="Z26" s="26">
        <f ca="1">VLOOKUP($K26,OFFSET([2]enemies!$A$1,0,0,COUNTA([2]enemies!$A:$A),MATCH(Z$1,[2]enemies!$2:$2,0)-MATCH($K$1,[2]enemies!$2:$2,0)+1),MATCH(Z$1,[2]enemies!$2:$2,0)-MATCH($K$1,[2]enemies!$2:$2,0)+1,FALSE)</f>
        <v>3</v>
      </c>
      <c r="AA26" s="2">
        <f t="shared" si="4"/>
        <v>334</v>
      </c>
      <c r="AB26" s="5" t="str">
        <f ca="1">IFERROR(VLOOKUP($AA26,OFFSET([3]characters!$A$1,0,0,COUNTA([3]characters!$A:$A),MATCH(AB$1,[3]characters!$2:$2,0)-MATCH("character_id",[3]characters!$2:$2,0)+1),MATCH(AB$1,[3]characters!$2:$2,0)-MATCH("character_id",[3]characters!$2:$2,0)+1,FALSE),"")</f>
        <v>炎のメタルダック</v>
      </c>
      <c r="AC26" s="5">
        <f ca="1">IFERROR(VLOOKUP($AA26,OFFSET([3]characters!$A$1,0,0,COUNTA([3]characters!$A:$A),MATCH(AC$1,[3]characters!$2:$2,0)-MATCH("character_id",[3]characters!$2:$2,0)+1),MATCH(AC$1,[3]characters!$2:$2,0)-MATCH("character_id",[3]characters!$2:$2,0)+1,FALSE),"")</f>
        <v>5</v>
      </c>
      <c r="AD26" s="5" t="str">
        <f ca="1">IFERROR(VLOOKUP($AA26,OFFSET([3]characters!$A$1,0,0,COUNTA([3]characters!$A:$A),MATCH(AD$1,[3]characters!$2:$2,0)-MATCH("character_id",[3]characters!$2:$2,0)+1),MATCH(AD$1,[3]characters!$2:$2,0)-MATCH("character_id",[3]characters!$2:$2,0)+1,FALSE),"")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6" s="8">
        <v>1</v>
      </c>
      <c r="AF26" s="35">
        <f t="shared" ref="AF26:AF52" ca="1" si="23">AC26</f>
        <v>5</v>
      </c>
      <c r="AG26" s="9">
        <v>25</v>
      </c>
      <c r="AH26" s="8">
        <v>0</v>
      </c>
      <c r="AI26" s="8">
        <v>0</v>
      </c>
      <c r="AJ26" s="8">
        <v>0</v>
      </c>
      <c r="AK26" s="8">
        <v>0</v>
      </c>
      <c r="AL26" s="8">
        <v>1</v>
      </c>
    </row>
    <row r="27" spans="1:38" ht="21" customHeight="1">
      <c r="A27" s="21" t="str">
        <f ca="1">B27&amp;"_"&amp;C27&amp;"-"&amp;G27&amp;"/"&amp;K27&amp;"&lt;lv"&amp;Q27&amp;"&gt;s"&amp;Z27</f>
        <v>11209_1-5/338&lt;lv1&gt;s3</v>
      </c>
      <c r="B27" s="33">
        <v>11209</v>
      </c>
      <c r="C27" s="32">
        <v>1</v>
      </c>
      <c r="D27" s="2" t="str">
        <f t="shared" si="21"/>
        <v>11209_1</v>
      </c>
      <c r="E27" s="5" t="str">
        <f ca="1">VLOOKUP($B27,OFFSET([1]quests!$A$1,0,0,COUNTA([1]quests!$A:$A),MATCH(E$1,[1]quests!$1:$1,0)-MATCH($B$1,[1]quests!$1:$1,0)+1),MATCH(E$1,[1]quests!$1:$1,0)-MATCH($B$1,[1]quests!$1:$1,0)+1,FALSE)</f>
        <v>【100万DL記念！】 初心者応援クエスト</v>
      </c>
      <c r="F27" s="5" t="str">
        <f ca="1">VLOOKUP($D27,OFFSET([1]stages!$A$1,0,0,COUNTA([1]stages!$A:$A),MATCH(F$1,[1]stages!$2:$2,0)-MATCH($D$1,[1]stages!$2:$2,0)+1),MATCH(F$1,[1]stages!$2:$2,0)-MATCH($D$1,[1]stages!$2:$2,0)+1,FALSE)</f>
        <v>メタルダックを捕獲せよ！ 【初級】</v>
      </c>
      <c r="G27" s="32">
        <v>5</v>
      </c>
      <c r="H27" s="20" t="str">
        <f t="shared" si="22"/>
        <v>11209_1-5</v>
      </c>
      <c r="I27" s="5">
        <f ca="1">VLOOKUP($H27,OFFSET(floors_beginners!$A$1,0,0,COUNTA(floors_beginners!$A:$A),MATCH(I$1,floors_beginners!$1:$1,0)-MATCH($H$1,floors_beginners!$1:$1,0)+1),MATCH(I$1,floors_beginners!$1:$1,0)-MATCH($H$1,floors_beginners!$1:$1,0)+1,FALSE)</f>
        <v>50</v>
      </c>
      <c r="J27" s="5">
        <f ca="1">VLOOKUP($H27,OFFSET(floors_beginners!$A$1,0,0,COUNTA(floors_beginners!$A:$A),MATCH(J$1,floors_beginners!$1:$1,0)-MATCH($H$1,floors_beginners!$1:$1,0)+1),MATCH(J$1,floors_beginners!$1:$1,0)-MATCH($H$1,floors_beginners!$1:$1,0)+1,FALSE)</f>
        <v>50</v>
      </c>
      <c r="K27" s="31">
        <v>338</v>
      </c>
      <c r="L27" s="26" t="str">
        <f ca="1">VLOOKUP($K27,OFFSET([2]enemies!$A$1,0,0,COUNTA([2]enemies!$A:$A),MATCH(L$1,[2]enemies!$2:$2,0)-MATCH($K$1,[2]enemies!$2:$2,0)+1),MATCH(L$1,[2]enemies!$2:$2,0)-MATCH($K$1,[2]enemies!$2:$2,0)+1,FALSE)</f>
        <v>森のメタルダック</v>
      </c>
      <c r="M27" s="29" t="str">
        <f ca="1">VLOOKUP($K27,OFFSET([2]enemies!$A$1,0,0,COUNTA([2]enemies!$A:$A),MATCH(M$1,[2]enemies!$2:$2,0)-MATCH($K$1,[2]enemies!$2:$2,0)+1),MATCH(M$1,[2]enemies!$2:$2,0)-MATCH($K$1,[2]enemies!$2:$2,0)+1,FALSE)</f>
        <v>green</v>
      </c>
      <c r="N27" s="29" t="str">
        <f ca="1">VLOOKUP($K27,OFFSET([3]characters!$A$1,0,0,COUNTA([3]characters!$A:$A),MATCH(N$1,[3]characters!$2:$2,0)-MATCH($K$1,[3]characters!$2:$2,0)+1),MATCH(N$1,[3]characters!$2:$2,0)-MATCH($K$1,[3]characters!$2:$2,0)+1,FALSE)</f>
        <v>Material</v>
      </c>
      <c r="O27" s="28" t="str">
        <f ca="1">VLOOKUP($K27,OFFSET([3]characters!$A$1,0,0,COUNTA([3]characters!$A:$A),MATCH(O$1,[3]characters!$2:$2,0)-MATCH($K$1,[3]characters!$2:$2,0)+2),MATCH(O$1,[3]characters!$2:$2,0)-MATCH($K$1,[3]characters!$2:$2,0)+2,FALSE)</f>
        <v>Unknown</v>
      </c>
      <c r="P27" s="5">
        <f ca="1">VLOOKUP($K27,OFFSET([2]enemies!$A$1,0,0,COUNTA([2]enemies!$A:$A),MATCH(P$1,[2]enemies!$2:$2,0)-MATCH($K$1,[2]enemies!$2:$2,0)+1),MATCH(P$1,[2]enemies!$2:$2,0)-MATCH($K$1,[2]enemies!$2:$2,0)+1,FALSE)</f>
        <v>20</v>
      </c>
      <c r="Q27" s="6">
        <v>1</v>
      </c>
      <c r="R27" s="37">
        <v>1</v>
      </c>
      <c r="S27" s="37">
        <v>30</v>
      </c>
      <c r="T27" s="6">
        <v>-5000</v>
      </c>
      <c r="U27" s="5" t="str">
        <f ca="1">VLOOKUP($V27,OFFSET([4]enemy_skill_sets!$B$1,0,0,COUNTA([4]enemy_skill_sets!$B:$B),MATCH(L$1,[4]enemy_skill_sets!$1:$1,0)-MATCH($V$1,[4]enemy_skill_sets!$1:$1,0)+2),MATCH(L$1,[4]enemy_skill_sets!$1:$1,0)-MATCH($V$1,[4]enemy_skill_sets!$1:$1,0)+2,FALSE)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7" s="5">
        <f ca="1">VLOOKUP($K27,OFFSET([2]enemies!$A$1,0,0,COUNTA([2]enemies!$A:$A),MATCH(V$1,[2]enemies!$2:$2,0)-MATCH($K$1,[2]enemies!$2:$2,0)+1),MATCH(V$1,[2]enemies!$2:$2,0)-MATCH($K$1,[2]enemies!$2:$2,0)+1,FALSE)</f>
        <v>0</v>
      </c>
      <c r="W27" s="7">
        <v>0</v>
      </c>
      <c r="X27" s="7">
        <v>100</v>
      </c>
      <c r="Y27" s="7">
        <v>1</v>
      </c>
      <c r="Z27" s="26">
        <f ca="1">VLOOKUP($K27,OFFSET([2]enemies!$A$1,0,0,COUNTA([2]enemies!$A:$A),MATCH(Z$1,[2]enemies!$2:$2,0)-MATCH($K$1,[2]enemies!$2:$2,0)+1),MATCH(Z$1,[2]enemies!$2:$2,0)-MATCH($K$1,[2]enemies!$2:$2,0)+1,FALSE)</f>
        <v>3</v>
      </c>
      <c r="AA27" s="2">
        <f t="shared" si="4"/>
        <v>338</v>
      </c>
      <c r="AB27" s="5" t="str">
        <f ca="1">IFERROR(VLOOKUP($AA27,OFFSET([3]characters!$A$1,0,0,COUNTA([3]characters!$A:$A),MATCH(AB$1,[3]characters!$2:$2,0)-MATCH("character_id",[3]characters!$2:$2,0)+1),MATCH(AB$1,[3]characters!$2:$2,0)-MATCH("character_id",[3]characters!$2:$2,0)+1,FALSE),"")</f>
        <v>森のメタルダック</v>
      </c>
      <c r="AC27" s="5">
        <f ca="1">IFERROR(VLOOKUP($AA27,OFFSET([3]characters!$A$1,0,0,COUNTA([3]characters!$A:$A),MATCH(AC$1,[3]characters!$2:$2,0)-MATCH("character_id",[3]characters!$2:$2,0)+1),MATCH(AC$1,[3]characters!$2:$2,0)-MATCH("character_id",[3]characters!$2:$2,0)+1,FALSE),"")</f>
        <v>5</v>
      </c>
      <c r="AD27" s="5" t="str">
        <f ca="1">IFERROR(VLOOKUP($AA27,OFFSET([3]characters!$A$1,0,0,COUNTA([3]characters!$A:$A),MATCH(AD$1,[3]characters!$2:$2,0)-MATCH("character_id",[3]characters!$2:$2,0)+1),MATCH(AD$1,[3]characters!$2:$2,0)-MATCH("character_id",[3]characters!$2:$2,0)+1,FALSE),"")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7" s="8">
        <v>1</v>
      </c>
      <c r="AF27" s="35">
        <f t="shared" ca="1" si="23"/>
        <v>5</v>
      </c>
      <c r="AG27" s="9">
        <v>25</v>
      </c>
      <c r="AH27" s="8">
        <v>0</v>
      </c>
      <c r="AI27" s="8">
        <v>0</v>
      </c>
      <c r="AJ27" s="8">
        <v>0</v>
      </c>
      <c r="AK27" s="8">
        <v>0</v>
      </c>
      <c r="AL27" s="8">
        <v>1</v>
      </c>
    </row>
    <row r="28" spans="1:38" ht="21" customHeight="1">
      <c r="A28" s="21" t="str">
        <f ca="1">B28&amp;"_"&amp;C28&amp;"-"&amp;G28&amp;"/"&amp;K28&amp;"&lt;lv"&amp;Q28&amp;"&gt;s"&amp;Z28</f>
        <v>11209_1-5/342&lt;lv1&gt;s3</v>
      </c>
      <c r="B28" s="33">
        <v>11209</v>
      </c>
      <c r="C28" s="32">
        <v>1</v>
      </c>
      <c r="D28" s="2" t="str">
        <f t="shared" si="21"/>
        <v>11209_1</v>
      </c>
      <c r="E28" s="5" t="str">
        <f ca="1">VLOOKUP($B28,OFFSET([1]quests!$A$1,0,0,COUNTA([1]quests!$A:$A),MATCH(E$1,[1]quests!$1:$1,0)-MATCH($B$1,[1]quests!$1:$1,0)+1),MATCH(E$1,[1]quests!$1:$1,0)-MATCH($B$1,[1]quests!$1:$1,0)+1,FALSE)</f>
        <v>【100万DL記念！】 初心者応援クエスト</v>
      </c>
      <c r="F28" s="5" t="str">
        <f ca="1">VLOOKUP($D28,OFFSET([1]stages!$A$1,0,0,COUNTA([1]stages!$A:$A),MATCH(F$1,[1]stages!$2:$2,0)-MATCH($D$1,[1]stages!$2:$2,0)+1),MATCH(F$1,[1]stages!$2:$2,0)-MATCH($D$1,[1]stages!$2:$2,0)+1,FALSE)</f>
        <v>メタルダックを捕獲せよ！ 【初級】</v>
      </c>
      <c r="G28" s="32">
        <v>5</v>
      </c>
      <c r="H28" s="20" t="str">
        <f t="shared" si="22"/>
        <v>11209_1-5</v>
      </c>
      <c r="I28" s="5">
        <f ca="1">VLOOKUP($H28,OFFSET(floors_beginners!$A$1,0,0,COUNTA(floors_beginners!$A:$A),MATCH(I$1,floors_beginners!$1:$1,0)-MATCH($H$1,floors_beginners!$1:$1,0)+1),MATCH(I$1,floors_beginners!$1:$1,0)-MATCH($H$1,floors_beginners!$1:$1,0)+1,FALSE)</f>
        <v>50</v>
      </c>
      <c r="J28" s="5">
        <f ca="1">VLOOKUP($H28,OFFSET(floors_beginners!$A$1,0,0,COUNTA(floors_beginners!$A:$A),MATCH(J$1,floors_beginners!$1:$1,0)-MATCH($H$1,floors_beginners!$1:$1,0)+1),MATCH(J$1,floors_beginners!$1:$1,0)-MATCH($H$1,floors_beginners!$1:$1,0)+1,FALSE)</f>
        <v>50</v>
      </c>
      <c r="K28" s="31">
        <v>342</v>
      </c>
      <c r="L28" s="26" t="str">
        <f ca="1">VLOOKUP($K28,OFFSET([2]enemies!$A$1,0,0,COUNTA([2]enemies!$A:$A),MATCH(L$1,[2]enemies!$2:$2,0)-MATCH($K$1,[2]enemies!$2:$2,0)+1),MATCH(L$1,[2]enemies!$2:$2,0)-MATCH($K$1,[2]enemies!$2:$2,0)+1,FALSE)</f>
        <v>水のメタルダック</v>
      </c>
      <c r="M28" s="29" t="str">
        <f ca="1">VLOOKUP($K28,OFFSET([2]enemies!$A$1,0,0,COUNTA([2]enemies!$A:$A),MATCH(M$1,[2]enemies!$2:$2,0)-MATCH($K$1,[2]enemies!$2:$2,0)+1),MATCH(M$1,[2]enemies!$2:$2,0)-MATCH($K$1,[2]enemies!$2:$2,0)+1,FALSE)</f>
        <v>blue</v>
      </c>
      <c r="N28" s="29" t="str">
        <f ca="1">VLOOKUP($K28,OFFSET([3]characters!$A$1,0,0,COUNTA([3]characters!$A:$A),MATCH(N$1,[3]characters!$2:$2,0)-MATCH($K$1,[3]characters!$2:$2,0)+1),MATCH(N$1,[3]characters!$2:$2,0)-MATCH($K$1,[3]characters!$2:$2,0)+1,FALSE)</f>
        <v>Material</v>
      </c>
      <c r="O28" s="28" t="str">
        <f ca="1">VLOOKUP($K28,OFFSET([3]characters!$A$1,0,0,COUNTA([3]characters!$A:$A),MATCH(O$1,[3]characters!$2:$2,0)-MATCH($K$1,[3]characters!$2:$2,0)+2),MATCH(O$1,[3]characters!$2:$2,0)-MATCH($K$1,[3]characters!$2:$2,0)+2,FALSE)</f>
        <v>Unknown</v>
      </c>
      <c r="P28" s="5">
        <f ca="1">VLOOKUP($K28,OFFSET([2]enemies!$A$1,0,0,COUNTA([2]enemies!$A:$A),MATCH(P$1,[2]enemies!$2:$2,0)-MATCH($K$1,[2]enemies!$2:$2,0)+1),MATCH(P$1,[2]enemies!$2:$2,0)-MATCH($K$1,[2]enemies!$2:$2,0)+1,FALSE)</f>
        <v>20</v>
      </c>
      <c r="Q28" s="6">
        <v>1</v>
      </c>
      <c r="R28" s="37">
        <v>1</v>
      </c>
      <c r="S28" s="37">
        <v>30</v>
      </c>
      <c r="T28" s="6">
        <v>-5000</v>
      </c>
      <c r="U28" s="5" t="str">
        <f ca="1">VLOOKUP($V28,OFFSET([4]enemy_skill_sets!$B$1,0,0,COUNTA([4]enemy_skill_sets!$B:$B),MATCH(L$1,[4]enemy_skill_sets!$1:$1,0)-MATCH($V$1,[4]enemy_skill_sets!$1:$1,0)+2),MATCH(L$1,[4]enemy_skill_sets!$1:$1,0)-MATCH($V$1,[4]enemy_skill_sets!$1:$1,0)+2,FALSE)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8" s="5">
        <f ca="1">VLOOKUP($K28,OFFSET([2]enemies!$A$1,0,0,COUNTA([2]enemies!$A:$A),MATCH(V$1,[2]enemies!$2:$2,0)-MATCH($K$1,[2]enemies!$2:$2,0)+1),MATCH(V$1,[2]enemies!$2:$2,0)-MATCH($K$1,[2]enemies!$2:$2,0)+1,FALSE)</f>
        <v>0</v>
      </c>
      <c r="W28" s="7">
        <v>0</v>
      </c>
      <c r="X28" s="7">
        <v>100</v>
      </c>
      <c r="Y28" s="7">
        <v>1</v>
      </c>
      <c r="Z28" s="26">
        <f ca="1">VLOOKUP($K28,OFFSET([2]enemies!$A$1,0,0,COUNTA([2]enemies!$A:$A),MATCH(Z$1,[2]enemies!$2:$2,0)-MATCH($K$1,[2]enemies!$2:$2,0)+1),MATCH(Z$1,[2]enemies!$2:$2,0)-MATCH($K$1,[2]enemies!$2:$2,0)+1,FALSE)</f>
        <v>3</v>
      </c>
      <c r="AA28" s="2">
        <f t="shared" si="4"/>
        <v>342</v>
      </c>
      <c r="AB28" s="5" t="str">
        <f ca="1">IFERROR(VLOOKUP($AA28,OFFSET([3]characters!$A$1,0,0,COUNTA([3]characters!$A:$A),MATCH(AB$1,[3]characters!$2:$2,0)-MATCH("character_id",[3]characters!$2:$2,0)+1),MATCH(AB$1,[3]characters!$2:$2,0)-MATCH("character_id",[3]characters!$2:$2,0)+1,FALSE),"")</f>
        <v>水のメタルダック</v>
      </c>
      <c r="AC28" s="5">
        <f ca="1">IFERROR(VLOOKUP($AA28,OFFSET([3]characters!$A$1,0,0,COUNTA([3]characters!$A:$A),MATCH(AC$1,[3]characters!$2:$2,0)-MATCH("character_id",[3]characters!$2:$2,0)+1),MATCH(AC$1,[3]characters!$2:$2,0)-MATCH("character_id",[3]characters!$2:$2,0)+1,FALSE),"")</f>
        <v>5</v>
      </c>
      <c r="AD28" s="5" t="str">
        <f ca="1">IFERROR(VLOOKUP($AA28,OFFSET([3]characters!$A$1,0,0,COUNTA([3]characters!$A:$A),MATCH(AD$1,[3]characters!$2:$2,0)-MATCH("character_id",[3]characters!$2:$2,0)+1),MATCH(AD$1,[3]characters!$2:$2,0)-MATCH("character_id",[3]characters!$2:$2,0)+1,FALSE),"")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8" s="8">
        <v>1</v>
      </c>
      <c r="AF28" s="35">
        <f t="shared" ca="1" si="23"/>
        <v>5</v>
      </c>
      <c r="AG28" s="9">
        <v>25</v>
      </c>
      <c r="AH28" s="8">
        <v>0</v>
      </c>
      <c r="AI28" s="8">
        <v>0</v>
      </c>
      <c r="AJ28" s="8">
        <v>0</v>
      </c>
      <c r="AK28" s="8">
        <v>0</v>
      </c>
      <c r="AL28" s="8">
        <v>1</v>
      </c>
    </row>
    <row r="29" spans="1:38" ht="21" customHeight="1">
      <c r="A29" s="21" t="str">
        <f ca="1">B29&amp;"_"&amp;C29&amp;"-"&amp;G29&amp;"/"&amp;K29&amp;"&lt;lv"&amp;Q29&amp;"&gt;s"&amp;Z29</f>
        <v>11209_1-5/346&lt;lv1&gt;s3</v>
      </c>
      <c r="B29" s="33">
        <v>11209</v>
      </c>
      <c r="C29" s="32">
        <v>1</v>
      </c>
      <c r="D29" s="2" t="str">
        <f t="shared" si="21"/>
        <v>11209_1</v>
      </c>
      <c r="E29" s="5" t="str">
        <f ca="1">VLOOKUP($B29,OFFSET([1]quests!$A$1,0,0,COUNTA([1]quests!$A:$A),MATCH(E$1,[1]quests!$1:$1,0)-MATCH($B$1,[1]quests!$1:$1,0)+1),MATCH(E$1,[1]quests!$1:$1,0)-MATCH($B$1,[1]quests!$1:$1,0)+1,FALSE)</f>
        <v>【100万DL記念！】 初心者応援クエスト</v>
      </c>
      <c r="F29" s="5" t="str">
        <f ca="1">VLOOKUP($D29,OFFSET([1]stages!$A$1,0,0,COUNTA([1]stages!$A:$A),MATCH(F$1,[1]stages!$2:$2,0)-MATCH($D$1,[1]stages!$2:$2,0)+1),MATCH(F$1,[1]stages!$2:$2,0)-MATCH($D$1,[1]stages!$2:$2,0)+1,FALSE)</f>
        <v>メタルダックを捕獲せよ！ 【初級】</v>
      </c>
      <c r="G29" s="32">
        <v>5</v>
      </c>
      <c r="H29" s="20" t="str">
        <f t="shared" si="22"/>
        <v>11209_1-5</v>
      </c>
      <c r="I29" s="5">
        <f ca="1">VLOOKUP($H29,OFFSET(floors_beginners!$A$1,0,0,COUNTA(floors_beginners!$A:$A),MATCH(I$1,floors_beginners!$1:$1,0)-MATCH($H$1,floors_beginners!$1:$1,0)+1),MATCH(I$1,floors_beginners!$1:$1,0)-MATCH($H$1,floors_beginners!$1:$1,0)+1,FALSE)</f>
        <v>50</v>
      </c>
      <c r="J29" s="5">
        <f ca="1">VLOOKUP($H29,OFFSET(floors_beginners!$A$1,0,0,COUNTA(floors_beginners!$A:$A),MATCH(J$1,floors_beginners!$1:$1,0)-MATCH($H$1,floors_beginners!$1:$1,0)+1),MATCH(J$1,floors_beginners!$1:$1,0)-MATCH($H$1,floors_beginners!$1:$1,0)+1,FALSE)</f>
        <v>50</v>
      </c>
      <c r="K29" s="31">
        <v>346</v>
      </c>
      <c r="L29" s="26" t="str">
        <f ca="1">VLOOKUP($K29,OFFSET([2]enemies!$A$1,0,0,COUNTA([2]enemies!$A:$A),MATCH(L$1,[2]enemies!$2:$2,0)-MATCH($K$1,[2]enemies!$2:$2,0)+1),MATCH(L$1,[2]enemies!$2:$2,0)-MATCH($K$1,[2]enemies!$2:$2,0)+1,FALSE)</f>
        <v>雷のメタルダック</v>
      </c>
      <c r="M29" s="29" t="str">
        <f ca="1">VLOOKUP($K29,OFFSET([2]enemies!$A$1,0,0,COUNTA([2]enemies!$A:$A),MATCH(M$1,[2]enemies!$2:$2,0)-MATCH($K$1,[2]enemies!$2:$2,0)+1),MATCH(M$1,[2]enemies!$2:$2,0)-MATCH($K$1,[2]enemies!$2:$2,0)+1,FALSE)</f>
        <v>yellow</v>
      </c>
      <c r="N29" s="29" t="str">
        <f ca="1">VLOOKUP($K29,OFFSET([3]characters!$A$1,0,0,COUNTA([3]characters!$A:$A),MATCH(N$1,[3]characters!$2:$2,0)-MATCH($K$1,[3]characters!$2:$2,0)+1),MATCH(N$1,[3]characters!$2:$2,0)-MATCH($K$1,[3]characters!$2:$2,0)+1,FALSE)</f>
        <v>Material</v>
      </c>
      <c r="O29" s="28" t="str">
        <f ca="1">VLOOKUP($K29,OFFSET([3]characters!$A$1,0,0,COUNTA([3]characters!$A:$A),MATCH(O$1,[3]characters!$2:$2,0)-MATCH($K$1,[3]characters!$2:$2,0)+2),MATCH(O$1,[3]characters!$2:$2,0)-MATCH($K$1,[3]characters!$2:$2,0)+2,FALSE)</f>
        <v>Unknown</v>
      </c>
      <c r="P29" s="5">
        <f ca="1">VLOOKUP($K29,OFFSET([2]enemies!$A$1,0,0,COUNTA([2]enemies!$A:$A),MATCH(P$1,[2]enemies!$2:$2,0)-MATCH($K$1,[2]enemies!$2:$2,0)+1),MATCH(P$1,[2]enemies!$2:$2,0)-MATCH($K$1,[2]enemies!$2:$2,0)+1,FALSE)</f>
        <v>20</v>
      </c>
      <c r="Q29" s="6">
        <v>1</v>
      </c>
      <c r="R29" s="37">
        <v>1</v>
      </c>
      <c r="S29" s="37">
        <v>30</v>
      </c>
      <c r="T29" s="6">
        <v>-5000</v>
      </c>
      <c r="U29" s="5" t="str">
        <f ca="1">VLOOKUP($V29,OFFSET([4]enemy_skill_sets!$B$1,0,0,COUNTA([4]enemy_skill_sets!$B:$B),MATCH(L$1,[4]enemy_skill_sets!$1:$1,0)-MATCH($V$1,[4]enemy_skill_sets!$1:$1,0)+2),MATCH(L$1,[4]enemy_skill_sets!$1:$1,0)-MATCH($V$1,[4]enemy_skill_sets!$1:$1,0)+2,FALSE)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9" s="5">
        <f ca="1">VLOOKUP($K29,OFFSET([2]enemies!$A$1,0,0,COUNTA([2]enemies!$A:$A),MATCH(V$1,[2]enemies!$2:$2,0)-MATCH($K$1,[2]enemies!$2:$2,0)+1),MATCH(V$1,[2]enemies!$2:$2,0)-MATCH($K$1,[2]enemies!$2:$2,0)+1,FALSE)</f>
        <v>0</v>
      </c>
      <c r="W29" s="7">
        <v>0</v>
      </c>
      <c r="X29" s="7">
        <v>100</v>
      </c>
      <c r="Y29" s="7">
        <v>1</v>
      </c>
      <c r="Z29" s="26">
        <f ca="1">VLOOKUP($K29,OFFSET([2]enemies!$A$1,0,0,COUNTA([2]enemies!$A:$A),MATCH(Z$1,[2]enemies!$2:$2,0)-MATCH($K$1,[2]enemies!$2:$2,0)+1),MATCH(Z$1,[2]enemies!$2:$2,0)-MATCH($K$1,[2]enemies!$2:$2,0)+1,FALSE)</f>
        <v>3</v>
      </c>
      <c r="AA29" s="2">
        <f t="shared" si="4"/>
        <v>346</v>
      </c>
      <c r="AB29" s="5" t="str">
        <f ca="1">IFERROR(VLOOKUP($AA29,OFFSET([3]characters!$A$1,0,0,COUNTA([3]characters!$A:$A),MATCH(AB$1,[3]characters!$2:$2,0)-MATCH("character_id",[3]characters!$2:$2,0)+1),MATCH(AB$1,[3]characters!$2:$2,0)-MATCH("character_id",[3]characters!$2:$2,0)+1,FALSE),"")</f>
        <v>雷のメタルダック</v>
      </c>
      <c r="AC29" s="5">
        <f ca="1">IFERROR(VLOOKUP($AA29,OFFSET([3]characters!$A$1,0,0,COUNTA([3]characters!$A:$A),MATCH(AC$1,[3]characters!$2:$2,0)-MATCH("character_id",[3]characters!$2:$2,0)+1),MATCH(AC$1,[3]characters!$2:$2,0)-MATCH("character_id",[3]characters!$2:$2,0)+1,FALSE),"")</f>
        <v>5</v>
      </c>
      <c r="AD29" s="5" t="str">
        <f ca="1">IFERROR(VLOOKUP($AA29,OFFSET([3]characters!$A$1,0,0,COUNTA([3]characters!$A:$A),MATCH(AD$1,[3]characters!$2:$2,0)-MATCH("character_id",[3]characters!$2:$2,0)+1),MATCH(AD$1,[3]characters!$2:$2,0)-MATCH("character_id",[3]characters!$2:$2,0)+1,FALSE),"")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29" s="8">
        <v>1</v>
      </c>
      <c r="AF29" s="35">
        <f t="shared" ca="1" si="23"/>
        <v>5</v>
      </c>
      <c r="AG29" s="9">
        <v>25</v>
      </c>
      <c r="AH29" s="8">
        <v>0</v>
      </c>
      <c r="AI29" s="8">
        <v>0</v>
      </c>
      <c r="AJ29" s="8">
        <v>0</v>
      </c>
      <c r="AK29" s="8">
        <v>0</v>
      </c>
      <c r="AL29" s="8">
        <v>1</v>
      </c>
    </row>
    <row r="30" spans="1:38" ht="21" customHeight="1">
      <c r="A30" s="21" t="str">
        <f t="shared" ref="A30:A52" ca="1" si="24">B30&amp;"_"&amp;C30&amp;"-"&amp;G30&amp;"/"&amp;K30&amp;"&lt;lv"&amp;Q30&amp;"&gt;s"&amp;Z30</f>
        <v>11209_2-1/117&lt;lv2&gt;s1</v>
      </c>
      <c r="B30" s="33">
        <v>11209</v>
      </c>
      <c r="C30" s="40">
        <v>2</v>
      </c>
      <c r="D30" s="20" t="str">
        <f t="shared" si="21"/>
        <v>11209_2</v>
      </c>
      <c r="E30" s="5" t="str">
        <f ca="1">VLOOKUP($B30,OFFSET([1]quests!$A$1,0,0,COUNTA([1]quests!$A:$A),MATCH(E$1,[1]quests!$1:$1,0)-MATCH($B$1,[1]quests!$1:$1,0)+1),MATCH(E$1,[1]quests!$1:$1,0)-MATCH($B$1,[1]quests!$1:$1,0)+1,FALSE)</f>
        <v>【100万DL記念！】 初心者応援クエスト</v>
      </c>
      <c r="F30" s="5" t="str">
        <f ca="1">VLOOKUP($D30,OFFSET([1]stages!$A$1,0,0,COUNTA([1]stages!$A:$A),MATCH(F$1,[1]stages!$2:$2,0)-MATCH($D$1,[1]stages!$2:$2,0)+1),MATCH(F$1,[1]stages!$2:$2,0)-MATCH($D$1,[1]stages!$2:$2,0)+1,FALSE)</f>
        <v>ゴールドカジノ 【初級】</v>
      </c>
      <c r="G30" s="40">
        <v>1</v>
      </c>
      <c r="H30" s="20" t="str">
        <f t="shared" si="22"/>
        <v>11209_2-1</v>
      </c>
      <c r="I30" s="5">
        <f ca="1">VLOOKUP($H30,OFFSET(floors_beginners!$A$1,0,0,COUNTA(floors_beginners!$A:$A),MATCH(I$1,floors_beginners!$1:$1,0)-MATCH($H$1,floors_beginners!$1:$1,0)+1),MATCH(I$1,floors_beginners!$1:$1,0)-MATCH($H$1,floors_beginners!$1:$1,0)+1,FALSE)</f>
        <v>30</v>
      </c>
      <c r="J30" s="5">
        <f ca="1">VLOOKUP($H30,OFFSET(floors_beginners!$A$1,0,0,COUNTA(floors_beginners!$A:$A),MATCH(J$1,floors_beginners!$1:$1,0)-MATCH($H$1,floors_beginners!$1:$1,0)+1),MATCH(J$1,floors_beginners!$1:$1,0)-MATCH($H$1,floors_beginners!$1:$1,0)+1,FALSE)</f>
        <v>45</v>
      </c>
      <c r="K30" s="41">
        <v>117</v>
      </c>
      <c r="L30" s="26" t="str">
        <f ca="1">VLOOKUP($K30,OFFSET([2]enemies!$A$1,0,0,COUNTA([2]enemies!$A:$A),MATCH(L$1,[2]enemies!$2:$2,0)-MATCH($K$1,[2]enemies!$2:$2,0)+1),MATCH(L$1,[2]enemies!$2:$2,0)-MATCH($K$1,[2]enemies!$2:$2,0)+1,FALSE)</f>
        <v>ゴールドピヨピヨ</v>
      </c>
      <c r="M30" s="29" t="str">
        <f ca="1">VLOOKUP($K30,OFFSET([2]enemies!$A$1,0,0,COUNTA([2]enemies!$A:$A),MATCH(M$1,[2]enemies!$2:$2,0)-MATCH($K$1,[2]enemies!$2:$2,0)+1),MATCH(M$1,[2]enemies!$2:$2,0)-MATCH($K$1,[2]enemies!$2:$2,0)+1,FALSE)</f>
        <v>yellow</v>
      </c>
      <c r="N30" s="29" t="str">
        <f ca="1">VLOOKUP($K30,OFFSET([3]characters!$A$1,0,0,COUNTA([3]characters!$A:$A),MATCH(N$1,[3]characters!$2:$2,0)-MATCH($K$1,[3]characters!$2:$2,0)+1),MATCH(N$1,[3]characters!$2:$2,0)-MATCH($K$1,[3]characters!$2:$2,0)+1,FALSE)</f>
        <v>Material</v>
      </c>
      <c r="O30" s="28" t="str">
        <f ca="1">VLOOKUP($K30,OFFSET([3]characters!$A$1,0,0,COUNTA([3]characters!$A:$A),MATCH(O$1,[3]characters!$2:$2,0)-MATCH($K$1,[3]characters!$2:$2,0)+2),MATCH(O$1,[3]characters!$2:$2,0)-MATCH($K$1,[3]characters!$2:$2,0)+2,FALSE)</f>
        <v>Unknown</v>
      </c>
      <c r="P30" s="5">
        <f ca="1">VLOOKUP($K30,OFFSET([2]enemies!$A$1,0,0,COUNTA([2]enemies!$A:$A),MATCH(P$1,[2]enemies!$2:$2,0)-MATCH($K$1,[2]enemies!$2:$2,0)+1),MATCH(P$1,[2]enemies!$2:$2,0)-MATCH($K$1,[2]enemies!$2:$2,0)+1,FALSE)</f>
        <v>15</v>
      </c>
      <c r="Q30" s="6">
        <v>2</v>
      </c>
      <c r="R30" s="42">
        <v>7.5</v>
      </c>
      <c r="S30" s="37">
        <v>11</v>
      </c>
      <c r="T30" s="6">
        <v>0</v>
      </c>
      <c r="U30" s="5" t="str">
        <f ca="1">VLOOKUP($V30,OFFSET([4]enemy_skill_sets!$B$1,0,0,COUNTA([4]enemy_skill_sets!$B:$B),MATCH(L$1,[4]enemy_skill_sets!$1:$1,0)-MATCH($V$1,[4]enemy_skill_sets!$1:$1,0)+2),MATCH(L$1,[4]enemy_skill_sets!$1:$1,0)-MATCH($V$1,[4]enemy_skill_sets!$1:$1,0)+2,FALSE)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0" s="5">
        <f ca="1">VLOOKUP($K30,OFFSET([2]enemies!$A$1,0,0,COUNTA([2]enemies!$A:$A),MATCH(V$1,[2]enemies!$2:$2,0)-MATCH($K$1,[2]enemies!$2:$2,0)+1),MATCH(V$1,[2]enemies!$2:$2,0)-MATCH($K$1,[2]enemies!$2:$2,0)+1,FALSE)</f>
        <v>0</v>
      </c>
      <c r="W30" s="7">
        <v>1</v>
      </c>
      <c r="X30" s="7">
        <v>0</v>
      </c>
      <c r="Y30" s="7">
        <v>1</v>
      </c>
      <c r="Z30" s="26">
        <f ca="1">VLOOKUP($K30,OFFSET([2]enemies!$A$1,0,0,COUNTA([2]enemies!$A:$A),MATCH(Z$1,[2]enemies!$2:$2,0)-MATCH($K$1,[2]enemies!$2:$2,0)+1),MATCH(Z$1,[2]enemies!$2:$2,0)-MATCH($K$1,[2]enemies!$2:$2,0)+1,FALSE)</f>
        <v>1</v>
      </c>
      <c r="AA30" s="20">
        <f t="shared" si="4"/>
        <v>117</v>
      </c>
      <c r="AB30" s="5" t="str">
        <f ca="1">IFERROR(VLOOKUP($AA30,OFFSET([3]characters!$A$1,0,0,COUNTA([3]characters!$A:$A),MATCH(AB$1,[3]characters!$2:$2,0)-MATCH("character_id",[3]characters!$2:$2,0)+1),MATCH(AB$1,[3]characters!$2:$2,0)-MATCH("character_id",[3]characters!$2:$2,0)+1,FALSE),"")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30" s="5">
        <f ca="1">IFERROR(VLOOKUP($AA30,OFFSET([3]characters!$A$1,0,0,COUNTA([3]characters!$A:$A),MATCH(AC$1,[3]characters!$2:$2,0)-MATCH("character_id",[3]characters!$2:$2,0)+1),MATCH(AC$1,[3]characters!$2:$2,0)-MATCH("character_id",[3]characters!$2:$2,0)+1,FALSE),"")</f>
        <v>3</v>
      </c>
      <c r="AD30" s="5" t="str">
        <f ca="1">IFERROR(VLOOKUP($AA30,OFFSET([3]characters!$A$1,0,0,COUNTA([3]characters!$A:$A),MATCH(AD$1,[3]characters!$2:$2,0)-MATCH("character_id",[3]characters!$2:$2,0)+1),MATCH(AD$1,[3]characters!$2:$2,0)-MATCH("character_id",[3]characters!$2:$2,0)+1,FALSE),"")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0" s="39">
        <v>1</v>
      </c>
      <c r="AF30" s="43">
        <f t="shared" ca="1" si="23"/>
        <v>3</v>
      </c>
      <c r="AG30" s="9">
        <v>100</v>
      </c>
      <c r="AH30" s="39">
        <v>0</v>
      </c>
      <c r="AI30" s="39">
        <v>0</v>
      </c>
      <c r="AJ30" s="39">
        <v>0</v>
      </c>
      <c r="AK30" s="39">
        <v>0</v>
      </c>
      <c r="AL30" s="39">
        <v>1</v>
      </c>
    </row>
    <row r="31" spans="1:38" ht="21" customHeight="1">
      <c r="A31" s="21" t="str">
        <f t="shared" ca="1" si="24"/>
        <v>11209_2-1/117&lt;lv1&gt;s1</v>
      </c>
      <c r="B31" s="33">
        <v>11209</v>
      </c>
      <c r="C31" s="40">
        <v>2</v>
      </c>
      <c r="D31" s="20" t="str">
        <f t="shared" si="21"/>
        <v>11209_2</v>
      </c>
      <c r="E31" s="5" t="str">
        <f ca="1">VLOOKUP($B31,OFFSET([1]quests!$A$1,0,0,COUNTA([1]quests!$A:$A),MATCH(E$1,[1]quests!$1:$1,0)-MATCH($B$1,[1]quests!$1:$1,0)+1),MATCH(E$1,[1]quests!$1:$1,0)-MATCH($B$1,[1]quests!$1:$1,0)+1,FALSE)</f>
        <v>【100万DL記念！】 初心者応援クエスト</v>
      </c>
      <c r="F31" s="5" t="str">
        <f ca="1">VLOOKUP($D31,OFFSET([1]stages!$A$1,0,0,COUNTA([1]stages!$A:$A),MATCH(F$1,[1]stages!$2:$2,0)-MATCH($D$1,[1]stages!$2:$2,0)+1),MATCH(F$1,[1]stages!$2:$2,0)-MATCH($D$1,[1]stages!$2:$2,0)+1,FALSE)</f>
        <v>ゴールドカジノ 【初級】</v>
      </c>
      <c r="G31" s="40">
        <v>1</v>
      </c>
      <c r="H31" s="20" t="str">
        <f t="shared" si="22"/>
        <v>11209_2-1</v>
      </c>
      <c r="I31" s="5">
        <f ca="1">VLOOKUP($H31,OFFSET(floors_beginners!$A$1,0,0,COUNTA(floors_beginners!$A:$A),MATCH(I$1,floors_beginners!$1:$1,0)-MATCH($H$1,floors_beginners!$1:$1,0)+1),MATCH(I$1,floors_beginners!$1:$1,0)-MATCH($H$1,floors_beginners!$1:$1,0)+1,FALSE)</f>
        <v>30</v>
      </c>
      <c r="J31" s="5">
        <f ca="1">VLOOKUP($H31,OFFSET(floors_beginners!$A$1,0,0,COUNTA(floors_beginners!$A:$A),MATCH(J$1,floors_beginners!$1:$1,0)-MATCH($H$1,floors_beginners!$1:$1,0)+1),MATCH(J$1,floors_beginners!$1:$1,0)-MATCH($H$1,floors_beginners!$1:$1,0)+1,FALSE)</f>
        <v>45</v>
      </c>
      <c r="K31" s="41">
        <v>117</v>
      </c>
      <c r="L31" s="26" t="str">
        <f ca="1">VLOOKUP($K31,OFFSET([2]enemies!$A$1,0,0,COUNTA([2]enemies!$A:$A),MATCH(L$1,[2]enemies!$2:$2,0)-MATCH($K$1,[2]enemies!$2:$2,0)+1),MATCH(L$1,[2]enemies!$2:$2,0)-MATCH($K$1,[2]enemies!$2:$2,0)+1,FALSE)</f>
        <v>ゴールドピヨピヨ</v>
      </c>
      <c r="M31" s="29" t="str">
        <f ca="1">VLOOKUP($K31,OFFSET([2]enemies!$A$1,0,0,COUNTA([2]enemies!$A:$A),MATCH(M$1,[2]enemies!$2:$2,0)-MATCH($K$1,[2]enemies!$2:$2,0)+1),MATCH(M$1,[2]enemies!$2:$2,0)-MATCH($K$1,[2]enemies!$2:$2,0)+1,FALSE)</f>
        <v>yellow</v>
      </c>
      <c r="N31" s="29" t="str">
        <f ca="1">VLOOKUP($K31,OFFSET([3]characters!$A$1,0,0,COUNTA([3]characters!$A:$A),MATCH(N$1,[3]characters!$2:$2,0)-MATCH($K$1,[3]characters!$2:$2,0)+1),MATCH(N$1,[3]characters!$2:$2,0)-MATCH($K$1,[3]characters!$2:$2,0)+1,FALSE)</f>
        <v>Material</v>
      </c>
      <c r="O31" s="28" t="str">
        <f ca="1">VLOOKUP($K31,OFFSET([3]characters!$A$1,0,0,COUNTA([3]characters!$A:$A),MATCH(O$1,[3]characters!$2:$2,0)-MATCH($K$1,[3]characters!$2:$2,0)+2),MATCH(O$1,[3]characters!$2:$2,0)-MATCH($K$1,[3]characters!$2:$2,0)+2,FALSE)</f>
        <v>Unknown</v>
      </c>
      <c r="P31" s="5">
        <f ca="1">VLOOKUP($K31,OFFSET([2]enemies!$A$1,0,0,COUNTA([2]enemies!$A:$A),MATCH(P$1,[2]enemies!$2:$2,0)-MATCH($K$1,[2]enemies!$2:$2,0)+1),MATCH(P$1,[2]enemies!$2:$2,0)-MATCH($K$1,[2]enemies!$2:$2,0)+1,FALSE)</f>
        <v>15</v>
      </c>
      <c r="Q31" s="6">
        <v>1</v>
      </c>
      <c r="R31" s="37">
        <v>10.5</v>
      </c>
      <c r="S31" s="37">
        <v>11</v>
      </c>
      <c r="T31" s="6">
        <v>0</v>
      </c>
      <c r="U31" s="5" t="str">
        <f ca="1">VLOOKUP($V31,OFFSET([4]enemy_skill_sets!$B$1,0,0,COUNTA([4]enemy_skill_sets!$B:$B),MATCH(L$1,[4]enemy_skill_sets!$1:$1,0)-MATCH($V$1,[4]enemy_skill_sets!$1:$1,0)+2),MATCH(L$1,[4]enemy_skill_sets!$1:$1,0)-MATCH($V$1,[4]enemy_skill_sets!$1:$1,0)+2,FALSE)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1" s="5">
        <f ca="1">VLOOKUP($K31,OFFSET([2]enemies!$A$1,0,0,COUNTA([2]enemies!$A:$A),MATCH(V$1,[2]enemies!$2:$2,0)-MATCH($K$1,[2]enemies!$2:$2,0)+1),MATCH(V$1,[2]enemies!$2:$2,0)-MATCH($K$1,[2]enemies!$2:$2,0)+1,FALSE)</f>
        <v>0</v>
      </c>
      <c r="W31" s="44">
        <v>0</v>
      </c>
      <c r="X31" s="7">
        <v>100</v>
      </c>
      <c r="Y31" s="7">
        <v>0</v>
      </c>
      <c r="Z31" s="26">
        <f ca="1">VLOOKUP($K31,OFFSET([2]enemies!$A$1,0,0,COUNTA([2]enemies!$A:$A),MATCH(Z$1,[2]enemies!$2:$2,0)-MATCH($K$1,[2]enemies!$2:$2,0)+1),MATCH(Z$1,[2]enemies!$2:$2,0)-MATCH($K$1,[2]enemies!$2:$2,0)+1,FALSE)</f>
        <v>1</v>
      </c>
      <c r="AA31" s="20">
        <f t="shared" si="4"/>
        <v>117</v>
      </c>
      <c r="AB31" s="5" t="str">
        <f ca="1">IFERROR(VLOOKUP($AA31,OFFSET([3]characters!$A$1,0,0,COUNTA([3]characters!$A:$A),MATCH(AB$1,[3]characters!$2:$2,0)-MATCH("character_id",[3]characters!$2:$2,0)+1),MATCH(AB$1,[3]characters!$2:$2,0)-MATCH("character_id",[3]characters!$2:$2,0)+1,FALSE),"")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31" s="5">
        <f ca="1">IFERROR(VLOOKUP($AA31,OFFSET([3]characters!$A$1,0,0,COUNTA([3]characters!$A:$A),MATCH(AC$1,[3]characters!$2:$2,0)-MATCH("character_id",[3]characters!$2:$2,0)+1),MATCH(AC$1,[3]characters!$2:$2,0)-MATCH("character_id",[3]characters!$2:$2,0)+1,FALSE),"")</f>
        <v>3</v>
      </c>
      <c r="AD31" s="5" t="str">
        <f ca="1">IFERROR(VLOOKUP($AA31,OFFSET([3]characters!$A$1,0,0,COUNTA([3]characters!$A:$A),MATCH(AD$1,[3]characters!$2:$2,0)-MATCH("character_id",[3]characters!$2:$2,0)+1),MATCH(AD$1,[3]characters!$2:$2,0)-MATCH("character_id",[3]characters!$2:$2,0)+1,FALSE),"")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1" s="39">
        <v>1</v>
      </c>
      <c r="AF31" s="43">
        <f t="shared" ca="1" si="23"/>
        <v>3</v>
      </c>
      <c r="AG31" s="9">
        <v>100</v>
      </c>
      <c r="AH31" s="39">
        <v>0</v>
      </c>
      <c r="AI31" s="39">
        <v>0</v>
      </c>
      <c r="AJ31" s="39">
        <v>0</v>
      </c>
      <c r="AK31" s="39">
        <v>0</v>
      </c>
      <c r="AL31" s="39">
        <v>1</v>
      </c>
    </row>
    <row r="32" spans="1:38" ht="21" customHeight="1">
      <c r="A32" s="21" t="str">
        <f t="shared" ca="1" si="24"/>
        <v>11209_2-1/1&lt;lv5&gt;s1</v>
      </c>
      <c r="B32" s="33">
        <v>11209</v>
      </c>
      <c r="C32" s="40">
        <v>2</v>
      </c>
      <c r="D32" s="20" t="str">
        <f t="shared" si="21"/>
        <v>11209_2</v>
      </c>
      <c r="E32" s="5" t="str">
        <f ca="1">VLOOKUP($B32,OFFSET([1]quests!$A$1,0,0,COUNTA([1]quests!$A:$A),MATCH(E$1,[1]quests!$1:$1,0)-MATCH($B$1,[1]quests!$1:$1,0)+1),MATCH(E$1,[1]quests!$1:$1,0)-MATCH($B$1,[1]quests!$1:$1,0)+1,FALSE)</f>
        <v>【100万DL記念！】 初心者応援クエスト</v>
      </c>
      <c r="F32" s="5" t="str">
        <f ca="1">VLOOKUP($D32,OFFSET([1]stages!$A$1,0,0,COUNTA([1]stages!$A:$A),MATCH(F$1,[1]stages!$2:$2,0)-MATCH($D$1,[1]stages!$2:$2,0)+1),MATCH(F$1,[1]stages!$2:$2,0)-MATCH($D$1,[1]stages!$2:$2,0)+1,FALSE)</f>
        <v>ゴールドカジノ 【初級】</v>
      </c>
      <c r="G32" s="40">
        <v>1</v>
      </c>
      <c r="H32" s="20" t="str">
        <f t="shared" si="22"/>
        <v>11209_2-1</v>
      </c>
      <c r="I32" s="5">
        <f ca="1">VLOOKUP($H32,OFFSET(floors_beginners!$A$1,0,0,COUNTA(floors_beginners!$A:$A),MATCH(I$1,floors_beginners!$1:$1,0)-MATCH($H$1,floors_beginners!$1:$1,0)+1),MATCH(I$1,floors_beginners!$1:$1,0)-MATCH($H$1,floors_beginners!$1:$1,0)+1,FALSE)</f>
        <v>30</v>
      </c>
      <c r="J32" s="5">
        <f ca="1">VLOOKUP($H32,OFFSET(floors_beginners!$A$1,0,0,COUNTA(floors_beginners!$A:$A),MATCH(J$1,floors_beginners!$1:$1,0)-MATCH($H$1,floors_beginners!$1:$1,0)+1),MATCH(J$1,floors_beginners!$1:$1,0)-MATCH($H$1,floors_beginners!$1:$1,0)+1,FALSE)</f>
        <v>45</v>
      </c>
      <c r="K32" s="41">
        <v>1</v>
      </c>
      <c r="L32" s="26" t="str">
        <f ca="1">VLOOKUP($K32,OFFSET([2]enemies!$A$1,0,0,COUNTA([2]enemies!$A:$A),MATCH(L$1,[2]enemies!$2:$2,0)-MATCH($K$1,[2]enemies!$2:$2,0)+1),MATCH(L$1,[2]enemies!$2:$2,0)-MATCH($K$1,[2]enemies!$2:$2,0)+1,FALSE)</f>
        <v>ジェリー</v>
      </c>
      <c r="M32" s="29" t="str">
        <f ca="1">VLOOKUP($K32,OFFSET([2]enemies!$A$1,0,0,COUNTA([2]enemies!$A:$A),MATCH(M$1,[2]enemies!$2:$2,0)-MATCH($K$1,[2]enemies!$2:$2,0)+1),MATCH(M$1,[2]enemies!$2:$2,0)-MATCH($K$1,[2]enemies!$2:$2,0)+1,FALSE)</f>
        <v>red</v>
      </c>
      <c r="N32" s="29" t="str">
        <f ca="1">VLOOKUP($K32,OFFSET([3]characters!$A$1,0,0,COUNTA([3]characters!$A:$A),MATCH(N$1,[3]characters!$2:$2,0)-MATCH($K$1,[3]characters!$2:$2,0)+1),MATCH(N$1,[3]characters!$2:$2,0)-MATCH($K$1,[3]characters!$2:$2,0)+1,FALSE)</f>
        <v>Drop1T</v>
      </c>
      <c r="O32" s="28" t="str">
        <f ca="1">VLOOKUP($K32,OFFSET([3]characters!$A$1,0,0,COUNTA([3]characters!$A:$A),MATCH(O$1,[3]characters!$2:$2,0)-MATCH($K$1,[3]characters!$2:$2,0)+2),MATCH(O$1,[3]characters!$2:$2,0)-MATCH($K$1,[3]characters!$2:$2,0)+2,FALSE)</f>
        <v>Unknown</v>
      </c>
      <c r="P32" s="5">
        <f ca="1">VLOOKUP($K32,OFFSET([2]enemies!$A$1,0,0,COUNTA([2]enemies!$A:$A),MATCH(P$1,[2]enemies!$2:$2,0)-MATCH($K$1,[2]enemies!$2:$2,0)+1),MATCH(P$1,[2]enemies!$2:$2,0)-MATCH($K$1,[2]enemies!$2:$2,0)+1,FALSE)</f>
        <v>15</v>
      </c>
      <c r="Q32" s="6">
        <v>5</v>
      </c>
      <c r="R32" s="37">
        <v>1</v>
      </c>
      <c r="S32" s="37">
        <v>1</v>
      </c>
      <c r="T32" s="6">
        <v>0</v>
      </c>
      <c r="U32" s="5" t="str">
        <f ca="1">VLOOKUP($V32,OFFSET([4]enemy_skill_sets!$B$1,0,0,COUNTA([4]enemy_skill_sets!$B:$B),MATCH(L$1,[4]enemy_skill_sets!$1:$1,0)-MATCH($V$1,[4]enemy_skill_sets!$1:$1,0)+2),MATCH(L$1,[4]enemy_skill_sets!$1:$1,0)-MATCH($V$1,[4]enemy_skill_sets!$1:$1,0)+2,FALSE)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2" s="5">
        <f ca="1">VLOOKUP($K32,OFFSET([2]enemies!$A$1,0,0,COUNTA([2]enemies!$A:$A),MATCH(V$1,[2]enemies!$2:$2,0)-MATCH($K$1,[2]enemies!$2:$2,0)+1),MATCH(V$1,[2]enemies!$2:$2,0)-MATCH($K$1,[2]enemies!$2:$2,0)+1,FALSE)</f>
        <v>0</v>
      </c>
      <c r="W32" s="7">
        <v>0</v>
      </c>
      <c r="X32" s="7">
        <v>100</v>
      </c>
      <c r="Y32" s="7">
        <v>0</v>
      </c>
      <c r="Z32" s="26">
        <f ca="1">VLOOKUP($K32,OFFSET([2]enemies!$A$1,0,0,COUNTA([2]enemies!$A:$A),MATCH(Z$1,[2]enemies!$2:$2,0)-MATCH($K$1,[2]enemies!$2:$2,0)+1),MATCH(Z$1,[2]enemies!$2:$2,0)-MATCH($K$1,[2]enemies!$2:$2,0)+1,FALSE)</f>
        <v>1</v>
      </c>
      <c r="AA32" s="20">
        <f t="shared" si="4"/>
        <v>1</v>
      </c>
      <c r="AB32" s="5" t="str">
        <f ca="1">IFERROR(VLOOKUP($AA32,OFFSET([3]characters!$A$1,0,0,COUNTA([3]characters!$A:$A),MATCH(AB$1,[3]characters!$2:$2,0)-MATCH("character_id",[3]characters!$2:$2,0)+1),MATCH(AB$1,[3]characters!$2:$2,0)-MATCH("character_id",[3]characters!$2:$2,0)+1,FALSE),"")</f>
        <v>ジェリー</v>
      </c>
      <c r="AC32" s="5">
        <f ca="1">IFERROR(VLOOKUP($AA32,OFFSET([3]characters!$A$1,0,0,COUNTA([3]characters!$A:$A),MATCH(AC$1,[3]characters!$2:$2,0)-MATCH("character_id",[3]characters!$2:$2,0)+1),MATCH(AC$1,[3]characters!$2:$2,0)-MATCH("character_id",[3]characters!$2:$2,0)+1,FALSE),"")</f>
        <v>1</v>
      </c>
      <c r="AD32" s="5" t="str">
        <f ca="1">IFERROR(VLOOKUP($AA32,OFFSET([3]characters!$A$1,0,0,COUNTA([3]characters!$A:$A),MATCH(AD$1,[3]characters!$2:$2,0)-MATCH("character_id",[3]characters!$2:$2,0)+1),MATCH(AD$1,[3]characters!$2:$2,0)-MATCH("character_id",[3]characters!$2:$2,0)+1,FALSE),"")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32" s="39">
        <v>1</v>
      </c>
      <c r="AF32" s="43">
        <f t="shared" ca="1" si="23"/>
        <v>1</v>
      </c>
      <c r="AG32" s="9">
        <v>0</v>
      </c>
      <c r="AH32" s="39">
        <v>0</v>
      </c>
      <c r="AI32" s="39">
        <v>0</v>
      </c>
      <c r="AJ32" s="39">
        <v>0</v>
      </c>
      <c r="AK32" s="39">
        <v>0</v>
      </c>
      <c r="AL32" s="39">
        <v>1</v>
      </c>
    </row>
    <row r="33" spans="1:38" ht="21" customHeight="1">
      <c r="A33" s="21" t="str">
        <f t="shared" ca="1" si="24"/>
        <v>11209_2-2/117&lt;lv2&gt;s1</v>
      </c>
      <c r="B33" s="33">
        <v>11209</v>
      </c>
      <c r="C33" s="40">
        <v>2</v>
      </c>
      <c r="D33" s="20" t="str">
        <f t="shared" si="21"/>
        <v>11209_2</v>
      </c>
      <c r="E33" s="5" t="str">
        <f ca="1">VLOOKUP($B33,OFFSET([1]quests!$A$1,0,0,COUNTA([1]quests!$A:$A),MATCH(E$1,[1]quests!$1:$1,0)-MATCH($B$1,[1]quests!$1:$1,0)+1),MATCH(E$1,[1]quests!$1:$1,0)-MATCH($B$1,[1]quests!$1:$1,0)+1,FALSE)</f>
        <v>【100万DL記念！】 初心者応援クエスト</v>
      </c>
      <c r="F33" s="5" t="str">
        <f ca="1">VLOOKUP($D33,OFFSET([1]stages!$A$1,0,0,COUNTA([1]stages!$A:$A),MATCH(F$1,[1]stages!$2:$2,0)-MATCH($D$1,[1]stages!$2:$2,0)+1),MATCH(F$1,[1]stages!$2:$2,0)-MATCH($D$1,[1]stages!$2:$2,0)+1,FALSE)</f>
        <v>ゴールドカジノ 【初級】</v>
      </c>
      <c r="G33" s="40">
        <v>2</v>
      </c>
      <c r="H33" s="20" t="str">
        <f t="shared" si="22"/>
        <v>11209_2-2</v>
      </c>
      <c r="I33" s="5">
        <f ca="1">VLOOKUP($H33,OFFSET(floors_beginners!$A$1,0,0,COUNTA(floors_beginners!$A:$A),MATCH(I$1,floors_beginners!$1:$1,0)-MATCH($H$1,floors_beginners!$1:$1,0)+1),MATCH(I$1,floors_beginners!$1:$1,0)-MATCH($H$1,floors_beginners!$1:$1,0)+1,FALSE)</f>
        <v>30</v>
      </c>
      <c r="J33" s="5">
        <f ca="1">VLOOKUP($H33,OFFSET(floors_beginners!$A$1,0,0,COUNTA(floors_beginners!$A:$A),MATCH(J$1,floors_beginners!$1:$1,0)-MATCH($H$1,floors_beginners!$1:$1,0)+1),MATCH(J$1,floors_beginners!$1:$1,0)-MATCH($H$1,floors_beginners!$1:$1,0)+1,FALSE)</f>
        <v>45</v>
      </c>
      <c r="K33" s="41">
        <v>117</v>
      </c>
      <c r="L33" s="26" t="str">
        <f ca="1">VLOOKUP($K33,OFFSET([2]enemies!$A$1,0,0,COUNTA([2]enemies!$A:$A),MATCH(L$1,[2]enemies!$2:$2,0)-MATCH($K$1,[2]enemies!$2:$2,0)+1),MATCH(L$1,[2]enemies!$2:$2,0)-MATCH($K$1,[2]enemies!$2:$2,0)+1,FALSE)</f>
        <v>ゴールドピヨピヨ</v>
      </c>
      <c r="M33" s="29" t="str">
        <f ca="1">VLOOKUP($K33,OFFSET([2]enemies!$A$1,0,0,COUNTA([2]enemies!$A:$A),MATCH(M$1,[2]enemies!$2:$2,0)-MATCH($K$1,[2]enemies!$2:$2,0)+1),MATCH(M$1,[2]enemies!$2:$2,0)-MATCH($K$1,[2]enemies!$2:$2,0)+1,FALSE)</f>
        <v>yellow</v>
      </c>
      <c r="N33" s="29" t="str">
        <f ca="1">VLOOKUP($K33,OFFSET([3]characters!$A$1,0,0,COUNTA([3]characters!$A:$A),MATCH(N$1,[3]characters!$2:$2,0)-MATCH($K$1,[3]characters!$2:$2,0)+1),MATCH(N$1,[3]characters!$2:$2,0)-MATCH($K$1,[3]characters!$2:$2,0)+1,FALSE)</f>
        <v>Material</v>
      </c>
      <c r="O33" s="28" t="str">
        <f ca="1">VLOOKUP($K33,OFFSET([3]characters!$A$1,0,0,COUNTA([3]characters!$A:$A),MATCH(O$1,[3]characters!$2:$2,0)-MATCH($K$1,[3]characters!$2:$2,0)+2),MATCH(O$1,[3]characters!$2:$2,0)-MATCH($K$1,[3]characters!$2:$2,0)+2,FALSE)</f>
        <v>Unknown</v>
      </c>
      <c r="P33" s="5">
        <f ca="1">VLOOKUP($K33,OFFSET([2]enemies!$A$1,0,0,COUNTA([2]enemies!$A:$A),MATCH(P$1,[2]enemies!$2:$2,0)-MATCH($K$1,[2]enemies!$2:$2,0)+1),MATCH(P$1,[2]enemies!$2:$2,0)-MATCH($K$1,[2]enemies!$2:$2,0)+1,FALSE)</f>
        <v>15</v>
      </c>
      <c r="Q33" s="6">
        <v>2</v>
      </c>
      <c r="R33" s="42">
        <v>7.5</v>
      </c>
      <c r="S33" s="37">
        <v>11</v>
      </c>
      <c r="T33" s="6">
        <v>0</v>
      </c>
      <c r="U33" s="5" t="str">
        <f ca="1">VLOOKUP($V33,OFFSET([4]enemy_skill_sets!$B$1,0,0,COUNTA([4]enemy_skill_sets!$B:$B),MATCH(L$1,[4]enemy_skill_sets!$1:$1,0)-MATCH($V$1,[4]enemy_skill_sets!$1:$1,0)+2),MATCH(L$1,[4]enemy_skill_sets!$1:$1,0)-MATCH($V$1,[4]enemy_skill_sets!$1:$1,0)+2,FALSE)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3" s="5">
        <f ca="1">VLOOKUP($K33,OFFSET([2]enemies!$A$1,0,0,COUNTA([2]enemies!$A:$A),MATCH(V$1,[2]enemies!$2:$2,0)-MATCH($K$1,[2]enemies!$2:$2,0)+1),MATCH(V$1,[2]enemies!$2:$2,0)-MATCH($K$1,[2]enemies!$2:$2,0)+1,FALSE)</f>
        <v>0</v>
      </c>
      <c r="W33" s="7">
        <v>1</v>
      </c>
      <c r="X33" s="7">
        <v>100</v>
      </c>
      <c r="Y33" s="7">
        <v>0</v>
      </c>
      <c r="Z33" s="26">
        <f ca="1">VLOOKUP($K33,OFFSET([2]enemies!$A$1,0,0,COUNTA([2]enemies!$A:$A),MATCH(Z$1,[2]enemies!$2:$2,0)-MATCH($K$1,[2]enemies!$2:$2,0)+1),MATCH(Z$1,[2]enemies!$2:$2,0)-MATCH($K$1,[2]enemies!$2:$2,0)+1,FALSE)</f>
        <v>1</v>
      </c>
      <c r="AA33" s="20">
        <f t="shared" si="4"/>
        <v>117</v>
      </c>
      <c r="AB33" s="5" t="str">
        <f ca="1">IFERROR(VLOOKUP($AA33,OFFSET([3]characters!$A$1,0,0,COUNTA([3]characters!$A:$A),MATCH(AB$1,[3]characters!$2:$2,0)-MATCH("character_id",[3]characters!$2:$2,0)+1),MATCH(AB$1,[3]characters!$2:$2,0)-MATCH("character_id",[3]characters!$2:$2,0)+1,FALSE),"")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33" s="5">
        <f ca="1">IFERROR(VLOOKUP($AA33,OFFSET([3]characters!$A$1,0,0,COUNTA([3]characters!$A:$A),MATCH(AC$1,[3]characters!$2:$2,0)-MATCH("character_id",[3]characters!$2:$2,0)+1),MATCH(AC$1,[3]characters!$2:$2,0)-MATCH("character_id",[3]characters!$2:$2,0)+1,FALSE),"")</f>
        <v>3</v>
      </c>
      <c r="AD33" s="5" t="str">
        <f ca="1">IFERROR(VLOOKUP($AA33,OFFSET([3]characters!$A$1,0,0,COUNTA([3]characters!$A:$A),MATCH(AD$1,[3]characters!$2:$2,0)-MATCH("character_id",[3]characters!$2:$2,0)+1),MATCH(AD$1,[3]characters!$2:$2,0)-MATCH("character_id",[3]characters!$2:$2,0)+1,FALSE),"")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3" s="39">
        <v>1</v>
      </c>
      <c r="AF33" s="43">
        <f t="shared" ca="1" si="23"/>
        <v>3</v>
      </c>
      <c r="AG33" s="9">
        <v>100</v>
      </c>
      <c r="AH33" s="39">
        <v>0</v>
      </c>
      <c r="AI33" s="39">
        <v>0</v>
      </c>
      <c r="AJ33" s="39">
        <v>0</v>
      </c>
      <c r="AK33" s="39">
        <v>0</v>
      </c>
      <c r="AL33" s="39">
        <v>1</v>
      </c>
    </row>
    <row r="34" spans="1:38" ht="21" customHeight="1">
      <c r="A34" s="21" t="str">
        <f t="shared" ca="1" si="24"/>
        <v>11209_2-2/117&lt;lv1&gt;s1</v>
      </c>
      <c r="B34" s="33">
        <v>11209</v>
      </c>
      <c r="C34" s="40">
        <v>2</v>
      </c>
      <c r="D34" s="20" t="str">
        <f t="shared" si="21"/>
        <v>11209_2</v>
      </c>
      <c r="E34" s="5" t="str">
        <f ca="1">VLOOKUP($B34,OFFSET([1]quests!$A$1,0,0,COUNTA([1]quests!$A:$A),MATCH(E$1,[1]quests!$1:$1,0)-MATCH($B$1,[1]quests!$1:$1,0)+1),MATCH(E$1,[1]quests!$1:$1,0)-MATCH($B$1,[1]quests!$1:$1,0)+1,FALSE)</f>
        <v>【100万DL記念！】 初心者応援クエスト</v>
      </c>
      <c r="F34" s="5" t="str">
        <f ca="1">VLOOKUP($D34,OFFSET([1]stages!$A$1,0,0,COUNTA([1]stages!$A:$A),MATCH(F$1,[1]stages!$2:$2,0)-MATCH($D$1,[1]stages!$2:$2,0)+1),MATCH(F$1,[1]stages!$2:$2,0)-MATCH($D$1,[1]stages!$2:$2,0)+1,FALSE)</f>
        <v>ゴールドカジノ 【初級】</v>
      </c>
      <c r="G34" s="40">
        <v>2</v>
      </c>
      <c r="H34" s="20" t="str">
        <f t="shared" si="22"/>
        <v>11209_2-2</v>
      </c>
      <c r="I34" s="5">
        <f ca="1">VLOOKUP($H34,OFFSET(floors_beginners!$A$1,0,0,COUNTA(floors_beginners!$A:$A),MATCH(I$1,floors_beginners!$1:$1,0)-MATCH($H$1,floors_beginners!$1:$1,0)+1),MATCH(I$1,floors_beginners!$1:$1,0)-MATCH($H$1,floors_beginners!$1:$1,0)+1,FALSE)</f>
        <v>30</v>
      </c>
      <c r="J34" s="5">
        <f ca="1">VLOOKUP($H34,OFFSET(floors_beginners!$A$1,0,0,COUNTA(floors_beginners!$A:$A),MATCH(J$1,floors_beginners!$1:$1,0)-MATCH($H$1,floors_beginners!$1:$1,0)+1),MATCH(J$1,floors_beginners!$1:$1,0)-MATCH($H$1,floors_beginners!$1:$1,0)+1,FALSE)</f>
        <v>45</v>
      </c>
      <c r="K34" s="41">
        <v>117</v>
      </c>
      <c r="L34" s="26" t="str">
        <f ca="1">VLOOKUP($K34,OFFSET([2]enemies!$A$1,0,0,COUNTA([2]enemies!$A:$A),MATCH(L$1,[2]enemies!$2:$2,0)-MATCH($K$1,[2]enemies!$2:$2,0)+1),MATCH(L$1,[2]enemies!$2:$2,0)-MATCH($K$1,[2]enemies!$2:$2,0)+1,FALSE)</f>
        <v>ゴールドピヨピヨ</v>
      </c>
      <c r="M34" s="29" t="str">
        <f ca="1">VLOOKUP($K34,OFFSET([2]enemies!$A$1,0,0,COUNTA([2]enemies!$A:$A),MATCH(M$1,[2]enemies!$2:$2,0)-MATCH($K$1,[2]enemies!$2:$2,0)+1),MATCH(M$1,[2]enemies!$2:$2,0)-MATCH($K$1,[2]enemies!$2:$2,0)+1,FALSE)</f>
        <v>yellow</v>
      </c>
      <c r="N34" s="29" t="str">
        <f ca="1">VLOOKUP($K34,OFFSET([3]characters!$A$1,0,0,COUNTA([3]characters!$A:$A),MATCH(N$1,[3]characters!$2:$2,0)-MATCH($K$1,[3]characters!$2:$2,0)+1),MATCH(N$1,[3]characters!$2:$2,0)-MATCH($K$1,[3]characters!$2:$2,0)+1,FALSE)</f>
        <v>Material</v>
      </c>
      <c r="O34" s="28" t="str">
        <f ca="1">VLOOKUP($K34,OFFSET([3]characters!$A$1,0,0,COUNTA([3]characters!$A:$A),MATCH(O$1,[3]characters!$2:$2,0)-MATCH($K$1,[3]characters!$2:$2,0)+2),MATCH(O$1,[3]characters!$2:$2,0)-MATCH($K$1,[3]characters!$2:$2,0)+2,FALSE)</f>
        <v>Unknown</v>
      </c>
      <c r="P34" s="5">
        <f ca="1">VLOOKUP($K34,OFFSET([2]enemies!$A$1,0,0,COUNTA([2]enemies!$A:$A),MATCH(P$1,[2]enemies!$2:$2,0)-MATCH($K$1,[2]enemies!$2:$2,0)+1),MATCH(P$1,[2]enemies!$2:$2,0)-MATCH($K$1,[2]enemies!$2:$2,0)+1,FALSE)</f>
        <v>15</v>
      </c>
      <c r="Q34" s="6">
        <v>1</v>
      </c>
      <c r="R34" s="42">
        <v>10.5</v>
      </c>
      <c r="S34" s="37">
        <v>11</v>
      </c>
      <c r="T34" s="6">
        <v>0</v>
      </c>
      <c r="U34" s="5" t="str">
        <f ca="1">VLOOKUP($V34,OFFSET([4]enemy_skill_sets!$B$1,0,0,COUNTA([4]enemy_skill_sets!$B:$B),MATCH(L$1,[4]enemy_skill_sets!$1:$1,0)-MATCH($V$1,[4]enemy_skill_sets!$1:$1,0)+2),MATCH(L$1,[4]enemy_skill_sets!$1:$1,0)-MATCH($V$1,[4]enemy_skill_sets!$1:$1,0)+2,FALSE)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4" s="5">
        <f ca="1">VLOOKUP($K34,OFFSET([2]enemies!$A$1,0,0,COUNTA([2]enemies!$A:$A),MATCH(V$1,[2]enemies!$2:$2,0)-MATCH($K$1,[2]enemies!$2:$2,0)+1),MATCH(V$1,[2]enemies!$2:$2,0)-MATCH($K$1,[2]enemies!$2:$2,0)+1,FALSE)</f>
        <v>0</v>
      </c>
      <c r="W34" s="7">
        <v>0</v>
      </c>
      <c r="X34" s="7">
        <v>100</v>
      </c>
      <c r="Y34" s="7">
        <v>0</v>
      </c>
      <c r="Z34" s="26">
        <f ca="1">VLOOKUP($K34,OFFSET([2]enemies!$A$1,0,0,COUNTA([2]enemies!$A:$A),MATCH(Z$1,[2]enemies!$2:$2,0)-MATCH($K$1,[2]enemies!$2:$2,0)+1),MATCH(Z$1,[2]enemies!$2:$2,0)-MATCH($K$1,[2]enemies!$2:$2,0)+1,FALSE)</f>
        <v>1</v>
      </c>
      <c r="AA34" s="20">
        <f t="shared" si="4"/>
        <v>117</v>
      </c>
      <c r="AB34" s="5" t="str">
        <f ca="1">IFERROR(VLOOKUP($AA34,OFFSET([3]characters!$A$1,0,0,COUNTA([3]characters!$A:$A),MATCH(AB$1,[3]characters!$2:$2,0)-MATCH("character_id",[3]characters!$2:$2,0)+1),MATCH(AB$1,[3]characters!$2:$2,0)-MATCH("character_id",[3]characters!$2:$2,0)+1,FALSE),"")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34" s="5">
        <f ca="1">IFERROR(VLOOKUP($AA34,OFFSET([3]characters!$A$1,0,0,COUNTA([3]characters!$A:$A),MATCH(AC$1,[3]characters!$2:$2,0)-MATCH("character_id",[3]characters!$2:$2,0)+1),MATCH(AC$1,[3]characters!$2:$2,0)-MATCH("character_id",[3]characters!$2:$2,0)+1,FALSE),"")</f>
        <v>3</v>
      </c>
      <c r="AD34" s="5" t="str">
        <f ca="1">IFERROR(VLOOKUP($AA34,OFFSET([3]characters!$A$1,0,0,COUNTA([3]characters!$A:$A),MATCH(AD$1,[3]characters!$2:$2,0)-MATCH("character_id",[3]characters!$2:$2,0)+1),MATCH(AD$1,[3]characters!$2:$2,0)-MATCH("character_id",[3]characters!$2:$2,0)+1,FALSE),"")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4" s="39">
        <v>1</v>
      </c>
      <c r="AF34" s="43">
        <f t="shared" ca="1" si="23"/>
        <v>3</v>
      </c>
      <c r="AG34" s="9">
        <v>100</v>
      </c>
      <c r="AH34" s="39">
        <v>0</v>
      </c>
      <c r="AI34" s="39">
        <v>0</v>
      </c>
      <c r="AJ34" s="39">
        <v>0</v>
      </c>
      <c r="AK34" s="39">
        <v>0</v>
      </c>
      <c r="AL34" s="39">
        <v>1</v>
      </c>
    </row>
    <row r="35" spans="1:38" ht="21" customHeight="1">
      <c r="A35" s="21" t="str">
        <f t="shared" ca="1" si="24"/>
        <v>11209_2-2/1&lt;lv5&gt;s1</v>
      </c>
      <c r="B35" s="33">
        <v>11209</v>
      </c>
      <c r="C35" s="40">
        <v>2</v>
      </c>
      <c r="D35" s="20" t="str">
        <f t="shared" si="21"/>
        <v>11209_2</v>
      </c>
      <c r="E35" s="5" t="str">
        <f ca="1">VLOOKUP($B35,OFFSET([1]quests!$A$1,0,0,COUNTA([1]quests!$A:$A),MATCH(E$1,[1]quests!$1:$1,0)-MATCH($B$1,[1]quests!$1:$1,0)+1),MATCH(E$1,[1]quests!$1:$1,0)-MATCH($B$1,[1]quests!$1:$1,0)+1,FALSE)</f>
        <v>【100万DL記念！】 初心者応援クエスト</v>
      </c>
      <c r="F35" s="5" t="str">
        <f ca="1">VLOOKUP($D35,OFFSET([1]stages!$A$1,0,0,COUNTA([1]stages!$A:$A),MATCH(F$1,[1]stages!$2:$2,0)-MATCH($D$1,[1]stages!$2:$2,0)+1),MATCH(F$1,[1]stages!$2:$2,0)-MATCH($D$1,[1]stages!$2:$2,0)+1,FALSE)</f>
        <v>ゴールドカジノ 【初級】</v>
      </c>
      <c r="G35" s="40">
        <v>2</v>
      </c>
      <c r="H35" s="20" t="str">
        <f t="shared" si="22"/>
        <v>11209_2-2</v>
      </c>
      <c r="I35" s="5">
        <f ca="1">VLOOKUP($H35,OFFSET(floors_beginners!$A$1,0,0,COUNTA(floors_beginners!$A:$A),MATCH(I$1,floors_beginners!$1:$1,0)-MATCH($H$1,floors_beginners!$1:$1,0)+1),MATCH(I$1,floors_beginners!$1:$1,0)-MATCH($H$1,floors_beginners!$1:$1,0)+1,FALSE)</f>
        <v>30</v>
      </c>
      <c r="J35" s="5">
        <f ca="1">VLOOKUP($H35,OFFSET(floors_beginners!$A$1,0,0,COUNTA(floors_beginners!$A:$A),MATCH(J$1,floors_beginners!$1:$1,0)-MATCH($H$1,floors_beginners!$1:$1,0)+1),MATCH(J$1,floors_beginners!$1:$1,0)-MATCH($H$1,floors_beginners!$1:$1,0)+1,FALSE)</f>
        <v>45</v>
      </c>
      <c r="K35" s="41">
        <v>1</v>
      </c>
      <c r="L35" s="26" t="str">
        <f ca="1">VLOOKUP($K35,OFFSET([2]enemies!$A$1,0,0,COUNTA([2]enemies!$A:$A),MATCH(L$1,[2]enemies!$2:$2,0)-MATCH($K$1,[2]enemies!$2:$2,0)+1),MATCH(L$1,[2]enemies!$2:$2,0)-MATCH($K$1,[2]enemies!$2:$2,0)+1,FALSE)</f>
        <v>ジェリー</v>
      </c>
      <c r="M35" s="29" t="str">
        <f ca="1">VLOOKUP($K35,OFFSET([2]enemies!$A$1,0,0,COUNTA([2]enemies!$A:$A),MATCH(M$1,[2]enemies!$2:$2,0)-MATCH($K$1,[2]enemies!$2:$2,0)+1),MATCH(M$1,[2]enemies!$2:$2,0)-MATCH($K$1,[2]enemies!$2:$2,0)+1,FALSE)</f>
        <v>red</v>
      </c>
      <c r="N35" s="29" t="str">
        <f ca="1">VLOOKUP($K35,OFFSET([3]characters!$A$1,0,0,COUNTA([3]characters!$A:$A),MATCH(N$1,[3]characters!$2:$2,0)-MATCH($K$1,[3]characters!$2:$2,0)+1),MATCH(N$1,[3]characters!$2:$2,0)-MATCH($K$1,[3]characters!$2:$2,0)+1,FALSE)</f>
        <v>Drop1T</v>
      </c>
      <c r="O35" s="28" t="str">
        <f ca="1">VLOOKUP($K35,OFFSET([3]characters!$A$1,0,0,COUNTA([3]characters!$A:$A),MATCH(O$1,[3]characters!$2:$2,0)-MATCH($K$1,[3]characters!$2:$2,0)+2),MATCH(O$1,[3]characters!$2:$2,0)-MATCH($K$1,[3]characters!$2:$2,0)+2,FALSE)</f>
        <v>Unknown</v>
      </c>
      <c r="P35" s="5">
        <f ca="1">VLOOKUP($K35,OFFSET([2]enemies!$A$1,0,0,COUNTA([2]enemies!$A:$A),MATCH(P$1,[2]enemies!$2:$2,0)-MATCH($K$1,[2]enemies!$2:$2,0)+1),MATCH(P$1,[2]enemies!$2:$2,0)-MATCH($K$1,[2]enemies!$2:$2,0)+1,FALSE)</f>
        <v>15</v>
      </c>
      <c r="Q35" s="6">
        <v>5</v>
      </c>
      <c r="R35" s="37">
        <v>1</v>
      </c>
      <c r="S35" s="37">
        <v>1</v>
      </c>
      <c r="T35" s="6">
        <v>0</v>
      </c>
      <c r="U35" s="5" t="str">
        <f ca="1">VLOOKUP($V35,OFFSET([4]enemy_skill_sets!$B$1,0,0,COUNTA([4]enemy_skill_sets!$B:$B),MATCH(L$1,[4]enemy_skill_sets!$1:$1,0)-MATCH($V$1,[4]enemy_skill_sets!$1:$1,0)+2),MATCH(L$1,[4]enemy_skill_sets!$1:$1,0)-MATCH($V$1,[4]enemy_skill_sets!$1:$1,0)+2,FALSE)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5" s="5">
        <f ca="1">VLOOKUP($K35,OFFSET([2]enemies!$A$1,0,0,COUNTA([2]enemies!$A:$A),MATCH(V$1,[2]enemies!$2:$2,0)-MATCH($K$1,[2]enemies!$2:$2,0)+1),MATCH(V$1,[2]enemies!$2:$2,0)-MATCH($K$1,[2]enemies!$2:$2,0)+1,FALSE)</f>
        <v>0</v>
      </c>
      <c r="W35" s="7">
        <v>0</v>
      </c>
      <c r="X35" s="7">
        <v>100</v>
      </c>
      <c r="Y35" s="7">
        <v>0</v>
      </c>
      <c r="Z35" s="26">
        <f ca="1">VLOOKUP($K35,OFFSET([2]enemies!$A$1,0,0,COUNTA([2]enemies!$A:$A),MATCH(Z$1,[2]enemies!$2:$2,0)-MATCH($K$1,[2]enemies!$2:$2,0)+1),MATCH(Z$1,[2]enemies!$2:$2,0)-MATCH($K$1,[2]enemies!$2:$2,0)+1,FALSE)</f>
        <v>1</v>
      </c>
      <c r="AA35" s="20">
        <f t="shared" si="4"/>
        <v>1</v>
      </c>
      <c r="AB35" s="5" t="str">
        <f ca="1">IFERROR(VLOOKUP($AA35,OFFSET([3]characters!$A$1,0,0,COUNTA([3]characters!$A:$A),MATCH(AB$1,[3]characters!$2:$2,0)-MATCH("character_id",[3]characters!$2:$2,0)+1),MATCH(AB$1,[3]characters!$2:$2,0)-MATCH("character_id",[3]characters!$2:$2,0)+1,FALSE),"")</f>
        <v>ジェリー</v>
      </c>
      <c r="AC35" s="5">
        <f ca="1">IFERROR(VLOOKUP($AA35,OFFSET([3]characters!$A$1,0,0,COUNTA([3]characters!$A:$A),MATCH(AC$1,[3]characters!$2:$2,0)-MATCH("character_id",[3]characters!$2:$2,0)+1),MATCH(AC$1,[3]characters!$2:$2,0)-MATCH("character_id",[3]characters!$2:$2,0)+1,FALSE),"")</f>
        <v>1</v>
      </c>
      <c r="AD35" s="5" t="str">
        <f ca="1">IFERROR(VLOOKUP($AA35,OFFSET([3]characters!$A$1,0,0,COUNTA([3]characters!$A:$A),MATCH(AD$1,[3]characters!$2:$2,0)-MATCH("character_id",[3]characters!$2:$2,0)+1),MATCH(AD$1,[3]characters!$2:$2,0)-MATCH("character_id",[3]characters!$2:$2,0)+1,FALSE),"")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35" s="39">
        <v>1</v>
      </c>
      <c r="AF35" s="43">
        <f t="shared" ca="1" si="23"/>
        <v>1</v>
      </c>
      <c r="AG35" s="9">
        <v>0</v>
      </c>
      <c r="AH35" s="39">
        <v>0</v>
      </c>
      <c r="AI35" s="39">
        <v>0</v>
      </c>
      <c r="AJ35" s="39">
        <v>0</v>
      </c>
      <c r="AK35" s="39">
        <v>0</v>
      </c>
      <c r="AL35" s="39">
        <v>1</v>
      </c>
    </row>
    <row r="36" spans="1:38" ht="21" customHeight="1">
      <c r="A36" s="21" t="str">
        <f t="shared" ca="1" si="24"/>
        <v>11209_2-2/3&lt;lv5&gt;s2</v>
      </c>
      <c r="B36" s="33">
        <v>11209</v>
      </c>
      <c r="C36" s="40">
        <v>2</v>
      </c>
      <c r="D36" s="20" t="str">
        <f t="shared" si="21"/>
        <v>11209_2</v>
      </c>
      <c r="E36" s="5" t="str">
        <f ca="1">VLOOKUP($B36,OFFSET([1]quests!$A$1,0,0,COUNTA([1]quests!$A:$A),MATCH(E$1,[1]quests!$1:$1,0)-MATCH($B$1,[1]quests!$1:$1,0)+1),MATCH(E$1,[1]quests!$1:$1,0)-MATCH($B$1,[1]quests!$1:$1,0)+1,FALSE)</f>
        <v>【100万DL記念！】 初心者応援クエスト</v>
      </c>
      <c r="F36" s="5" t="str">
        <f ca="1">VLOOKUP($D36,OFFSET([1]stages!$A$1,0,0,COUNTA([1]stages!$A:$A),MATCH(F$1,[1]stages!$2:$2,0)-MATCH($D$1,[1]stages!$2:$2,0)+1),MATCH(F$1,[1]stages!$2:$2,0)-MATCH($D$1,[1]stages!$2:$2,0)+1,FALSE)</f>
        <v>ゴールドカジノ 【初級】</v>
      </c>
      <c r="G36" s="40">
        <v>2</v>
      </c>
      <c r="H36" s="20" t="str">
        <f t="shared" si="22"/>
        <v>11209_2-2</v>
      </c>
      <c r="I36" s="5">
        <f ca="1">VLOOKUP($H36,OFFSET(floors_beginners!$A$1,0,0,COUNTA(floors_beginners!$A:$A),MATCH(I$1,floors_beginners!$1:$1,0)-MATCH($H$1,floors_beginners!$1:$1,0)+1),MATCH(I$1,floors_beginners!$1:$1,0)-MATCH($H$1,floors_beginners!$1:$1,0)+1,FALSE)</f>
        <v>30</v>
      </c>
      <c r="J36" s="5">
        <f ca="1">VLOOKUP($H36,OFFSET(floors_beginners!$A$1,0,0,COUNTA(floors_beginners!$A:$A),MATCH(J$1,floors_beginners!$1:$1,0)-MATCH($H$1,floors_beginners!$1:$1,0)+1),MATCH(J$1,floors_beginners!$1:$1,0)-MATCH($H$1,floors_beginners!$1:$1,0)+1,FALSE)</f>
        <v>45</v>
      </c>
      <c r="K36" s="41">
        <v>3</v>
      </c>
      <c r="L36" s="26" t="str">
        <f ca="1">VLOOKUP($K36,OFFSET([2]enemies!$A$1,0,0,COUNTA([2]enemies!$A:$A),MATCH(L$1,[2]enemies!$2:$2,0)-MATCH($K$1,[2]enemies!$2:$2,0)+1),MATCH(L$1,[2]enemies!$2:$2,0)-MATCH($K$1,[2]enemies!$2:$2,0)+1,FALSE)</f>
        <v>エージェント ジョー</v>
      </c>
      <c r="M36" s="29" t="str">
        <f ca="1">VLOOKUP($K36,OFFSET([2]enemies!$A$1,0,0,COUNTA([2]enemies!$A:$A),MATCH(M$1,[2]enemies!$2:$2,0)-MATCH($K$1,[2]enemies!$2:$2,0)+1),MATCH(M$1,[2]enemies!$2:$2,0)-MATCH($K$1,[2]enemies!$2:$2,0)+1,FALSE)</f>
        <v>green</v>
      </c>
      <c r="N36" s="29" t="str">
        <f ca="1">VLOOKUP($K36,OFFSET([3]characters!$A$1,0,0,COUNTA([3]characters!$A:$A),MATCH(N$1,[3]characters!$2:$2,0)-MATCH($K$1,[3]characters!$2:$2,0)+1),MATCH(N$1,[3]characters!$2:$2,0)-MATCH($K$1,[3]characters!$2:$2,0)+1,FALSE)</f>
        <v>Drop1T</v>
      </c>
      <c r="O36" s="28" t="str">
        <f ca="1">VLOOKUP($K36,OFFSET([3]characters!$A$1,0,0,COUNTA([3]characters!$A:$A),MATCH(O$1,[3]characters!$2:$2,0)-MATCH($K$1,[3]characters!$2:$2,0)+2),MATCH(O$1,[3]characters!$2:$2,0)-MATCH($K$1,[3]characters!$2:$2,0)+2,FALSE)</f>
        <v>Unknown</v>
      </c>
      <c r="P36" s="5">
        <f ca="1">VLOOKUP($K36,OFFSET([2]enemies!$A$1,0,0,COUNTA([2]enemies!$A:$A),MATCH(P$1,[2]enemies!$2:$2,0)-MATCH($K$1,[2]enemies!$2:$2,0)+1),MATCH(P$1,[2]enemies!$2:$2,0)-MATCH($K$1,[2]enemies!$2:$2,0)+1,FALSE)</f>
        <v>15</v>
      </c>
      <c r="Q36" s="6">
        <v>5</v>
      </c>
      <c r="R36" s="37">
        <v>1</v>
      </c>
      <c r="S36" s="37">
        <v>1</v>
      </c>
      <c r="T36" s="6">
        <v>0</v>
      </c>
      <c r="U36" s="5" t="str">
        <f ca="1">VLOOKUP($V36,OFFSET([4]enemy_skill_sets!$B$1,0,0,COUNTA([4]enemy_skill_sets!$B:$B),MATCH(L$1,[4]enemy_skill_sets!$1:$1,0)-MATCH($V$1,[4]enemy_skill_sets!$1:$1,0)+2),MATCH(L$1,[4]enemy_skill_sets!$1:$1,0)-MATCH($V$1,[4]enemy_skill_sets!$1:$1,0)+2,FALSE)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6" s="5">
        <f ca="1">VLOOKUP($K36,OFFSET([2]enemies!$A$1,0,0,COUNTA([2]enemies!$A:$A),MATCH(V$1,[2]enemies!$2:$2,0)-MATCH($K$1,[2]enemies!$2:$2,0)+1),MATCH(V$1,[2]enemies!$2:$2,0)-MATCH($K$1,[2]enemies!$2:$2,0)+1,FALSE)</f>
        <v>0</v>
      </c>
      <c r="W36" s="7">
        <v>0</v>
      </c>
      <c r="X36" s="7">
        <v>100</v>
      </c>
      <c r="Y36" s="7">
        <v>0</v>
      </c>
      <c r="Z36" s="26">
        <f ca="1">VLOOKUP($K36,OFFSET([2]enemies!$A$1,0,0,COUNTA([2]enemies!$A:$A),MATCH(Z$1,[2]enemies!$2:$2,0)-MATCH($K$1,[2]enemies!$2:$2,0)+1),MATCH(Z$1,[2]enemies!$2:$2,0)-MATCH($K$1,[2]enemies!$2:$2,0)+1,FALSE)</f>
        <v>2</v>
      </c>
      <c r="AA36" s="20">
        <f t="shared" si="4"/>
        <v>3</v>
      </c>
      <c r="AB36" s="5" t="str">
        <f ca="1">IFERROR(VLOOKUP($AA36,OFFSET([3]characters!$A$1,0,0,COUNTA([3]characters!$A:$A),MATCH(AB$1,[3]characters!$2:$2,0)-MATCH("character_id",[3]characters!$2:$2,0)+1),MATCH(AB$1,[3]characters!$2:$2,0)-MATCH("character_id",[3]characters!$2:$2,0)+1,FALSE),"")</f>
        <v>エージェント ジョー</v>
      </c>
      <c r="AC36" s="5">
        <f ca="1">IFERROR(VLOOKUP($AA36,OFFSET([3]characters!$A$1,0,0,COUNTA([3]characters!$A:$A),MATCH(AC$1,[3]characters!$2:$2,0)-MATCH("character_id",[3]characters!$2:$2,0)+1),MATCH(AC$1,[3]characters!$2:$2,0)-MATCH("character_id",[3]characters!$2:$2,0)+1,FALSE),"")</f>
        <v>1</v>
      </c>
      <c r="AD36" s="5" t="str">
        <f ca="1">IFERROR(VLOOKUP($AA36,OFFSET([3]characters!$A$1,0,0,COUNTA([3]characters!$A:$A),MATCH(AD$1,[3]characters!$2:$2,0)-MATCH("character_id",[3]characters!$2:$2,0)+1),MATCH(AD$1,[3]characters!$2:$2,0)-MATCH("character_id",[3]characters!$2:$2,0)+1,FALSE),"")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36" s="39">
        <v>1</v>
      </c>
      <c r="AF36" s="43">
        <f t="shared" ca="1" si="23"/>
        <v>1</v>
      </c>
      <c r="AG36" s="9">
        <v>0</v>
      </c>
      <c r="AH36" s="39">
        <v>0</v>
      </c>
      <c r="AI36" s="39">
        <v>0</v>
      </c>
      <c r="AJ36" s="39">
        <v>0</v>
      </c>
      <c r="AK36" s="39">
        <v>0</v>
      </c>
      <c r="AL36" s="39">
        <v>1</v>
      </c>
    </row>
    <row r="37" spans="1:38" ht="21" customHeight="1">
      <c r="A37" s="21" t="str">
        <f t="shared" ca="1" si="24"/>
        <v>11209_2-2/5&lt;lv5&gt;s3</v>
      </c>
      <c r="B37" s="33">
        <v>11209</v>
      </c>
      <c r="C37" s="40">
        <v>2</v>
      </c>
      <c r="D37" s="20" t="str">
        <f t="shared" si="21"/>
        <v>11209_2</v>
      </c>
      <c r="E37" s="5" t="str">
        <f ca="1">VLOOKUP($B37,OFFSET([1]quests!$A$1,0,0,COUNTA([1]quests!$A:$A),MATCH(E$1,[1]quests!$1:$1,0)-MATCH($B$1,[1]quests!$1:$1,0)+1),MATCH(E$1,[1]quests!$1:$1,0)-MATCH($B$1,[1]quests!$1:$1,0)+1,FALSE)</f>
        <v>【100万DL記念！】 初心者応援クエスト</v>
      </c>
      <c r="F37" s="5" t="str">
        <f ca="1">VLOOKUP($D37,OFFSET([1]stages!$A$1,0,0,COUNTA([1]stages!$A:$A),MATCH(F$1,[1]stages!$2:$2,0)-MATCH($D$1,[1]stages!$2:$2,0)+1),MATCH(F$1,[1]stages!$2:$2,0)-MATCH($D$1,[1]stages!$2:$2,0)+1,FALSE)</f>
        <v>ゴールドカジノ 【初級】</v>
      </c>
      <c r="G37" s="40">
        <v>2</v>
      </c>
      <c r="H37" s="20" t="str">
        <f t="shared" si="22"/>
        <v>11209_2-2</v>
      </c>
      <c r="I37" s="5">
        <f ca="1">VLOOKUP($H37,OFFSET(floors_beginners!$A$1,0,0,COUNTA(floors_beginners!$A:$A),MATCH(I$1,floors_beginners!$1:$1,0)-MATCH($H$1,floors_beginners!$1:$1,0)+1),MATCH(I$1,floors_beginners!$1:$1,0)-MATCH($H$1,floors_beginners!$1:$1,0)+1,FALSE)</f>
        <v>30</v>
      </c>
      <c r="J37" s="5">
        <f ca="1">VLOOKUP($H37,OFFSET(floors_beginners!$A$1,0,0,COUNTA(floors_beginners!$A:$A),MATCH(J$1,floors_beginners!$1:$1,0)-MATCH($H$1,floors_beginners!$1:$1,0)+1),MATCH(J$1,floors_beginners!$1:$1,0)-MATCH($H$1,floors_beginners!$1:$1,0)+1,FALSE)</f>
        <v>45</v>
      </c>
      <c r="K37" s="41">
        <v>5</v>
      </c>
      <c r="L37" s="26" t="str">
        <f ca="1">VLOOKUP($K37,OFFSET([2]enemies!$A$1,0,0,COUNTA([2]enemies!$A:$A),MATCH(L$1,[2]enemies!$2:$2,0)-MATCH($K$1,[2]enemies!$2:$2,0)+1),MATCH(L$1,[2]enemies!$2:$2,0)-MATCH($K$1,[2]enemies!$2:$2,0)+1,FALSE)</f>
        <v>パトドッグ ポチ</v>
      </c>
      <c r="M37" s="29" t="str">
        <f ca="1">VLOOKUP($K37,OFFSET([2]enemies!$A$1,0,0,COUNTA([2]enemies!$A:$A),MATCH(M$1,[2]enemies!$2:$2,0)-MATCH($K$1,[2]enemies!$2:$2,0)+1),MATCH(M$1,[2]enemies!$2:$2,0)-MATCH($K$1,[2]enemies!$2:$2,0)+1,FALSE)</f>
        <v>blue</v>
      </c>
      <c r="N37" s="29" t="str">
        <f ca="1">VLOOKUP($K37,OFFSET([3]characters!$A$1,0,0,COUNTA([3]characters!$A:$A),MATCH(N$1,[3]characters!$2:$2,0)-MATCH($K$1,[3]characters!$2:$2,0)+1),MATCH(N$1,[3]characters!$2:$2,0)-MATCH($K$1,[3]characters!$2:$2,0)+1,FALSE)</f>
        <v>Drop1T</v>
      </c>
      <c r="O37" s="28" t="str">
        <f ca="1">VLOOKUP($K37,OFFSET([3]characters!$A$1,0,0,COUNTA([3]characters!$A:$A),MATCH(O$1,[3]characters!$2:$2,0)-MATCH($K$1,[3]characters!$2:$2,0)+2),MATCH(O$1,[3]characters!$2:$2,0)-MATCH($K$1,[3]characters!$2:$2,0)+2,FALSE)</f>
        <v>Unknown</v>
      </c>
      <c r="P37" s="5">
        <f ca="1">VLOOKUP($K37,OFFSET([2]enemies!$A$1,0,0,COUNTA([2]enemies!$A:$A),MATCH(P$1,[2]enemies!$2:$2,0)-MATCH($K$1,[2]enemies!$2:$2,0)+1),MATCH(P$1,[2]enemies!$2:$2,0)-MATCH($K$1,[2]enemies!$2:$2,0)+1,FALSE)</f>
        <v>15</v>
      </c>
      <c r="Q37" s="6">
        <v>5</v>
      </c>
      <c r="R37" s="37">
        <v>1</v>
      </c>
      <c r="S37" s="37">
        <v>1</v>
      </c>
      <c r="T37" s="6">
        <v>0</v>
      </c>
      <c r="U37" s="5" t="str">
        <f ca="1">VLOOKUP($V37,OFFSET([4]enemy_skill_sets!$B$1,0,0,COUNTA([4]enemy_skill_sets!$B:$B),MATCH(L$1,[4]enemy_skill_sets!$1:$1,0)-MATCH($V$1,[4]enemy_skill_sets!$1:$1,0)+2),MATCH(L$1,[4]enemy_skill_sets!$1:$1,0)-MATCH($V$1,[4]enemy_skill_sets!$1:$1,0)+2,FALSE)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7" s="5">
        <f ca="1">VLOOKUP($K37,OFFSET([2]enemies!$A$1,0,0,COUNTA([2]enemies!$A:$A),MATCH(V$1,[2]enemies!$2:$2,0)-MATCH($K$1,[2]enemies!$2:$2,0)+1),MATCH(V$1,[2]enemies!$2:$2,0)-MATCH($K$1,[2]enemies!$2:$2,0)+1,FALSE)</f>
        <v>0</v>
      </c>
      <c r="W37" s="7">
        <v>0</v>
      </c>
      <c r="X37" s="7">
        <v>100</v>
      </c>
      <c r="Y37" s="7">
        <v>0</v>
      </c>
      <c r="Z37" s="26">
        <f ca="1">VLOOKUP($K37,OFFSET([2]enemies!$A$1,0,0,COUNTA([2]enemies!$A:$A),MATCH(Z$1,[2]enemies!$2:$2,0)-MATCH($K$1,[2]enemies!$2:$2,0)+1),MATCH(Z$1,[2]enemies!$2:$2,0)-MATCH($K$1,[2]enemies!$2:$2,0)+1,FALSE)</f>
        <v>3</v>
      </c>
      <c r="AA37" s="20">
        <f t="shared" si="4"/>
        <v>5</v>
      </c>
      <c r="AB37" s="5" t="str">
        <f ca="1">IFERROR(VLOOKUP($AA37,OFFSET([3]characters!$A$1,0,0,COUNTA([3]characters!$A:$A),MATCH(AB$1,[3]characters!$2:$2,0)-MATCH("character_id",[3]characters!$2:$2,0)+1),MATCH(AB$1,[3]characters!$2:$2,0)-MATCH("character_id",[3]characters!$2:$2,0)+1,FALSE),"")</f>
        <v>パトドッグ ポチ</v>
      </c>
      <c r="AC37" s="5">
        <f ca="1">IFERROR(VLOOKUP($AA37,OFFSET([3]characters!$A$1,0,0,COUNTA([3]characters!$A:$A),MATCH(AC$1,[3]characters!$2:$2,0)-MATCH("character_id",[3]characters!$2:$2,0)+1),MATCH(AC$1,[3]characters!$2:$2,0)-MATCH("character_id",[3]characters!$2:$2,0)+1,FALSE),"")</f>
        <v>1</v>
      </c>
      <c r="AD37" s="5" t="str">
        <f ca="1">IFERROR(VLOOKUP($AA37,OFFSET([3]characters!$A$1,0,0,COUNTA([3]characters!$A:$A),MATCH(AD$1,[3]characters!$2:$2,0)-MATCH("character_id",[3]characters!$2:$2,0)+1),MATCH(AD$1,[3]characters!$2:$2,0)-MATCH("character_id",[3]characters!$2:$2,0)+1,FALSE),"")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37" s="39">
        <v>1</v>
      </c>
      <c r="AF37" s="43">
        <f t="shared" ca="1" si="23"/>
        <v>1</v>
      </c>
      <c r="AG37" s="9">
        <v>0</v>
      </c>
      <c r="AH37" s="39">
        <v>0</v>
      </c>
      <c r="AI37" s="39">
        <v>0</v>
      </c>
      <c r="AJ37" s="39">
        <v>0</v>
      </c>
      <c r="AK37" s="39">
        <v>0</v>
      </c>
      <c r="AL37" s="39">
        <v>1</v>
      </c>
    </row>
    <row r="38" spans="1:38" ht="21" customHeight="1">
      <c r="A38" s="21" t="str">
        <f t="shared" ca="1" si="24"/>
        <v>11209_2-2/7&lt;lv5&gt;s2</v>
      </c>
      <c r="B38" s="33">
        <v>11209</v>
      </c>
      <c r="C38" s="40">
        <v>2</v>
      </c>
      <c r="D38" s="20" t="str">
        <f t="shared" si="21"/>
        <v>11209_2</v>
      </c>
      <c r="E38" s="5" t="str">
        <f ca="1">VLOOKUP($B38,OFFSET([1]quests!$A$1,0,0,COUNTA([1]quests!$A:$A),MATCH(E$1,[1]quests!$1:$1,0)-MATCH($B$1,[1]quests!$1:$1,0)+1),MATCH(E$1,[1]quests!$1:$1,0)-MATCH($B$1,[1]quests!$1:$1,0)+1,FALSE)</f>
        <v>【100万DL記念！】 初心者応援クエスト</v>
      </c>
      <c r="F38" s="5" t="str">
        <f ca="1">VLOOKUP($D38,OFFSET([1]stages!$A$1,0,0,COUNTA([1]stages!$A:$A),MATCH(F$1,[1]stages!$2:$2,0)-MATCH($D$1,[1]stages!$2:$2,0)+1),MATCH(F$1,[1]stages!$2:$2,0)-MATCH($D$1,[1]stages!$2:$2,0)+1,FALSE)</f>
        <v>ゴールドカジノ 【初級】</v>
      </c>
      <c r="G38" s="40">
        <v>2</v>
      </c>
      <c r="H38" s="20" t="str">
        <f t="shared" si="22"/>
        <v>11209_2-2</v>
      </c>
      <c r="I38" s="5">
        <f ca="1">VLOOKUP($H38,OFFSET(floors_beginners!$A$1,0,0,COUNTA(floors_beginners!$A:$A),MATCH(I$1,floors_beginners!$1:$1,0)-MATCH($H$1,floors_beginners!$1:$1,0)+1),MATCH(I$1,floors_beginners!$1:$1,0)-MATCH($H$1,floors_beginners!$1:$1,0)+1,FALSE)</f>
        <v>30</v>
      </c>
      <c r="J38" s="5">
        <f ca="1">VLOOKUP($H38,OFFSET(floors_beginners!$A$1,0,0,COUNTA(floors_beginners!$A:$A),MATCH(J$1,floors_beginners!$1:$1,0)-MATCH($H$1,floors_beginners!$1:$1,0)+1),MATCH(J$1,floors_beginners!$1:$1,0)-MATCH($H$1,floors_beginners!$1:$1,0)+1,FALSE)</f>
        <v>45</v>
      </c>
      <c r="K38" s="41">
        <v>7</v>
      </c>
      <c r="L38" s="26" t="str">
        <f ca="1">VLOOKUP($K38,OFFSET([2]enemies!$A$1,0,0,COUNTA([2]enemies!$A:$A),MATCH(L$1,[2]enemies!$2:$2,0)-MATCH($K$1,[2]enemies!$2:$2,0)+1),MATCH(L$1,[2]enemies!$2:$2,0)-MATCH($K$1,[2]enemies!$2:$2,0)+1,FALSE)</f>
        <v>エレキポット</v>
      </c>
      <c r="M38" s="29" t="str">
        <f ca="1">VLOOKUP($K38,OFFSET([2]enemies!$A$1,0,0,COUNTA([2]enemies!$A:$A),MATCH(M$1,[2]enemies!$2:$2,0)-MATCH($K$1,[2]enemies!$2:$2,0)+1),MATCH(M$1,[2]enemies!$2:$2,0)-MATCH($K$1,[2]enemies!$2:$2,0)+1,FALSE)</f>
        <v>yellow</v>
      </c>
      <c r="N38" s="29" t="str">
        <f ca="1">VLOOKUP($K38,OFFSET([3]characters!$A$1,0,0,COUNTA([3]characters!$A:$A),MATCH(N$1,[3]characters!$2:$2,0)-MATCH($K$1,[3]characters!$2:$2,0)+1),MATCH(N$1,[3]characters!$2:$2,0)-MATCH($K$1,[3]characters!$2:$2,0)+1,FALSE)</f>
        <v>Drop1T</v>
      </c>
      <c r="O38" s="28" t="str">
        <f ca="1">VLOOKUP($K38,OFFSET([3]characters!$A$1,0,0,COUNTA([3]characters!$A:$A),MATCH(O$1,[3]characters!$2:$2,0)-MATCH($K$1,[3]characters!$2:$2,0)+2),MATCH(O$1,[3]characters!$2:$2,0)-MATCH($K$1,[3]characters!$2:$2,0)+2,FALSE)</f>
        <v>Unknown</v>
      </c>
      <c r="P38" s="5">
        <f ca="1">VLOOKUP($K38,OFFSET([2]enemies!$A$1,0,0,COUNTA([2]enemies!$A:$A),MATCH(P$1,[2]enemies!$2:$2,0)-MATCH($K$1,[2]enemies!$2:$2,0)+1),MATCH(P$1,[2]enemies!$2:$2,0)-MATCH($K$1,[2]enemies!$2:$2,0)+1,FALSE)</f>
        <v>15</v>
      </c>
      <c r="Q38" s="6">
        <v>5</v>
      </c>
      <c r="R38" s="37">
        <v>1</v>
      </c>
      <c r="S38" s="37">
        <v>1</v>
      </c>
      <c r="T38" s="6">
        <v>0</v>
      </c>
      <c r="U38" s="5" t="str">
        <f ca="1">VLOOKUP($V38,OFFSET([4]enemy_skill_sets!$B$1,0,0,COUNTA([4]enemy_skill_sets!$B:$B),MATCH(L$1,[4]enemy_skill_sets!$1:$1,0)-MATCH($V$1,[4]enemy_skill_sets!$1:$1,0)+2),MATCH(L$1,[4]enemy_skill_sets!$1:$1,0)-MATCH($V$1,[4]enemy_skill_sets!$1:$1,0)+2,FALSE)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8" s="5">
        <f ca="1">VLOOKUP($K38,OFFSET([2]enemies!$A$1,0,0,COUNTA([2]enemies!$A:$A),MATCH(V$1,[2]enemies!$2:$2,0)-MATCH($K$1,[2]enemies!$2:$2,0)+1),MATCH(V$1,[2]enemies!$2:$2,0)-MATCH($K$1,[2]enemies!$2:$2,0)+1,FALSE)</f>
        <v>0</v>
      </c>
      <c r="W38" s="7">
        <v>0</v>
      </c>
      <c r="X38" s="7">
        <v>100</v>
      </c>
      <c r="Y38" s="7">
        <v>0</v>
      </c>
      <c r="Z38" s="26">
        <f ca="1">VLOOKUP($K38,OFFSET([2]enemies!$A$1,0,0,COUNTA([2]enemies!$A:$A),MATCH(Z$1,[2]enemies!$2:$2,0)-MATCH($K$1,[2]enemies!$2:$2,0)+1),MATCH(Z$1,[2]enemies!$2:$2,0)-MATCH($K$1,[2]enemies!$2:$2,0)+1,FALSE)</f>
        <v>2</v>
      </c>
      <c r="AA38" s="20">
        <f t="shared" si="4"/>
        <v>7</v>
      </c>
      <c r="AB38" s="5" t="str">
        <f ca="1">IFERROR(VLOOKUP($AA38,OFFSET([3]characters!$A$1,0,0,COUNTA([3]characters!$A:$A),MATCH(AB$1,[3]characters!$2:$2,0)-MATCH("character_id",[3]characters!$2:$2,0)+1),MATCH(AB$1,[3]characters!$2:$2,0)-MATCH("character_id",[3]characters!$2:$2,0)+1,FALSE),"")</f>
        <v>エレキポット</v>
      </c>
      <c r="AC38" s="5">
        <f ca="1">IFERROR(VLOOKUP($AA38,OFFSET([3]characters!$A$1,0,0,COUNTA([3]characters!$A:$A),MATCH(AC$1,[3]characters!$2:$2,0)-MATCH("character_id",[3]characters!$2:$2,0)+1),MATCH(AC$1,[3]characters!$2:$2,0)-MATCH("character_id",[3]characters!$2:$2,0)+1,FALSE),"")</f>
        <v>1</v>
      </c>
      <c r="AD38" s="5" t="str">
        <f ca="1">IFERROR(VLOOKUP($AA38,OFFSET([3]characters!$A$1,0,0,COUNTA([3]characters!$A:$A),MATCH(AD$1,[3]characters!$2:$2,0)-MATCH("character_id",[3]characters!$2:$2,0)+1),MATCH(AD$1,[3]characters!$2:$2,0)-MATCH("character_id",[3]characters!$2:$2,0)+1,FALSE),"")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38" s="39">
        <v>1</v>
      </c>
      <c r="AF38" s="43">
        <f t="shared" ca="1" si="23"/>
        <v>1</v>
      </c>
      <c r="AG38" s="9">
        <v>0</v>
      </c>
      <c r="AH38" s="39">
        <v>0</v>
      </c>
      <c r="AI38" s="39">
        <v>0</v>
      </c>
      <c r="AJ38" s="39">
        <v>0</v>
      </c>
      <c r="AK38" s="39">
        <v>0</v>
      </c>
      <c r="AL38" s="39">
        <v>1</v>
      </c>
    </row>
    <row r="39" spans="1:38" ht="21" customHeight="1">
      <c r="A39" s="21" t="str">
        <f ca="1">B39&amp;"_"&amp;C39&amp;"-"&amp;G39&amp;"/"&amp;K39&amp;"&lt;lv"&amp;Q39&amp;"&gt;s"&amp;Z39</f>
        <v>11209_2-3/118&lt;lv2&gt;s2</v>
      </c>
      <c r="B39" s="33">
        <v>11209</v>
      </c>
      <c r="C39" s="40">
        <v>2</v>
      </c>
      <c r="D39" s="20" t="str">
        <f>B39&amp;"_"&amp;C39</f>
        <v>11209_2</v>
      </c>
      <c r="E39" s="5" t="str">
        <f ca="1">VLOOKUP($B39,OFFSET([1]quests!$A$1,0,0,COUNTA([1]quests!$A:$A),MATCH(E$1,[1]quests!$1:$1,0)-MATCH($B$1,[1]quests!$1:$1,0)+1),MATCH(E$1,[1]quests!$1:$1,0)-MATCH($B$1,[1]quests!$1:$1,0)+1,FALSE)</f>
        <v>【100万DL記念！】 初心者応援クエスト</v>
      </c>
      <c r="F39" s="5" t="str">
        <f ca="1">VLOOKUP($D39,OFFSET([1]stages!$A$1,0,0,COUNTA([1]stages!$A:$A),MATCH(F$1,[1]stages!$2:$2,0)-MATCH($D$1,[1]stages!$2:$2,0)+1),MATCH(F$1,[1]stages!$2:$2,0)-MATCH($D$1,[1]stages!$2:$2,0)+1,FALSE)</f>
        <v>ゴールドカジノ 【初級】</v>
      </c>
      <c r="G39" s="40">
        <v>3</v>
      </c>
      <c r="H39" s="20" t="str">
        <f>B39&amp;"_"&amp;C39&amp;"-"&amp;G39</f>
        <v>11209_2-3</v>
      </c>
      <c r="I39" s="5">
        <f ca="1">VLOOKUP($H39,OFFSET(floors_beginners!$A$1,0,0,COUNTA(floors_beginners!$A:$A),MATCH(I$1,floors_beginners!$1:$1,0)-MATCH($H$1,floors_beginners!$1:$1,0)+1),MATCH(I$1,floors_beginners!$1:$1,0)-MATCH($H$1,floors_beginners!$1:$1,0)+1,FALSE)</f>
        <v>30</v>
      </c>
      <c r="J39" s="5">
        <f ca="1">VLOOKUP($H39,OFFSET(floors_beginners!$A$1,0,0,COUNTA(floors_beginners!$A:$A),MATCH(J$1,floors_beginners!$1:$1,0)-MATCH($H$1,floors_beginners!$1:$1,0)+1),MATCH(J$1,floors_beginners!$1:$1,0)-MATCH($H$1,floors_beginners!$1:$1,0)+1,FALSE)</f>
        <v>55</v>
      </c>
      <c r="K39" s="41">
        <v>118</v>
      </c>
      <c r="L39" s="26" t="str">
        <f ca="1">VLOOKUP($K39,OFFSET([2]enemies!$A$1,0,0,COUNTA([2]enemies!$A:$A),MATCH(L$1,[2]enemies!$2:$2,0)-MATCH($K$1,[2]enemies!$2:$2,0)+1),MATCH(L$1,[2]enemies!$2:$2,0)-MATCH($K$1,[2]enemies!$2:$2,0)+1,FALSE)</f>
        <v>ゴールドチック</v>
      </c>
      <c r="M39" s="29" t="str">
        <f ca="1">VLOOKUP($K39,OFFSET([2]enemies!$A$1,0,0,COUNTA([2]enemies!$A:$A),MATCH(M$1,[2]enemies!$2:$2,0)-MATCH($K$1,[2]enemies!$2:$2,0)+1),MATCH(M$1,[2]enemies!$2:$2,0)-MATCH($K$1,[2]enemies!$2:$2,0)+1,FALSE)</f>
        <v>yellow</v>
      </c>
      <c r="N39" s="29" t="str">
        <f ca="1">VLOOKUP($K39,OFFSET([3]characters!$A$1,0,0,COUNTA([3]characters!$A:$A),MATCH(N$1,[3]characters!$2:$2,0)-MATCH($K$1,[3]characters!$2:$2,0)+1),MATCH(N$1,[3]characters!$2:$2,0)-MATCH($K$1,[3]characters!$2:$2,0)+1,FALSE)</f>
        <v>Material</v>
      </c>
      <c r="O39" s="28" t="str">
        <f ca="1">VLOOKUP($K39,OFFSET([3]characters!$A$1,0,0,COUNTA([3]characters!$A:$A),MATCH(O$1,[3]characters!$2:$2,0)-MATCH($K$1,[3]characters!$2:$2,0)+2),MATCH(O$1,[3]characters!$2:$2,0)-MATCH($K$1,[3]characters!$2:$2,0)+2,FALSE)</f>
        <v>Unknown</v>
      </c>
      <c r="P39" s="5">
        <f ca="1">VLOOKUP($K39,OFFSET([2]enemies!$A$1,0,0,COUNTA([2]enemies!$A:$A),MATCH(P$1,[2]enemies!$2:$2,0)-MATCH($K$1,[2]enemies!$2:$2,0)+1),MATCH(P$1,[2]enemies!$2:$2,0)-MATCH($K$1,[2]enemies!$2:$2,0)+1,FALSE)</f>
        <v>15</v>
      </c>
      <c r="Q39" s="6">
        <v>2</v>
      </c>
      <c r="R39" s="42">
        <v>7.5</v>
      </c>
      <c r="S39" s="37">
        <v>10</v>
      </c>
      <c r="T39" s="6">
        <v>0</v>
      </c>
      <c r="U39" s="5" t="str">
        <f ca="1">VLOOKUP($V39,OFFSET([4]enemy_skill_sets!$B$1,0,0,COUNTA([4]enemy_skill_sets!$B:$B),MATCH(L$1,[4]enemy_skill_sets!$1:$1,0)-MATCH($V$1,[4]enemy_skill_sets!$1:$1,0)+2),MATCH(L$1,[4]enemy_skill_sets!$1:$1,0)-MATCH($V$1,[4]enemy_skill_sets!$1:$1,0)+2,FALSE)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9" s="5">
        <f ca="1">VLOOKUP($K39,OFFSET([2]enemies!$A$1,0,0,COUNTA([2]enemies!$A:$A),MATCH(V$1,[2]enemies!$2:$2,0)-MATCH($K$1,[2]enemies!$2:$2,0)+1),MATCH(V$1,[2]enemies!$2:$2,0)-MATCH($K$1,[2]enemies!$2:$2,0)+1,FALSE)</f>
        <v>0</v>
      </c>
      <c r="W39" s="7">
        <v>0</v>
      </c>
      <c r="X39" s="7">
        <v>50</v>
      </c>
      <c r="Y39" s="7">
        <v>1</v>
      </c>
      <c r="Z39" s="26">
        <f ca="1">VLOOKUP($K39,OFFSET([2]enemies!$A$1,0,0,COUNTA([2]enemies!$A:$A),MATCH(Z$1,[2]enemies!$2:$2,0)-MATCH($K$1,[2]enemies!$2:$2,0)+1),MATCH(Z$1,[2]enemies!$2:$2,0)-MATCH($K$1,[2]enemies!$2:$2,0)+1,FALSE)</f>
        <v>2</v>
      </c>
      <c r="AA39" s="20">
        <f>K39</f>
        <v>118</v>
      </c>
      <c r="AB39" s="5" t="str">
        <f ca="1">IFERROR(VLOOKUP($AA39,OFFSET([3]characters!$A$1,0,0,COUNTA([3]characters!$A:$A),MATCH(AB$1,[3]characters!$2:$2,0)-MATCH("character_id",[3]characters!$2:$2,0)+1),MATCH(AB$1,[3]characters!$2:$2,0)-MATCH("character_id",[3]characters!$2:$2,0)+1,FALSE),"")</f>
        <v>ゴールドチック</v>
      </c>
      <c r="AC39" s="5">
        <f ca="1">IFERROR(VLOOKUP($AA39,OFFSET([3]characters!$A$1,0,0,COUNTA([3]characters!$A:$A),MATCH(AC$1,[3]characters!$2:$2,0)-MATCH("character_id",[3]characters!$2:$2,0)+1),MATCH(AC$1,[3]characters!$2:$2,0)-MATCH("character_id",[3]characters!$2:$2,0)+1,FALSE),"")</f>
        <v>4</v>
      </c>
      <c r="AD39" s="5" t="str">
        <f ca="1">IFERROR(VLOOKUP($AA39,OFFSET([3]characters!$A$1,0,0,COUNTA([3]characters!$A:$A),MATCH(AD$1,[3]characters!$2:$2,0)-MATCH("character_id",[3]characters!$2:$2,0)+1),MATCH(AD$1,[3]characters!$2:$2,0)-MATCH("character_id",[3]characters!$2:$2,0)+1,FALSE),"")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39" s="39">
        <v>1</v>
      </c>
      <c r="AF39" s="43">
        <f ca="1">AC39</f>
        <v>4</v>
      </c>
      <c r="AG39" s="9">
        <v>100</v>
      </c>
      <c r="AH39" s="39">
        <v>0</v>
      </c>
      <c r="AI39" s="39">
        <v>0</v>
      </c>
      <c r="AJ39" s="39">
        <v>0</v>
      </c>
      <c r="AK39" s="39">
        <v>0</v>
      </c>
      <c r="AL39" s="39">
        <v>1</v>
      </c>
    </row>
    <row r="40" spans="1:38" ht="21" customHeight="1">
      <c r="A40" s="21" t="str">
        <f t="shared" ca="1" si="24"/>
        <v>11209_2-3/117&lt;lv2&gt;s1</v>
      </c>
      <c r="B40" s="33">
        <v>11209</v>
      </c>
      <c r="C40" s="40">
        <v>2</v>
      </c>
      <c r="D40" s="20" t="str">
        <f t="shared" si="21"/>
        <v>11209_2</v>
      </c>
      <c r="E40" s="5" t="str">
        <f ca="1">VLOOKUP($B40,OFFSET([1]quests!$A$1,0,0,COUNTA([1]quests!$A:$A),MATCH(E$1,[1]quests!$1:$1,0)-MATCH($B$1,[1]quests!$1:$1,0)+1),MATCH(E$1,[1]quests!$1:$1,0)-MATCH($B$1,[1]quests!$1:$1,0)+1,FALSE)</f>
        <v>【100万DL記念！】 初心者応援クエスト</v>
      </c>
      <c r="F40" s="5" t="str">
        <f ca="1">VLOOKUP($D40,OFFSET([1]stages!$A$1,0,0,COUNTA([1]stages!$A:$A),MATCH(F$1,[1]stages!$2:$2,0)-MATCH($D$1,[1]stages!$2:$2,0)+1),MATCH(F$1,[1]stages!$2:$2,0)-MATCH($D$1,[1]stages!$2:$2,0)+1,FALSE)</f>
        <v>ゴールドカジノ 【初級】</v>
      </c>
      <c r="G40" s="40">
        <v>3</v>
      </c>
      <c r="H40" s="20" t="str">
        <f t="shared" si="22"/>
        <v>11209_2-3</v>
      </c>
      <c r="I40" s="5">
        <f ca="1">VLOOKUP($H40,OFFSET(floors_beginners!$A$1,0,0,COUNTA(floors_beginners!$A:$A),MATCH(I$1,floors_beginners!$1:$1,0)-MATCH($H$1,floors_beginners!$1:$1,0)+1),MATCH(I$1,floors_beginners!$1:$1,0)-MATCH($H$1,floors_beginners!$1:$1,0)+1,FALSE)</f>
        <v>30</v>
      </c>
      <c r="J40" s="5">
        <f ca="1">VLOOKUP($H40,OFFSET(floors_beginners!$A$1,0,0,COUNTA(floors_beginners!$A:$A),MATCH(J$1,floors_beginners!$1:$1,0)-MATCH($H$1,floors_beginners!$1:$1,0)+1),MATCH(J$1,floors_beginners!$1:$1,0)-MATCH($H$1,floors_beginners!$1:$1,0)+1,FALSE)</f>
        <v>55</v>
      </c>
      <c r="K40" s="41">
        <v>117</v>
      </c>
      <c r="L40" s="26" t="str">
        <f ca="1">VLOOKUP($K40,OFFSET([2]enemies!$A$1,0,0,COUNTA([2]enemies!$A:$A),MATCH(L$1,[2]enemies!$2:$2,0)-MATCH($K$1,[2]enemies!$2:$2,0)+1),MATCH(L$1,[2]enemies!$2:$2,0)-MATCH($K$1,[2]enemies!$2:$2,0)+1,FALSE)</f>
        <v>ゴールドピヨピヨ</v>
      </c>
      <c r="M40" s="29" t="str">
        <f ca="1">VLOOKUP($K40,OFFSET([2]enemies!$A$1,0,0,COUNTA([2]enemies!$A:$A),MATCH(M$1,[2]enemies!$2:$2,0)-MATCH($K$1,[2]enemies!$2:$2,0)+1),MATCH(M$1,[2]enemies!$2:$2,0)-MATCH($K$1,[2]enemies!$2:$2,0)+1,FALSE)</f>
        <v>yellow</v>
      </c>
      <c r="N40" s="29" t="str">
        <f ca="1">VLOOKUP($K40,OFFSET([3]characters!$A$1,0,0,COUNTA([3]characters!$A:$A),MATCH(N$1,[3]characters!$2:$2,0)-MATCH($K$1,[3]characters!$2:$2,0)+1),MATCH(N$1,[3]characters!$2:$2,0)-MATCH($K$1,[3]characters!$2:$2,0)+1,FALSE)</f>
        <v>Material</v>
      </c>
      <c r="O40" s="28" t="str">
        <f ca="1">VLOOKUP($K40,OFFSET([3]characters!$A$1,0,0,COUNTA([3]characters!$A:$A),MATCH(O$1,[3]characters!$2:$2,0)-MATCH($K$1,[3]characters!$2:$2,0)+2),MATCH(O$1,[3]characters!$2:$2,0)-MATCH($K$1,[3]characters!$2:$2,0)+2,FALSE)</f>
        <v>Unknown</v>
      </c>
      <c r="P40" s="5">
        <f ca="1">VLOOKUP($K40,OFFSET([2]enemies!$A$1,0,0,COUNTA([2]enemies!$A:$A),MATCH(P$1,[2]enemies!$2:$2,0)-MATCH($K$1,[2]enemies!$2:$2,0)+1),MATCH(P$1,[2]enemies!$2:$2,0)-MATCH($K$1,[2]enemies!$2:$2,0)+1,FALSE)</f>
        <v>15</v>
      </c>
      <c r="Q40" s="6">
        <v>2</v>
      </c>
      <c r="R40" s="42">
        <v>7.5</v>
      </c>
      <c r="S40" s="37">
        <v>11</v>
      </c>
      <c r="T40" s="6">
        <v>0</v>
      </c>
      <c r="U40" s="5" t="str">
        <f ca="1">VLOOKUP($V40,OFFSET([4]enemy_skill_sets!$B$1,0,0,COUNTA([4]enemy_skill_sets!$B:$B),MATCH(L$1,[4]enemy_skill_sets!$1:$1,0)-MATCH($V$1,[4]enemy_skill_sets!$1:$1,0)+2),MATCH(L$1,[4]enemy_skill_sets!$1:$1,0)-MATCH($V$1,[4]enemy_skill_sets!$1:$1,0)+2,FALSE)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0" s="5">
        <f ca="1">VLOOKUP($K40,OFFSET([2]enemies!$A$1,0,0,COUNTA([2]enemies!$A:$A),MATCH(V$1,[2]enemies!$2:$2,0)-MATCH($K$1,[2]enemies!$2:$2,0)+1),MATCH(V$1,[2]enemies!$2:$2,0)-MATCH($K$1,[2]enemies!$2:$2,0)+1,FALSE)</f>
        <v>0</v>
      </c>
      <c r="W40" s="7">
        <v>1</v>
      </c>
      <c r="X40" s="7">
        <v>20</v>
      </c>
      <c r="Y40" s="7">
        <v>0</v>
      </c>
      <c r="Z40" s="26">
        <f ca="1">VLOOKUP($K40,OFFSET([2]enemies!$A$1,0,0,COUNTA([2]enemies!$A:$A),MATCH(Z$1,[2]enemies!$2:$2,0)-MATCH($K$1,[2]enemies!$2:$2,0)+1),MATCH(Z$1,[2]enemies!$2:$2,0)-MATCH($K$1,[2]enemies!$2:$2,0)+1,FALSE)</f>
        <v>1</v>
      </c>
      <c r="AA40" s="20">
        <f t="shared" si="4"/>
        <v>117</v>
      </c>
      <c r="AB40" s="5" t="str">
        <f ca="1">IFERROR(VLOOKUP($AA40,OFFSET([3]characters!$A$1,0,0,COUNTA([3]characters!$A:$A),MATCH(AB$1,[3]characters!$2:$2,0)-MATCH("character_id",[3]characters!$2:$2,0)+1),MATCH(AB$1,[3]characters!$2:$2,0)-MATCH("character_id",[3]characters!$2:$2,0)+1,FALSE),"")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40" s="5">
        <f ca="1">IFERROR(VLOOKUP($AA40,OFFSET([3]characters!$A$1,0,0,COUNTA([3]characters!$A:$A),MATCH(AC$1,[3]characters!$2:$2,0)-MATCH("character_id",[3]characters!$2:$2,0)+1),MATCH(AC$1,[3]characters!$2:$2,0)-MATCH("character_id",[3]characters!$2:$2,0)+1,FALSE),"")</f>
        <v>3</v>
      </c>
      <c r="AD40" s="5" t="str">
        <f ca="1">IFERROR(VLOOKUP($AA40,OFFSET([3]characters!$A$1,0,0,COUNTA([3]characters!$A:$A),MATCH(AD$1,[3]characters!$2:$2,0)-MATCH("character_id",[3]characters!$2:$2,0)+1),MATCH(AD$1,[3]characters!$2:$2,0)-MATCH("character_id",[3]characters!$2:$2,0)+1,FALSE),"")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40" s="39">
        <v>1</v>
      </c>
      <c r="AF40" s="43">
        <f t="shared" ca="1" si="23"/>
        <v>3</v>
      </c>
      <c r="AG40" s="9">
        <v>100</v>
      </c>
      <c r="AH40" s="39">
        <v>0</v>
      </c>
      <c r="AI40" s="39">
        <v>0</v>
      </c>
      <c r="AJ40" s="39">
        <v>0</v>
      </c>
      <c r="AK40" s="39">
        <v>0</v>
      </c>
      <c r="AL40" s="39">
        <v>1</v>
      </c>
    </row>
    <row r="41" spans="1:38" ht="21" customHeight="1">
      <c r="A41" s="21" t="str">
        <f t="shared" ca="1" si="24"/>
        <v>11209_2-3/1&lt;lv5&gt;s1</v>
      </c>
      <c r="B41" s="33">
        <v>11209</v>
      </c>
      <c r="C41" s="40">
        <v>2</v>
      </c>
      <c r="D41" s="20" t="str">
        <f t="shared" si="21"/>
        <v>11209_2</v>
      </c>
      <c r="E41" s="5" t="str">
        <f ca="1">VLOOKUP($B41,OFFSET([1]quests!$A$1,0,0,COUNTA([1]quests!$A:$A),MATCH(E$1,[1]quests!$1:$1,0)-MATCH($B$1,[1]quests!$1:$1,0)+1),MATCH(E$1,[1]quests!$1:$1,0)-MATCH($B$1,[1]quests!$1:$1,0)+1,FALSE)</f>
        <v>【100万DL記念！】 初心者応援クエスト</v>
      </c>
      <c r="F41" s="5" t="str">
        <f ca="1">VLOOKUP($D41,OFFSET([1]stages!$A$1,0,0,COUNTA([1]stages!$A:$A),MATCH(F$1,[1]stages!$2:$2,0)-MATCH($D$1,[1]stages!$2:$2,0)+1),MATCH(F$1,[1]stages!$2:$2,0)-MATCH($D$1,[1]stages!$2:$2,0)+1,FALSE)</f>
        <v>ゴールドカジノ 【初級】</v>
      </c>
      <c r="G41" s="40">
        <v>3</v>
      </c>
      <c r="H41" s="20" t="str">
        <f t="shared" si="22"/>
        <v>11209_2-3</v>
      </c>
      <c r="I41" s="5">
        <f ca="1">VLOOKUP($H41,OFFSET(floors_beginners!$A$1,0,0,COUNTA(floors_beginners!$A:$A),MATCH(I$1,floors_beginners!$1:$1,0)-MATCH($H$1,floors_beginners!$1:$1,0)+1),MATCH(I$1,floors_beginners!$1:$1,0)-MATCH($H$1,floors_beginners!$1:$1,0)+1,FALSE)</f>
        <v>30</v>
      </c>
      <c r="J41" s="5">
        <f ca="1">VLOOKUP($H41,OFFSET(floors_beginners!$A$1,0,0,COUNTA(floors_beginners!$A:$A),MATCH(J$1,floors_beginners!$1:$1,0)-MATCH($H$1,floors_beginners!$1:$1,0)+1),MATCH(J$1,floors_beginners!$1:$1,0)-MATCH($H$1,floors_beginners!$1:$1,0)+1,FALSE)</f>
        <v>55</v>
      </c>
      <c r="K41" s="41">
        <v>1</v>
      </c>
      <c r="L41" s="26" t="str">
        <f ca="1">VLOOKUP($K41,OFFSET([2]enemies!$A$1,0,0,COUNTA([2]enemies!$A:$A),MATCH(L$1,[2]enemies!$2:$2,0)-MATCH($K$1,[2]enemies!$2:$2,0)+1),MATCH(L$1,[2]enemies!$2:$2,0)-MATCH($K$1,[2]enemies!$2:$2,0)+1,FALSE)</f>
        <v>ジェリー</v>
      </c>
      <c r="M41" s="29" t="str">
        <f ca="1">VLOOKUP($K41,OFFSET([2]enemies!$A$1,0,0,COUNTA([2]enemies!$A:$A),MATCH(M$1,[2]enemies!$2:$2,0)-MATCH($K$1,[2]enemies!$2:$2,0)+1),MATCH(M$1,[2]enemies!$2:$2,0)-MATCH($K$1,[2]enemies!$2:$2,0)+1,FALSE)</f>
        <v>red</v>
      </c>
      <c r="N41" s="29" t="str">
        <f ca="1">VLOOKUP($K41,OFFSET([3]characters!$A$1,0,0,COUNTA([3]characters!$A:$A),MATCH(N$1,[3]characters!$2:$2,0)-MATCH($K$1,[3]characters!$2:$2,0)+1),MATCH(N$1,[3]characters!$2:$2,0)-MATCH($K$1,[3]characters!$2:$2,0)+1,FALSE)</f>
        <v>Drop1T</v>
      </c>
      <c r="O41" s="28" t="str">
        <f ca="1">VLOOKUP($K41,OFFSET([3]characters!$A$1,0,0,COUNTA([3]characters!$A:$A),MATCH(O$1,[3]characters!$2:$2,0)-MATCH($K$1,[3]characters!$2:$2,0)+2),MATCH(O$1,[3]characters!$2:$2,0)-MATCH($K$1,[3]characters!$2:$2,0)+2,FALSE)</f>
        <v>Unknown</v>
      </c>
      <c r="P41" s="5">
        <f ca="1">VLOOKUP($K41,OFFSET([2]enemies!$A$1,0,0,COUNTA([2]enemies!$A:$A),MATCH(P$1,[2]enemies!$2:$2,0)-MATCH($K$1,[2]enemies!$2:$2,0)+1),MATCH(P$1,[2]enemies!$2:$2,0)-MATCH($K$1,[2]enemies!$2:$2,0)+1,FALSE)</f>
        <v>15</v>
      </c>
      <c r="Q41" s="6">
        <v>5</v>
      </c>
      <c r="R41" s="37">
        <v>1</v>
      </c>
      <c r="S41" s="37">
        <v>1</v>
      </c>
      <c r="T41" s="6">
        <v>0</v>
      </c>
      <c r="U41" s="5" t="str">
        <f ca="1">VLOOKUP($V41,OFFSET([4]enemy_skill_sets!$B$1,0,0,COUNTA([4]enemy_skill_sets!$B:$B),MATCH(L$1,[4]enemy_skill_sets!$1:$1,0)-MATCH($V$1,[4]enemy_skill_sets!$1:$1,0)+2),MATCH(L$1,[4]enemy_skill_sets!$1:$1,0)-MATCH($V$1,[4]enemy_skill_sets!$1:$1,0)+2,FALSE)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1" s="5">
        <f ca="1">VLOOKUP($K41,OFFSET([2]enemies!$A$1,0,0,COUNTA([2]enemies!$A:$A),MATCH(V$1,[2]enemies!$2:$2,0)-MATCH($K$1,[2]enemies!$2:$2,0)+1),MATCH(V$1,[2]enemies!$2:$2,0)-MATCH($K$1,[2]enemies!$2:$2,0)+1,FALSE)</f>
        <v>0</v>
      </c>
      <c r="W41" s="7">
        <v>0</v>
      </c>
      <c r="X41" s="7">
        <v>20</v>
      </c>
      <c r="Y41" s="7">
        <v>0</v>
      </c>
      <c r="Z41" s="26">
        <f ca="1">VLOOKUP($K41,OFFSET([2]enemies!$A$1,0,0,COUNTA([2]enemies!$A:$A),MATCH(Z$1,[2]enemies!$2:$2,0)-MATCH($K$1,[2]enemies!$2:$2,0)+1),MATCH(Z$1,[2]enemies!$2:$2,0)-MATCH($K$1,[2]enemies!$2:$2,0)+1,FALSE)</f>
        <v>1</v>
      </c>
      <c r="AA41" s="20">
        <f t="shared" si="4"/>
        <v>1</v>
      </c>
      <c r="AB41" s="5" t="str">
        <f ca="1">IFERROR(VLOOKUP($AA41,OFFSET([3]characters!$A$1,0,0,COUNTA([3]characters!$A:$A),MATCH(AB$1,[3]characters!$2:$2,0)-MATCH("character_id",[3]characters!$2:$2,0)+1),MATCH(AB$1,[3]characters!$2:$2,0)-MATCH("character_id",[3]characters!$2:$2,0)+1,FALSE),"")</f>
        <v>ジェリー</v>
      </c>
      <c r="AC41" s="5">
        <f ca="1">IFERROR(VLOOKUP($AA41,OFFSET([3]characters!$A$1,0,0,COUNTA([3]characters!$A:$A),MATCH(AC$1,[3]characters!$2:$2,0)-MATCH("character_id",[3]characters!$2:$2,0)+1),MATCH(AC$1,[3]characters!$2:$2,0)-MATCH("character_id",[3]characters!$2:$2,0)+1,FALSE),"")</f>
        <v>1</v>
      </c>
      <c r="AD41" s="5" t="str">
        <f ca="1">IFERROR(VLOOKUP($AA41,OFFSET([3]characters!$A$1,0,0,COUNTA([3]characters!$A:$A),MATCH(AD$1,[3]characters!$2:$2,0)-MATCH("character_id",[3]characters!$2:$2,0)+1),MATCH(AD$1,[3]characters!$2:$2,0)-MATCH("character_id",[3]characters!$2:$2,0)+1,FALSE),"")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1" s="39">
        <v>1</v>
      </c>
      <c r="AF41" s="43">
        <f t="shared" ca="1" si="23"/>
        <v>1</v>
      </c>
      <c r="AG41" s="9">
        <v>0</v>
      </c>
      <c r="AH41" s="39">
        <v>0</v>
      </c>
      <c r="AI41" s="39">
        <v>0</v>
      </c>
      <c r="AJ41" s="39">
        <v>0</v>
      </c>
      <c r="AK41" s="39">
        <v>0</v>
      </c>
      <c r="AL41" s="39">
        <v>1</v>
      </c>
    </row>
    <row r="42" spans="1:38" ht="21" customHeight="1">
      <c r="A42" s="21" t="str">
        <f t="shared" ca="1" si="24"/>
        <v>11209_2-3/3&lt;lv5&gt;s2</v>
      </c>
      <c r="B42" s="33">
        <v>11209</v>
      </c>
      <c r="C42" s="40">
        <v>2</v>
      </c>
      <c r="D42" s="20" t="str">
        <f t="shared" si="21"/>
        <v>11209_2</v>
      </c>
      <c r="E42" s="5" t="str">
        <f ca="1">VLOOKUP($B42,OFFSET([1]quests!$A$1,0,0,COUNTA([1]quests!$A:$A),MATCH(E$1,[1]quests!$1:$1,0)-MATCH($B$1,[1]quests!$1:$1,0)+1),MATCH(E$1,[1]quests!$1:$1,0)-MATCH($B$1,[1]quests!$1:$1,0)+1,FALSE)</f>
        <v>【100万DL記念！】 初心者応援クエスト</v>
      </c>
      <c r="F42" s="5" t="str">
        <f ca="1">VLOOKUP($D42,OFFSET([1]stages!$A$1,0,0,COUNTA([1]stages!$A:$A),MATCH(F$1,[1]stages!$2:$2,0)-MATCH($D$1,[1]stages!$2:$2,0)+1),MATCH(F$1,[1]stages!$2:$2,0)-MATCH($D$1,[1]stages!$2:$2,0)+1,FALSE)</f>
        <v>ゴールドカジノ 【初級】</v>
      </c>
      <c r="G42" s="40">
        <v>3</v>
      </c>
      <c r="H42" s="20" t="str">
        <f t="shared" si="22"/>
        <v>11209_2-3</v>
      </c>
      <c r="I42" s="5">
        <f ca="1">VLOOKUP($H42,OFFSET(floors_beginners!$A$1,0,0,COUNTA(floors_beginners!$A:$A),MATCH(I$1,floors_beginners!$1:$1,0)-MATCH($H$1,floors_beginners!$1:$1,0)+1),MATCH(I$1,floors_beginners!$1:$1,0)-MATCH($H$1,floors_beginners!$1:$1,0)+1,FALSE)</f>
        <v>30</v>
      </c>
      <c r="J42" s="5">
        <f ca="1">VLOOKUP($H42,OFFSET(floors_beginners!$A$1,0,0,COUNTA(floors_beginners!$A:$A),MATCH(J$1,floors_beginners!$1:$1,0)-MATCH($H$1,floors_beginners!$1:$1,0)+1),MATCH(J$1,floors_beginners!$1:$1,0)-MATCH($H$1,floors_beginners!$1:$1,0)+1,FALSE)</f>
        <v>55</v>
      </c>
      <c r="K42" s="41">
        <v>3</v>
      </c>
      <c r="L42" s="26" t="str">
        <f ca="1">VLOOKUP($K42,OFFSET([2]enemies!$A$1,0,0,COUNTA([2]enemies!$A:$A),MATCH(L$1,[2]enemies!$2:$2,0)-MATCH($K$1,[2]enemies!$2:$2,0)+1),MATCH(L$1,[2]enemies!$2:$2,0)-MATCH($K$1,[2]enemies!$2:$2,0)+1,FALSE)</f>
        <v>エージェント ジョー</v>
      </c>
      <c r="M42" s="29" t="str">
        <f ca="1">VLOOKUP($K42,OFFSET([2]enemies!$A$1,0,0,COUNTA([2]enemies!$A:$A),MATCH(M$1,[2]enemies!$2:$2,0)-MATCH($K$1,[2]enemies!$2:$2,0)+1),MATCH(M$1,[2]enemies!$2:$2,0)-MATCH($K$1,[2]enemies!$2:$2,0)+1,FALSE)</f>
        <v>green</v>
      </c>
      <c r="N42" s="29" t="str">
        <f ca="1">VLOOKUP($K42,OFFSET([3]characters!$A$1,0,0,COUNTA([3]characters!$A:$A),MATCH(N$1,[3]characters!$2:$2,0)-MATCH($K$1,[3]characters!$2:$2,0)+1),MATCH(N$1,[3]characters!$2:$2,0)-MATCH($K$1,[3]characters!$2:$2,0)+1,FALSE)</f>
        <v>Drop1T</v>
      </c>
      <c r="O42" s="28" t="str">
        <f ca="1">VLOOKUP($K42,OFFSET([3]characters!$A$1,0,0,COUNTA([3]characters!$A:$A),MATCH(O$1,[3]characters!$2:$2,0)-MATCH($K$1,[3]characters!$2:$2,0)+2),MATCH(O$1,[3]characters!$2:$2,0)-MATCH($K$1,[3]characters!$2:$2,0)+2,FALSE)</f>
        <v>Unknown</v>
      </c>
      <c r="P42" s="5">
        <f ca="1">VLOOKUP($K42,OFFSET([2]enemies!$A$1,0,0,COUNTA([2]enemies!$A:$A),MATCH(P$1,[2]enemies!$2:$2,0)-MATCH($K$1,[2]enemies!$2:$2,0)+1),MATCH(P$1,[2]enemies!$2:$2,0)-MATCH($K$1,[2]enemies!$2:$2,0)+1,FALSE)</f>
        <v>15</v>
      </c>
      <c r="Q42" s="6">
        <v>5</v>
      </c>
      <c r="R42" s="37">
        <v>1</v>
      </c>
      <c r="S42" s="37">
        <v>1</v>
      </c>
      <c r="T42" s="6">
        <v>0</v>
      </c>
      <c r="U42" s="5" t="str">
        <f ca="1">VLOOKUP($V42,OFFSET([4]enemy_skill_sets!$B$1,0,0,COUNTA([4]enemy_skill_sets!$B:$B),MATCH(L$1,[4]enemy_skill_sets!$1:$1,0)-MATCH($V$1,[4]enemy_skill_sets!$1:$1,0)+2),MATCH(L$1,[4]enemy_skill_sets!$1:$1,0)-MATCH($V$1,[4]enemy_skill_sets!$1:$1,0)+2,FALSE)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2" s="5">
        <f ca="1">VLOOKUP($K42,OFFSET([2]enemies!$A$1,0,0,COUNTA([2]enemies!$A:$A),MATCH(V$1,[2]enemies!$2:$2,0)-MATCH($K$1,[2]enemies!$2:$2,0)+1),MATCH(V$1,[2]enemies!$2:$2,0)-MATCH($K$1,[2]enemies!$2:$2,0)+1,FALSE)</f>
        <v>0</v>
      </c>
      <c r="W42" s="7">
        <v>0</v>
      </c>
      <c r="X42" s="7">
        <v>20</v>
      </c>
      <c r="Y42" s="7">
        <v>0</v>
      </c>
      <c r="Z42" s="26">
        <f ca="1">VLOOKUP($K42,OFFSET([2]enemies!$A$1,0,0,COUNTA([2]enemies!$A:$A),MATCH(Z$1,[2]enemies!$2:$2,0)-MATCH($K$1,[2]enemies!$2:$2,0)+1),MATCH(Z$1,[2]enemies!$2:$2,0)-MATCH($K$1,[2]enemies!$2:$2,0)+1,FALSE)</f>
        <v>2</v>
      </c>
      <c r="AA42" s="20">
        <f t="shared" si="4"/>
        <v>3</v>
      </c>
      <c r="AB42" s="5" t="str">
        <f ca="1">IFERROR(VLOOKUP($AA42,OFFSET([3]characters!$A$1,0,0,COUNTA([3]characters!$A:$A),MATCH(AB$1,[3]characters!$2:$2,0)-MATCH("character_id",[3]characters!$2:$2,0)+1),MATCH(AB$1,[3]characters!$2:$2,0)-MATCH("character_id",[3]characters!$2:$2,0)+1,FALSE),"")</f>
        <v>エージェント ジョー</v>
      </c>
      <c r="AC42" s="5">
        <f ca="1">IFERROR(VLOOKUP($AA42,OFFSET([3]characters!$A$1,0,0,COUNTA([3]characters!$A:$A),MATCH(AC$1,[3]characters!$2:$2,0)-MATCH("character_id",[3]characters!$2:$2,0)+1),MATCH(AC$1,[3]characters!$2:$2,0)-MATCH("character_id",[3]characters!$2:$2,0)+1,FALSE),"")</f>
        <v>1</v>
      </c>
      <c r="AD42" s="5" t="str">
        <f ca="1">IFERROR(VLOOKUP($AA42,OFFSET([3]characters!$A$1,0,0,COUNTA([3]characters!$A:$A),MATCH(AD$1,[3]characters!$2:$2,0)-MATCH("character_id",[3]characters!$2:$2,0)+1),MATCH(AD$1,[3]characters!$2:$2,0)-MATCH("character_id",[3]characters!$2:$2,0)+1,FALSE),"")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2" s="39">
        <v>1</v>
      </c>
      <c r="AF42" s="43">
        <f t="shared" ca="1" si="23"/>
        <v>1</v>
      </c>
      <c r="AG42" s="9">
        <v>0</v>
      </c>
      <c r="AH42" s="39">
        <v>0</v>
      </c>
      <c r="AI42" s="39">
        <v>0</v>
      </c>
      <c r="AJ42" s="39">
        <v>0</v>
      </c>
      <c r="AK42" s="39">
        <v>0</v>
      </c>
      <c r="AL42" s="39">
        <v>1</v>
      </c>
    </row>
    <row r="43" spans="1:38" ht="21" customHeight="1">
      <c r="A43" s="21" t="str">
        <f t="shared" ca="1" si="24"/>
        <v>11209_2-3/5&lt;lv5&gt;s3</v>
      </c>
      <c r="B43" s="33">
        <v>11209</v>
      </c>
      <c r="C43" s="40">
        <v>2</v>
      </c>
      <c r="D43" s="20" t="str">
        <f t="shared" si="21"/>
        <v>11209_2</v>
      </c>
      <c r="E43" s="5" t="str">
        <f ca="1">VLOOKUP($B43,OFFSET([1]quests!$A$1,0,0,COUNTA([1]quests!$A:$A),MATCH(E$1,[1]quests!$1:$1,0)-MATCH($B$1,[1]quests!$1:$1,0)+1),MATCH(E$1,[1]quests!$1:$1,0)-MATCH($B$1,[1]quests!$1:$1,0)+1,FALSE)</f>
        <v>【100万DL記念！】 初心者応援クエスト</v>
      </c>
      <c r="F43" s="5" t="str">
        <f ca="1">VLOOKUP($D43,OFFSET([1]stages!$A$1,0,0,COUNTA([1]stages!$A:$A),MATCH(F$1,[1]stages!$2:$2,0)-MATCH($D$1,[1]stages!$2:$2,0)+1),MATCH(F$1,[1]stages!$2:$2,0)-MATCH($D$1,[1]stages!$2:$2,0)+1,FALSE)</f>
        <v>ゴールドカジノ 【初級】</v>
      </c>
      <c r="G43" s="40">
        <v>3</v>
      </c>
      <c r="H43" s="20" t="str">
        <f t="shared" si="22"/>
        <v>11209_2-3</v>
      </c>
      <c r="I43" s="5">
        <f ca="1">VLOOKUP($H43,OFFSET(floors_beginners!$A$1,0,0,COUNTA(floors_beginners!$A:$A),MATCH(I$1,floors_beginners!$1:$1,0)-MATCH($H$1,floors_beginners!$1:$1,0)+1),MATCH(I$1,floors_beginners!$1:$1,0)-MATCH($H$1,floors_beginners!$1:$1,0)+1,FALSE)</f>
        <v>30</v>
      </c>
      <c r="J43" s="5">
        <f ca="1">VLOOKUP($H43,OFFSET(floors_beginners!$A$1,0,0,COUNTA(floors_beginners!$A:$A),MATCH(J$1,floors_beginners!$1:$1,0)-MATCH($H$1,floors_beginners!$1:$1,0)+1),MATCH(J$1,floors_beginners!$1:$1,0)-MATCH($H$1,floors_beginners!$1:$1,0)+1,FALSE)</f>
        <v>55</v>
      </c>
      <c r="K43" s="41">
        <v>5</v>
      </c>
      <c r="L43" s="26" t="str">
        <f ca="1">VLOOKUP($K43,OFFSET([2]enemies!$A$1,0,0,COUNTA([2]enemies!$A:$A),MATCH(L$1,[2]enemies!$2:$2,0)-MATCH($K$1,[2]enemies!$2:$2,0)+1),MATCH(L$1,[2]enemies!$2:$2,0)-MATCH($K$1,[2]enemies!$2:$2,0)+1,FALSE)</f>
        <v>パトドッグ ポチ</v>
      </c>
      <c r="M43" s="29" t="str">
        <f ca="1">VLOOKUP($K43,OFFSET([2]enemies!$A$1,0,0,COUNTA([2]enemies!$A:$A),MATCH(M$1,[2]enemies!$2:$2,0)-MATCH($K$1,[2]enemies!$2:$2,0)+1),MATCH(M$1,[2]enemies!$2:$2,0)-MATCH($K$1,[2]enemies!$2:$2,0)+1,FALSE)</f>
        <v>blue</v>
      </c>
      <c r="N43" s="29" t="str">
        <f ca="1">VLOOKUP($K43,OFFSET([3]characters!$A$1,0,0,COUNTA([3]characters!$A:$A),MATCH(N$1,[3]characters!$2:$2,0)-MATCH($K$1,[3]characters!$2:$2,0)+1),MATCH(N$1,[3]characters!$2:$2,0)-MATCH($K$1,[3]characters!$2:$2,0)+1,FALSE)</f>
        <v>Drop1T</v>
      </c>
      <c r="O43" s="28" t="str">
        <f ca="1">VLOOKUP($K43,OFFSET([3]characters!$A$1,0,0,COUNTA([3]characters!$A:$A),MATCH(O$1,[3]characters!$2:$2,0)-MATCH($K$1,[3]characters!$2:$2,0)+2),MATCH(O$1,[3]characters!$2:$2,0)-MATCH($K$1,[3]characters!$2:$2,0)+2,FALSE)</f>
        <v>Unknown</v>
      </c>
      <c r="P43" s="5">
        <f ca="1">VLOOKUP($K43,OFFSET([2]enemies!$A$1,0,0,COUNTA([2]enemies!$A:$A),MATCH(P$1,[2]enemies!$2:$2,0)-MATCH($K$1,[2]enemies!$2:$2,0)+1),MATCH(P$1,[2]enemies!$2:$2,0)-MATCH($K$1,[2]enemies!$2:$2,0)+1,FALSE)</f>
        <v>15</v>
      </c>
      <c r="Q43" s="6">
        <v>5</v>
      </c>
      <c r="R43" s="37">
        <v>1</v>
      </c>
      <c r="S43" s="37">
        <v>1</v>
      </c>
      <c r="T43" s="6">
        <v>0</v>
      </c>
      <c r="U43" s="5" t="str">
        <f ca="1">VLOOKUP($V43,OFFSET([4]enemy_skill_sets!$B$1,0,0,COUNTA([4]enemy_skill_sets!$B:$B),MATCH(L$1,[4]enemy_skill_sets!$1:$1,0)-MATCH($V$1,[4]enemy_skill_sets!$1:$1,0)+2),MATCH(L$1,[4]enemy_skill_sets!$1:$1,0)-MATCH($V$1,[4]enemy_skill_sets!$1:$1,0)+2,FALSE)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3" s="5">
        <f ca="1">VLOOKUP($K43,OFFSET([2]enemies!$A$1,0,0,COUNTA([2]enemies!$A:$A),MATCH(V$1,[2]enemies!$2:$2,0)-MATCH($K$1,[2]enemies!$2:$2,0)+1),MATCH(V$1,[2]enemies!$2:$2,0)-MATCH($K$1,[2]enemies!$2:$2,0)+1,FALSE)</f>
        <v>0</v>
      </c>
      <c r="W43" s="7">
        <v>0</v>
      </c>
      <c r="X43" s="7">
        <v>20</v>
      </c>
      <c r="Y43" s="7">
        <v>0</v>
      </c>
      <c r="Z43" s="26">
        <f ca="1">VLOOKUP($K43,OFFSET([2]enemies!$A$1,0,0,COUNTA([2]enemies!$A:$A),MATCH(Z$1,[2]enemies!$2:$2,0)-MATCH($K$1,[2]enemies!$2:$2,0)+1),MATCH(Z$1,[2]enemies!$2:$2,0)-MATCH($K$1,[2]enemies!$2:$2,0)+1,FALSE)</f>
        <v>3</v>
      </c>
      <c r="AA43" s="20">
        <f t="shared" si="4"/>
        <v>5</v>
      </c>
      <c r="AB43" s="5" t="str">
        <f ca="1">IFERROR(VLOOKUP($AA43,OFFSET([3]characters!$A$1,0,0,COUNTA([3]characters!$A:$A),MATCH(AB$1,[3]characters!$2:$2,0)-MATCH("character_id",[3]characters!$2:$2,0)+1),MATCH(AB$1,[3]characters!$2:$2,0)-MATCH("character_id",[3]characters!$2:$2,0)+1,FALSE),"")</f>
        <v>パトドッグ ポチ</v>
      </c>
      <c r="AC43" s="5">
        <f ca="1">IFERROR(VLOOKUP($AA43,OFFSET([3]characters!$A$1,0,0,COUNTA([3]characters!$A:$A),MATCH(AC$1,[3]characters!$2:$2,0)-MATCH("character_id",[3]characters!$2:$2,0)+1),MATCH(AC$1,[3]characters!$2:$2,0)-MATCH("character_id",[3]characters!$2:$2,0)+1,FALSE),"")</f>
        <v>1</v>
      </c>
      <c r="AD43" s="5" t="str">
        <f ca="1">IFERROR(VLOOKUP($AA43,OFFSET([3]characters!$A$1,0,0,COUNTA([3]characters!$A:$A),MATCH(AD$1,[3]characters!$2:$2,0)-MATCH("character_id",[3]characters!$2:$2,0)+1),MATCH(AD$1,[3]characters!$2:$2,0)-MATCH("character_id",[3]characters!$2:$2,0)+1,FALSE),"")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3" s="39">
        <v>1</v>
      </c>
      <c r="AF43" s="43">
        <f t="shared" ca="1" si="23"/>
        <v>1</v>
      </c>
      <c r="AG43" s="9">
        <v>0</v>
      </c>
      <c r="AH43" s="39">
        <v>0</v>
      </c>
      <c r="AI43" s="39">
        <v>0</v>
      </c>
      <c r="AJ43" s="39">
        <v>0</v>
      </c>
      <c r="AK43" s="39">
        <v>0</v>
      </c>
      <c r="AL43" s="39">
        <v>1</v>
      </c>
    </row>
    <row r="44" spans="1:38" ht="21" customHeight="1">
      <c r="A44" s="21" t="str">
        <f t="shared" ca="1" si="24"/>
        <v>11209_2-3/7&lt;lv5&gt;s2</v>
      </c>
      <c r="B44" s="33">
        <v>11209</v>
      </c>
      <c r="C44" s="40">
        <v>2</v>
      </c>
      <c r="D44" s="20" t="str">
        <f t="shared" si="21"/>
        <v>11209_2</v>
      </c>
      <c r="E44" s="5" t="str">
        <f ca="1">VLOOKUP($B44,OFFSET([1]quests!$A$1,0,0,COUNTA([1]quests!$A:$A),MATCH(E$1,[1]quests!$1:$1,0)-MATCH($B$1,[1]quests!$1:$1,0)+1),MATCH(E$1,[1]quests!$1:$1,0)-MATCH($B$1,[1]quests!$1:$1,0)+1,FALSE)</f>
        <v>【100万DL記念！】 初心者応援クエスト</v>
      </c>
      <c r="F44" s="5" t="str">
        <f ca="1">VLOOKUP($D44,OFFSET([1]stages!$A$1,0,0,COUNTA([1]stages!$A:$A),MATCH(F$1,[1]stages!$2:$2,0)-MATCH($D$1,[1]stages!$2:$2,0)+1),MATCH(F$1,[1]stages!$2:$2,0)-MATCH($D$1,[1]stages!$2:$2,0)+1,FALSE)</f>
        <v>ゴールドカジノ 【初級】</v>
      </c>
      <c r="G44" s="40">
        <v>3</v>
      </c>
      <c r="H44" s="20" t="str">
        <f t="shared" si="22"/>
        <v>11209_2-3</v>
      </c>
      <c r="I44" s="5">
        <f ca="1">VLOOKUP($H44,OFFSET(floors_beginners!$A$1,0,0,COUNTA(floors_beginners!$A:$A),MATCH(I$1,floors_beginners!$1:$1,0)-MATCH($H$1,floors_beginners!$1:$1,0)+1),MATCH(I$1,floors_beginners!$1:$1,0)-MATCH($H$1,floors_beginners!$1:$1,0)+1,FALSE)</f>
        <v>30</v>
      </c>
      <c r="J44" s="5">
        <f ca="1">VLOOKUP($H44,OFFSET(floors_beginners!$A$1,0,0,COUNTA(floors_beginners!$A:$A),MATCH(J$1,floors_beginners!$1:$1,0)-MATCH($H$1,floors_beginners!$1:$1,0)+1),MATCH(J$1,floors_beginners!$1:$1,0)-MATCH($H$1,floors_beginners!$1:$1,0)+1,FALSE)</f>
        <v>55</v>
      </c>
      <c r="K44" s="41">
        <v>7</v>
      </c>
      <c r="L44" s="26" t="str">
        <f ca="1">VLOOKUP($K44,OFFSET([2]enemies!$A$1,0,0,COUNTA([2]enemies!$A:$A),MATCH(L$1,[2]enemies!$2:$2,0)-MATCH($K$1,[2]enemies!$2:$2,0)+1),MATCH(L$1,[2]enemies!$2:$2,0)-MATCH($K$1,[2]enemies!$2:$2,0)+1,FALSE)</f>
        <v>エレキポット</v>
      </c>
      <c r="M44" s="29" t="str">
        <f ca="1">VLOOKUP($K44,OFFSET([2]enemies!$A$1,0,0,COUNTA([2]enemies!$A:$A),MATCH(M$1,[2]enemies!$2:$2,0)-MATCH($K$1,[2]enemies!$2:$2,0)+1),MATCH(M$1,[2]enemies!$2:$2,0)-MATCH($K$1,[2]enemies!$2:$2,0)+1,FALSE)</f>
        <v>yellow</v>
      </c>
      <c r="N44" s="29" t="str">
        <f ca="1">VLOOKUP($K44,OFFSET([3]characters!$A$1,0,0,COUNTA([3]characters!$A:$A),MATCH(N$1,[3]characters!$2:$2,0)-MATCH($K$1,[3]characters!$2:$2,0)+1),MATCH(N$1,[3]characters!$2:$2,0)-MATCH($K$1,[3]characters!$2:$2,0)+1,FALSE)</f>
        <v>Drop1T</v>
      </c>
      <c r="O44" s="28" t="str">
        <f ca="1">VLOOKUP($K44,OFFSET([3]characters!$A$1,0,0,COUNTA([3]characters!$A:$A),MATCH(O$1,[3]characters!$2:$2,0)-MATCH($K$1,[3]characters!$2:$2,0)+2),MATCH(O$1,[3]characters!$2:$2,0)-MATCH($K$1,[3]characters!$2:$2,0)+2,FALSE)</f>
        <v>Unknown</v>
      </c>
      <c r="P44" s="5">
        <f ca="1">VLOOKUP($K44,OFFSET([2]enemies!$A$1,0,0,COUNTA([2]enemies!$A:$A),MATCH(P$1,[2]enemies!$2:$2,0)-MATCH($K$1,[2]enemies!$2:$2,0)+1),MATCH(P$1,[2]enemies!$2:$2,0)-MATCH($K$1,[2]enemies!$2:$2,0)+1,FALSE)</f>
        <v>15</v>
      </c>
      <c r="Q44" s="6">
        <v>5</v>
      </c>
      <c r="R44" s="37">
        <v>1</v>
      </c>
      <c r="S44" s="37">
        <v>1</v>
      </c>
      <c r="T44" s="6">
        <v>0</v>
      </c>
      <c r="U44" s="5" t="str">
        <f ca="1">VLOOKUP($V44,OFFSET([4]enemy_skill_sets!$B$1,0,0,COUNTA([4]enemy_skill_sets!$B:$B),MATCH(L$1,[4]enemy_skill_sets!$1:$1,0)-MATCH($V$1,[4]enemy_skill_sets!$1:$1,0)+2),MATCH(L$1,[4]enemy_skill_sets!$1:$1,0)-MATCH($V$1,[4]enemy_skill_sets!$1:$1,0)+2,FALSE)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4" s="5">
        <f ca="1">VLOOKUP($K44,OFFSET([2]enemies!$A$1,0,0,COUNTA([2]enemies!$A:$A),MATCH(V$1,[2]enemies!$2:$2,0)-MATCH($K$1,[2]enemies!$2:$2,0)+1),MATCH(V$1,[2]enemies!$2:$2,0)-MATCH($K$1,[2]enemies!$2:$2,0)+1,FALSE)</f>
        <v>0</v>
      </c>
      <c r="W44" s="7">
        <v>0</v>
      </c>
      <c r="X44" s="7">
        <v>20</v>
      </c>
      <c r="Y44" s="7">
        <v>0</v>
      </c>
      <c r="Z44" s="26">
        <f ca="1">VLOOKUP($K44,OFFSET([2]enemies!$A$1,0,0,COUNTA([2]enemies!$A:$A),MATCH(Z$1,[2]enemies!$2:$2,0)-MATCH($K$1,[2]enemies!$2:$2,0)+1),MATCH(Z$1,[2]enemies!$2:$2,0)-MATCH($K$1,[2]enemies!$2:$2,0)+1,FALSE)</f>
        <v>2</v>
      </c>
      <c r="AA44" s="20">
        <f t="shared" si="4"/>
        <v>7</v>
      </c>
      <c r="AB44" s="5" t="str">
        <f ca="1">IFERROR(VLOOKUP($AA44,OFFSET([3]characters!$A$1,0,0,COUNTA([3]characters!$A:$A),MATCH(AB$1,[3]characters!$2:$2,0)-MATCH("character_id",[3]characters!$2:$2,0)+1),MATCH(AB$1,[3]characters!$2:$2,0)-MATCH("character_id",[3]characters!$2:$2,0)+1,FALSE),"")</f>
        <v>エレキポット</v>
      </c>
      <c r="AC44" s="5">
        <f ca="1">IFERROR(VLOOKUP($AA44,OFFSET([3]characters!$A$1,0,0,COUNTA([3]characters!$A:$A),MATCH(AC$1,[3]characters!$2:$2,0)-MATCH("character_id",[3]characters!$2:$2,0)+1),MATCH(AC$1,[3]characters!$2:$2,0)-MATCH("character_id",[3]characters!$2:$2,0)+1,FALSE),"")</f>
        <v>1</v>
      </c>
      <c r="AD44" s="5" t="str">
        <f ca="1">IFERROR(VLOOKUP($AA44,OFFSET([3]characters!$A$1,0,0,COUNTA([3]characters!$A:$A),MATCH(AD$1,[3]characters!$2:$2,0)-MATCH("character_id",[3]characters!$2:$2,0)+1),MATCH(AD$1,[3]characters!$2:$2,0)-MATCH("character_id",[3]characters!$2:$2,0)+1,FALSE),"")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4" s="39">
        <v>1</v>
      </c>
      <c r="AF44" s="43">
        <f t="shared" ca="1" si="23"/>
        <v>1</v>
      </c>
      <c r="AG44" s="9">
        <v>0</v>
      </c>
      <c r="AH44" s="39">
        <v>0</v>
      </c>
      <c r="AI44" s="39">
        <v>0</v>
      </c>
      <c r="AJ44" s="39">
        <v>0</v>
      </c>
      <c r="AK44" s="39">
        <v>0</v>
      </c>
      <c r="AL44" s="39">
        <v>1</v>
      </c>
    </row>
    <row r="45" spans="1:38" ht="21" customHeight="1">
      <c r="A45" s="21" t="str">
        <f ca="1">B45&amp;"_"&amp;C45&amp;"-"&amp;G45&amp;"/"&amp;K45&amp;"&lt;lv"&amp;Q45&amp;"&gt;s"&amp;Z45</f>
        <v>11209_2-4/118&lt;lv2&gt;s2</v>
      </c>
      <c r="B45" s="33">
        <v>11209</v>
      </c>
      <c r="C45" s="40">
        <v>2</v>
      </c>
      <c r="D45" s="20" t="str">
        <f>B45&amp;"_"&amp;C45</f>
        <v>11209_2</v>
      </c>
      <c r="E45" s="5" t="str">
        <f ca="1">VLOOKUP($B45,OFFSET([1]quests!$A$1,0,0,COUNTA([1]quests!$A:$A),MATCH(E$1,[1]quests!$1:$1,0)-MATCH($B$1,[1]quests!$1:$1,0)+1),MATCH(E$1,[1]quests!$1:$1,0)-MATCH($B$1,[1]quests!$1:$1,0)+1,FALSE)</f>
        <v>【100万DL記念！】 初心者応援クエスト</v>
      </c>
      <c r="F45" s="5" t="str">
        <f ca="1">VLOOKUP($D45,OFFSET([1]stages!$A$1,0,0,COUNTA([1]stages!$A:$A),MATCH(F$1,[1]stages!$2:$2,0)-MATCH($D$1,[1]stages!$2:$2,0)+1),MATCH(F$1,[1]stages!$2:$2,0)-MATCH($D$1,[1]stages!$2:$2,0)+1,FALSE)</f>
        <v>ゴールドカジノ 【初級】</v>
      </c>
      <c r="G45" s="40">
        <v>4</v>
      </c>
      <c r="H45" s="20" t="str">
        <f>B45&amp;"_"&amp;C45&amp;"-"&amp;G45</f>
        <v>11209_2-4</v>
      </c>
      <c r="I45" s="5">
        <f ca="1">VLOOKUP($H45,OFFSET(floors_beginners!$A$1,0,0,COUNTA(floors_beginners!$A:$A),MATCH(I$1,floors_beginners!$1:$1,0)-MATCH($H$1,floors_beginners!$1:$1,0)+1),MATCH(I$1,floors_beginners!$1:$1,0)-MATCH($H$1,floors_beginners!$1:$1,0)+1,FALSE)</f>
        <v>30</v>
      </c>
      <c r="J45" s="5">
        <f ca="1">VLOOKUP($H45,OFFSET(floors_beginners!$A$1,0,0,COUNTA(floors_beginners!$A:$A),MATCH(J$1,floors_beginners!$1:$1,0)-MATCH($H$1,floors_beginners!$1:$1,0)+1),MATCH(J$1,floors_beginners!$1:$1,0)-MATCH($H$1,floors_beginners!$1:$1,0)+1,FALSE)</f>
        <v>55</v>
      </c>
      <c r="K45" s="41">
        <v>118</v>
      </c>
      <c r="L45" s="26" t="str">
        <f ca="1">VLOOKUP($K45,OFFSET([2]enemies!$A$1,0,0,COUNTA([2]enemies!$A:$A),MATCH(L$1,[2]enemies!$2:$2,0)-MATCH($K$1,[2]enemies!$2:$2,0)+1),MATCH(L$1,[2]enemies!$2:$2,0)-MATCH($K$1,[2]enemies!$2:$2,0)+1,FALSE)</f>
        <v>ゴールドチック</v>
      </c>
      <c r="M45" s="29" t="str">
        <f ca="1">VLOOKUP($K45,OFFSET([2]enemies!$A$1,0,0,COUNTA([2]enemies!$A:$A),MATCH(M$1,[2]enemies!$2:$2,0)-MATCH($K$1,[2]enemies!$2:$2,0)+1),MATCH(M$1,[2]enemies!$2:$2,0)-MATCH($K$1,[2]enemies!$2:$2,0)+1,FALSE)</f>
        <v>yellow</v>
      </c>
      <c r="N45" s="29" t="str">
        <f ca="1">VLOOKUP($K45,OFFSET([3]characters!$A$1,0,0,COUNTA([3]characters!$A:$A),MATCH(N$1,[3]characters!$2:$2,0)-MATCH($K$1,[3]characters!$2:$2,0)+1),MATCH(N$1,[3]characters!$2:$2,0)-MATCH($K$1,[3]characters!$2:$2,0)+1,FALSE)</f>
        <v>Material</v>
      </c>
      <c r="O45" s="28" t="str">
        <f ca="1">VLOOKUP($K45,OFFSET([3]characters!$A$1,0,0,COUNTA([3]characters!$A:$A),MATCH(O$1,[3]characters!$2:$2,0)-MATCH($K$1,[3]characters!$2:$2,0)+2),MATCH(O$1,[3]characters!$2:$2,0)-MATCH($K$1,[3]characters!$2:$2,0)+2,FALSE)</f>
        <v>Unknown</v>
      </c>
      <c r="P45" s="5">
        <f ca="1">VLOOKUP($K45,OFFSET([2]enemies!$A$1,0,0,COUNTA([2]enemies!$A:$A),MATCH(P$1,[2]enemies!$2:$2,0)-MATCH($K$1,[2]enemies!$2:$2,0)+1),MATCH(P$1,[2]enemies!$2:$2,0)-MATCH($K$1,[2]enemies!$2:$2,0)+1,FALSE)</f>
        <v>15</v>
      </c>
      <c r="Q45" s="6">
        <v>2</v>
      </c>
      <c r="R45" s="42">
        <v>7.5</v>
      </c>
      <c r="S45" s="37">
        <v>10</v>
      </c>
      <c r="T45" s="6">
        <v>0</v>
      </c>
      <c r="U45" s="5" t="str">
        <f ca="1">VLOOKUP($V45,OFFSET([4]enemy_skill_sets!$B$1,0,0,COUNTA([4]enemy_skill_sets!$B:$B),MATCH(L$1,[4]enemy_skill_sets!$1:$1,0)-MATCH($V$1,[4]enemy_skill_sets!$1:$1,0)+2),MATCH(L$1,[4]enemy_skill_sets!$1:$1,0)-MATCH($V$1,[4]enemy_skill_sets!$1:$1,0)+2,FALSE)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5" s="5">
        <f ca="1">VLOOKUP($K45,OFFSET([2]enemies!$A$1,0,0,COUNTA([2]enemies!$A:$A),MATCH(V$1,[2]enemies!$2:$2,0)-MATCH($K$1,[2]enemies!$2:$2,0)+1),MATCH(V$1,[2]enemies!$2:$2,0)-MATCH($K$1,[2]enemies!$2:$2,0)+1,FALSE)</f>
        <v>0</v>
      </c>
      <c r="W45" s="7">
        <v>0</v>
      </c>
      <c r="X45" s="7">
        <v>50</v>
      </c>
      <c r="Y45" s="7">
        <v>1</v>
      </c>
      <c r="Z45" s="26">
        <f ca="1">VLOOKUP($K45,OFFSET([2]enemies!$A$1,0,0,COUNTA([2]enemies!$A:$A),MATCH(Z$1,[2]enemies!$2:$2,0)-MATCH($K$1,[2]enemies!$2:$2,0)+1),MATCH(Z$1,[2]enemies!$2:$2,0)-MATCH($K$1,[2]enemies!$2:$2,0)+1,FALSE)</f>
        <v>2</v>
      </c>
      <c r="AA45" s="20">
        <f>K45</f>
        <v>118</v>
      </c>
      <c r="AB45" s="5" t="str">
        <f ca="1">IFERROR(VLOOKUP($AA45,OFFSET([3]characters!$A$1,0,0,COUNTA([3]characters!$A:$A),MATCH(AB$1,[3]characters!$2:$2,0)-MATCH("character_id",[3]characters!$2:$2,0)+1),MATCH(AB$1,[3]characters!$2:$2,0)-MATCH("character_id",[3]characters!$2:$2,0)+1,FALSE),"")</f>
        <v>ゴールドチック</v>
      </c>
      <c r="AC45" s="5">
        <f ca="1">IFERROR(VLOOKUP($AA45,OFFSET([3]characters!$A$1,0,0,COUNTA([3]characters!$A:$A),MATCH(AC$1,[3]characters!$2:$2,0)-MATCH("character_id",[3]characters!$2:$2,0)+1),MATCH(AC$1,[3]characters!$2:$2,0)-MATCH("character_id",[3]characters!$2:$2,0)+1,FALSE),"")</f>
        <v>4</v>
      </c>
      <c r="AD45" s="5" t="str">
        <f ca="1">IFERROR(VLOOKUP($AA45,OFFSET([3]characters!$A$1,0,0,COUNTA([3]characters!$A:$A),MATCH(AD$1,[3]characters!$2:$2,0)-MATCH("character_id",[3]characters!$2:$2,0)+1),MATCH(AD$1,[3]characters!$2:$2,0)-MATCH("character_id",[3]characters!$2:$2,0)+1,FALSE),"")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45" s="39">
        <v>1</v>
      </c>
      <c r="AF45" s="43">
        <f ca="1">AC45</f>
        <v>4</v>
      </c>
      <c r="AG45" s="9">
        <v>100</v>
      </c>
      <c r="AH45" s="39">
        <v>0</v>
      </c>
      <c r="AI45" s="39">
        <v>0</v>
      </c>
      <c r="AJ45" s="39">
        <v>0</v>
      </c>
      <c r="AK45" s="39">
        <v>0</v>
      </c>
      <c r="AL45" s="39">
        <v>1</v>
      </c>
    </row>
    <row r="46" spans="1:38" ht="21" customHeight="1">
      <c r="A46" s="21" t="str">
        <f t="shared" ref="A46:A50" ca="1" si="25">B46&amp;"_"&amp;C46&amp;"-"&amp;G46&amp;"/"&amp;K46&amp;"&lt;lv"&amp;Q46&amp;"&gt;s"&amp;Z46</f>
        <v>11209_2-4/117&lt;lv2&gt;s1</v>
      </c>
      <c r="B46" s="33">
        <v>11209</v>
      </c>
      <c r="C46" s="40">
        <v>2</v>
      </c>
      <c r="D46" s="20" t="str">
        <f t="shared" ref="D46:D50" si="26">B46&amp;"_"&amp;C46</f>
        <v>11209_2</v>
      </c>
      <c r="E46" s="5" t="str">
        <f ca="1">VLOOKUP($B46,OFFSET([1]quests!$A$1,0,0,COUNTA([1]quests!$A:$A),MATCH(E$1,[1]quests!$1:$1,0)-MATCH($B$1,[1]quests!$1:$1,0)+1),MATCH(E$1,[1]quests!$1:$1,0)-MATCH($B$1,[1]quests!$1:$1,0)+1,FALSE)</f>
        <v>【100万DL記念！】 初心者応援クエスト</v>
      </c>
      <c r="F46" s="5" t="str">
        <f ca="1">VLOOKUP($D46,OFFSET([1]stages!$A$1,0,0,COUNTA([1]stages!$A:$A),MATCH(F$1,[1]stages!$2:$2,0)-MATCH($D$1,[1]stages!$2:$2,0)+1),MATCH(F$1,[1]stages!$2:$2,0)-MATCH($D$1,[1]stages!$2:$2,0)+1,FALSE)</f>
        <v>ゴールドカジノ 【初級】</v>
      </c>
      <c r="G46" s="40">
        <v>4</v>
      </c>
      <c r="H46" s="20" t="str">
        <f t="shared" ref="H46:H50" si="27">B46&amp;"_"&amp;C46&amp;"-"&amp;G46</f>
        <v>11209_2-4</v>
      </c>
      <c r="I46" s="5">
        <f ca="1">VLOOKUP($H46,OFFSET(floors_beginners!$A$1,0,0,COUNTA(floors_beginners!$A:$A),MATCH(I$1,floors_beginners!$1:$1,0)-MATCH($H$1,floors_beginners!$1:$1,0)+1),MATCH(I$1,floors_beginners!$1:$1,0)-MATCH($H$1,floors_beginners!$1:$1,0)+1,FALSE)</f>
        <v>30</v>
      </c>
      <c r="J46" s="5">
        <f ca="1">VLOOKUP($H46,OFFSET(floors_beginners!$A$1,0,0,COUNTA(floors_beginners!$A:$A),MATCH(J$1,floors_beginners!$1:$1,0)-MATCH($H$1,floors_beginners!$1:$1,0)+1),MATCH(J$1,floors_beginners!$1:$1,0)-MATCH($H$1,floors_beginners!$1:$1,0)+1,FALSE)</f>
        <v>55</v>
      </c>
      <c r="K46" s="41">
        <v>117</v>
      </c>
      <c r="L46" s="26" t="str">
        <f ca="1">VLOOKUP($K46,OFFSET([2]enemies!$A$1,0,0,COUNTA([2]enemies!$A:$A),MATCH(L$1,[2]enemies!$2:$2,0)-MATCH($K$1,[2]enemies!$2:$2,0)+1),MATCH(L$1,[2]enemies!$2:$2,0)-MATCH($K$1,[2]enemies!$2:$2,0)+1,FALSE)</f>
        <v>ゴールドピヨピヨ</v>
      </c>
      <c r="M46" s="29" t="str">
        <f ca="1">VLOOKUP($K46,OFFSET([2]enemies!$A$1,0,0,COUNTA([2]enemies!$A:$A),MATCH(M$1,[2]enemies!$2:$2,0)-MATCH($K$1,[2]enemies!$2:$2,0)+1),MATCH(M$1,[2]enemies!$2:$2,0)-MATCH($K$1,[2]enemies!$2:$2,0)+1,FALSE)</f>
        <v>yellow</v>
      </c>
      <c r="N46" s="29" t="str">
        <f ca="1">VLOOKUP($K46,OFFSET([3]characters!$A$1,0,0,COUNTA([3]characters!$A:$A),MATCH(N$1,[3]characters!$2:$2,0)-MATCH($K$1,[3]characters!$2:$2,0)+1),MATCH(N$1,[3]characters!$2:$2,0)-MATCH($K$1,[3]characters!$2:$2,0)+1,FALSE)</f>
        <v>Material</v>
      </c>
      <c r="O46" s="28" t="str">
        <f ca="1">VLOOKUP($K46,OFFSET([3]characters!$A$1,0,0,COUNTA([3]characters!$A:$A),MATCH(O$1,[3]characters!$2:$2,0)-MATCH($K$1,[3]characters!$2:$2,0)+2),MATCH(O$1,[3]characters!$2:$2,0)-MATCH($K$1,[3]characters!$2:$2,0)+2,FALSE)</f>
        <v>Unknown</v>
      </c>
      <c r="P46" s="5">
        <f ca="1">VLOOKUP($K46,OFFSET([2]enemies!$A$1,0,0,COUNTA([2]enemies!$A:$A),MATCH(P$1,[2]enemies!$2:$2,0)-MATCH($K$1,[2]enemies!$2:$2,0)+1),MATCH(P$1,[2]enemies!$2:$2,0)-MATCH($K$1,[2]enemies!$2:$2,0)+1,FALSE)</f>
        <v>15</v>
      </c>
      <c r="Q46" s="6">
        <v>2</v>
      </c>
      <c r="R46" s="42">
        <v>7.5</v>
      </c>
      <c r="S46" s="37">
        <v>11</v>
      </c>
      <c r="T46" s="6">
        <v>0</v>
      </c>
      <c r="U46" s="5" t="str">
        <f ca="1">VLOOKUP($V46,OFFSET([4]enemy_skill_sets!$B$1,0,0,COUNTA([4]enemy_skill_sets!$B:$B),MATCH(L$1,[4]enemy_skill_sets!$1:$1,0)-MATCH($V$1,[4]enemy_skill_sets!$1:$1,0)+2),MATCH(L$1,[4]enemy_skill_sets!$1:$1,0)-MATCH($V$1,[4]enemy_skill_sets!$1:$1,0)+2,FALSE)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6" s="5">
        <f ca="1">VLOOKUP($K46,OFFSET([2]enemies!$A$1,0,0,COUNTA([2]enemies!$A:$A),MATCH(V$1,[2]enemies!$2:$2,0)-MATCH($K$1,[2]enemies!$2:$2,0)+1),MATCH(V$1,[2]enemies!$2:$2,0)-MATCH($K$1,[2]enemies!$2:$2,0)+1,FALSE)</f>
        <v>0</v>
      </c>
      <c r="W46" s="7">
        <v>1</v>
      </c>
      <c r="X46" s="7">
        <v>20</v>
      </c>
      <c r="Y46" s="7">
        <v>0</v>
      </c>
      <c r="Z46" s="26">
        <f ca="1">VLOOKUP($K46,OFFSET([2]enemies!$A$1,0,0,COUNTA([2]enemies!$A:$A),MATCH(Z$1,[2]enemies!$2:$2,0)-MATCH($K$1,[2]enemies!$2:$2,0)+1),MATCH(Z$1,[2]enemies!$2:$2,0)-MATCH($K$1,[2]enemies!$2:$2,0)+1,FALSE)</f>
        <v>1</v>
      </c>
      <c r="AA46" s="20">
        <f t="shared" ref="AA46:AA50" si="28">K46</f>
        <v>117</v>
      </c>
      <c r="AB46" s="5" t="str">
        <f ca="1">IFERROR(VLOOKUP($AA46,OFFSET([3]characters!$A$1,0,0,COUNTA([3]characters!$A:$A),MATCH(AB$1,[3]characters!$2:$2,0)-MATCH("character_id",[3]characters!$2:$2,0)+1),MATCH(AB$1,[3]characters!$2:$2,0)-MATCH("character_id",[3]characters!$2:$2,0)+1,FALSE),"")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46" s="5">
        <f ca="1">IFERROR(VLOOKUP($AA46,OFFSET([3]characters!$A$1,0,0,COUNTA([3]characters!$A:$A),MATCH(AC$1,[3]characters!$2:$2,0)-MATCH("character_id",[3]characters!$2:$2,0)+1),MATCH(AC$1,[3]characters!$2:$2,0)-MATCH("character_id",[3]characters!$2:$2,0)+1,FALSE),"")</f>
        <v>3</v>
      </c>
      <c r="AD46" s="5" t="str">
        <f ca="1">IFERROR(VLOOKUP($AA46,OFFSET([3]characters!$A$1,0,0,COUNTA([3]characters!$A:$A),MATCH(AD$1,[3]characters!$2:$2,0)-MATCH("character_id",[3]characters!$2:$2,0)+1),MATCH(AD$1,[3]characters!$2:$2,0)-MATCH("character_id",[3]characters!$2:$2,0)+1,FALSE),"")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46" s="39">
        <v>1</v>
      </c>
      <c r="AF46" s="43">
        <f t="shared" ref="AF46:AF50" ca="1" si="29">AC46</f>
        <v>3</v>
      </c>
      <c r="AG46" s="9">
        <v>100</v>
      </c>
      <c r="AH46" s="39">
        <v>0</v>
      </c>
      <c r="AI46" s="39">
        <v>0</v>
      </c>
      <c r="AJ46" s="39">
        <v>0</v>
      </c>
      <c r="AK46" s="39">
        <v>0</v>
      </c>
      <c r="AL46" s="39">
        <v>1</v>
      </c>
    </row>
    <row r="47" spans="1:38" ht="21" customHeight="1">
      <c r="A47" s="21" t="str">
        <f t="shared" ca="1" si="25"/>
        <v>11209_2-4/1&lt;lv5&gt;s1</v>
      </c>
      <c r="B47" s="33">
        <v>11209</v>
      </c>
      <c r="C47" s="40">
        <v>2</v>
      </c>
      <c r="D47" s="20" t="str">
        <f t="shared" si="26"/>
        <v>11209_2</v>
      </c>
      <c r="E47" s="5" t="str">
        <f ca="1">VLOOKUP($B47,OFFSET([1]quests!$A$1,0,0,COUNTA([1]quests!$A:$A),MATCH(E$1,[1]quests!$1:$1,0)-MATCH($B$1,[1]quests!$1:$1,0)+1),MATCH(E$1,[1]quests!$1:$1,0)-MATCH($B$1,[1]quests!$1:$1,0)+1,FALSE)</f>
        <v>【100万DL記念！】 初心者応援クエスト</v>
      </c>
      <c r="F47" s="5" t="str">
        <f ca="1">VLOOKUP($D47,OFFSET([1]stages!$A$1,0,0,COUNTA([1]stages!$A:$A),MATCH(F$1,[1]stages!$2:$2,0)-MATCH($D$1,[1]stages!$2:$2,0)+1),MATCH(F$1,[1]stages!$2:$2,0)-MATCH($D$1,[1]stages!$2:$2,0)+1,FALSE)</f>
        <v>ゴールドカジノ 【初級】</v>
      </c>
      <c r="G47" s="40">
        <v>4</v>
      </c>
      <c r="H47" s="20" t="str">
        <f t="shared" si="27"/>
        <v>11209_2-4</v>
      </c>
      <c r="I47" s="5">
        <f ca="1">VLOOKUP($H47,OFFSET(floors_beginners!$A$1,0,0,COUNTA(floors_beginners!$A:$A),MATCH(I$1,floors_beginners!$1:$1,0)-MATCH($H$1,floors_beginners!$1:$1,0)+1),MATCH(I$1,floors_beginners!$1:$1,0)-MATCH($H$1,floors_beginners!$1:$1,0)+1,FALSE)</f>
        <v>30</v>
      </c>
      <c r="J47" s="5">
        <f ca="1">VLOOKUP($H47,OFFSET(floors_beginners!$A$1,0,0,COUNTA(floors_beginners!$A:$A),MATCH(J$1,floors_beginners!$1:$1,0)-MATCH($H$1,floors_beginners!$1:$1,0)+1),MATCH(J$1,floors_beginners!$1:$1,0)-MATCH($H$1,floors_beginners!$1:$1,0)+1,FALSE)</f>
        <v>55</v>
      </c>
      <c r="K47" s="41">
        <v>1</v>
      </c>
      <c r="L47" s="26" t="str">
        <f ca="1">VLOOKUP($K47,OFFSET([2]enemies!$A$1,0,0,COUNTA([2]enemies!$A:$A),MATCH(L$1,[2]enemies!$2:$2,0)-MATCH($K$1,[2]enemies!$2:$2,0)+1),MATCH(L$1,[2]enemies!$2:$2,0)-MATCH($K$1,[2]enemies!$2:$2,0)+1,FALSE)</f>
        <v>ジェリー</v>
      </c>
      <c r="M47" s="29" t="str">
        <f ca="1">VLOOKUP($K47,OFFSET([2]enemies!$A$1,0,0,COUNTA([2]enemies!$A:$A),MATCH(M$1,[2]enemies!$2:$2,0)-MATCH($K$1,[2]enemies!$2:$2,0)+1),MATCH(M$1,[2]enemies!$2:$2,0)-MATCH($K$1,[2]enemies!$2:$2,0)+1,FALSE)</f>
        <v>red</v>
      </c>
      <c r="N47" s="29" t="str">
        <f ca="1">VLOOKUP($K47,OFFSET([3]characters!$A$1,0,0,COUNTA([3]characters!$A:$A),MATCH(N$1,[3]characters!$2:$2,0)-MATCH($K$1,[3]characters!$2:$2,0)+1),MATCH(N$1,[3]characters!$2:$2,0)-MATCH($K$1,[3]characters!$2:$2,0)+1,FALSE)</f>
        <v>Drop1T</v>
      </c>
      <c r="O47" s="28" t="str">
        <f ca="1">VLOOKUP($K47,OFFSET([3]characters!$A$1,0,0,COUNTA([3]characters!$A:$A),MATCH(O$1,[3]characters!$2:$2,0)-MATCH($K$1,[3]characters!$2:$2,0)+2),MATCH(O$1,[3]characters!$2:$2,0)-MATCH($K$1,[3]characters!$2:$2,0)+2,FALSE)</f>
        <v>Unknown</v>
      </c>
      <c r="P47" s="5">
        <f ca="1">VLOOKUP($K47,OFFSET([2]enemies!$A$1,0,0,COUNTA([2]enemies!$A:$A),MATCH(P$1,[2]enemies!$2:$2,0)-MATCH($K$1,[2]enemies!$2:$2,0)+1),MATCH(P$1,[2]enemies!$2:$2,0)-MATCH($K$1,[2]enemies!$2:$2,0)+1,FALSE)</f>
        <v>15</v>
      </c>
      <c r="Q47" s="6">
        <v>5</v>
      </c>
      <c r="R47" s="37">
        <v>1</v>
      </c>
      <c r="S47" s="37">
        <v>1</v>
      </c>
      <c r="T47" s="6">
        <v>0</v>
      </c>
      <c r="U47" s="5" t="str">
        <f ca="1">VLOOKUP($V47,OFFSET([4]enemy_skill_sets!$B$1,0,0,COUNTA([4]enemy_skill_sets!$B:$B),MATCH(L$1,[4]enemy_skill_sets!$1:$1,0)-MATCH($V$1,[4]enemy_skill_sets!$1:$1,0)+2),MATCH(L$1,[4]enemy_skill_sets!$1:$1,0)-MATCH($V$1,[4]enemy_skill_sets!$1:$1,0)+2,FALSE)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7" s="5">
        <f ca="1">VLOOKUP($K47,OFFSET([2]enemies!$A$1,0,0,COUNTA([2]enemies!$A:$A),MATCH(V$1,[2]enemies!$2:$2,0)-MATCH($K$1,[2]enemies!$2:$2,0)+1),MATCH(V$1,[2]enemies!$2:$2,0)-MATCH($K$1,[2]enemies!$2:$2,0)+1,FALSE)</f>
        <v>0</v>
      </c>
      <c r="W47" s="7">
        <v>0</v>
      </c>
      <c r="X47" s="7">
        <v>20</v>
      </c>
      <c r="Y47" s="7">
        <v>0</v>
      </c>
      <c r="Z47" s="26">
        <f ca="1">VLOOKUP($K47,OFFSET([2]enemies!$A$1,0,0,COUNTA([2]enemies!$A:$A),MATCH(Z$1,[2]enemies!$2:$2,0)-MATCH($K$1,[2]enemies!$2:$2,0)+1),MATCH(Z$1,[2]enemies!$2:$2,0)-MATCH($K$1,[2]enemies!$2:$2,0)+1,FALSE)</f>
        <v>1</v>
      </c>
      <c r="AA47" s="20">
        <f t="shared" si="28"/>
        <v>1</v>
      </c>
      <c r="AB47" s="5" t="str">
        <f ca="1">IFERROR(VLOOKUP($AA47,OFFSET([3]characters!$A$1,0,0,COUNTA([3]characters!$A:$A),MATCH(AB$1,[3]characters!$2:$2,0)-MATCH("character_id",[3]characters!$2:$2,0)+1),MATCH(AB$1,[3]characters!$2:$2,0)-MATCH("character_id",[3]characters!$2:$2,0)+1,FALSE),"")</f>
        <v>ジェリー</v>
      </c>
      <c r="AC47" s="5">
        <f ca="1">IFERROR(VLOOKUP($AA47,OFFSET([3]characters!$A$1,0,0,COUNTA([3]characters!$A:$A),MATCH(AC$1,[3]characters!$2:$2,0)-MATCH("character_id",[3]characters!$2:$2,0)+1),MATCH(AC$1,[3]characters!$2:$2,0)-MATCH("character_id",[3]characters!$2:$2,0)+1,FALSE),"")</f>
        <v>1</v>
      </c>
      <c r="AD47" s="5" t="str">
        <f ca="1">IFERROR(VLOOKUP($AA47,OFFSET([3]characters!$A$1,0,0,COUNTA([3]characters!$A:$A),MATCH(AD$1,[3]characters!$2:$2,0)-MATCH("character_id",[3]characters!$2:$2,0)+1),MATCH(AD$1,[3]characters!$2:$2,0)-MATCH("character_id",[3]characters!$2:$2,0)+1,FALSE),"")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7" s="39">
        <v>1</v>
      </c>
      <c r="AF47" s="43">
        <f t="shared" ca="1" si="29"/>
        <v>1</v>
      </c>
      <c r="AG47" s="9">
        <v>0</v>
      </c>
      <c r="AH47" s="39">
        <v>0</v>
      </c>
      <c r="AI47" s="39">
        <v>0</v>
      </c>
      <c r="AJ47" s="39">
        <v>0</v>
      </c>
      <c r="AK47" s="39">
        <v>0</v>
      </c>
      <c r="AL47" s="39">
        <v>1</v>
      </c>
    </row>
    <row r="48" spans="1:38" ht="21" customHeight="1">
      <c r="A48" s="21" t="str">
        <f t="shared" ca="1" si="25"/>
        <v>11209_2-4/3&lt;lv5&gt;s2</v>
      </c>
      <c r="B48" s="33">
        <v>11209</v>
      </c>
      <c r="C48" s="40">
        <v>2</v>
      </c>
      <c r="D48" s="20" t="str">
        <f t="shared" si="26"/>
        <v>11209_2</v>
      </c>
      <c r="E48" s="5" t="str">
        <f ca="1">VLOOKUP($B48,OFFSET([1]quests!$A$1,0,0,COUNTA([1]quests!$A:$A),MATCH(E$1,[1]quests!$1:$1,0)-MATCH($B$1,[1]quests!$1:$1,0)+1),MATCH(E$1,[1]quests!$1:$1,0)-MATCH($B$1,[1]quests!$1:$1,0)+1,FALSE)</f>
        <v>【100万DL記念！】 初心者応援クエスト</v>
      </c>
      <c r="F48" s="5" t="str">
        <f ca="1">VLOOKUP($D48,OFFSET([1]stages!$A$1,0,0,COUNTA([1]stages!$A:$A),MATCH(F$1,[1]stages!$2:$2,0)-MATCH($D$1,[1]stages!$2:$2,0)+1),MATCH(F$1,[1]stages!$2:$2,0)-MATCH($D$1,[1]stages!$2:$2,0)+1,FALSE)</f>
        <v>ゴールドカジノ 【初級】</v>
      </c>
      <c r="G48" s="40">
        <v>4</v>
      </c>
      <c r="H48" s="20" t="str">
        <f t="shared" si="27"/>
        <v>11209_2-4</v>
      </c>
      <c r="I48" s="5">
        <f ca="1">VLOOKUP($H48,OFFSET(floors_beginners!$A$1,0,0,COUNTA(floors_beginners!$A:$A),MATCH(I$1,floors_beginners!$1:$1,0)-MATCH($H$1,floors_beginners!$1:$1,0)+1),MATCH(I$1,floors_beginners!$1:$1,0)-MATCH($H$1,floors_beginners!$1:$1,0)+1,FALSE)</f>
        <v>30</v>
      </c>
      <c r="J48" s="5">
        <f ca="1">VLOOKUP($H48,OFFSET(floors_beginners!$A$1,0,0,COUNTA(floors_beginners!$A:$A),MATCH(J$1,floors_beginners!$1:$1,0)-MATCH($H$1,floors_beginners!$1:$1,0)+1),MATCH(J$1,floors_beginners!$1:$1,0)-MATCH($H$1,floors_beginners!$1:$1,0)+1,FALSE)</f>
        <v>55</v>
      </c>
      <c r="K48" s="41">
        <v>3</v>
      </c>
      <c r="L48" s="26" t="str">
        <f ca="1">VLOOKUP($K48,OFFSET([2]enemies!$A$1,0,0,COUNTA([2]enemies!$A:$A),MATCH(L$1,[2]enemies!$2:$2,0)-MATCH($K$1,[2]enemies!$2:$2,0)+1),MATCH(L$1,[2]enemies!$2:$2,0)-MATCH($K$1,[2]enemies!$2:$2,0)+1,FALSE)</f>
        <v>エージェント ジョー</v>
      </c>
      <c r="M48" s="29" t="str">
        <f ca="1">VLOOKUP($K48,OFFSET([2]enemies!$A$1,0,0,COUNTA([2]enemies!$A:$A),MATCH(M$1,[2]enemies!$2:$2,0)-MATCH($K$1,[2]enemies!$2:$2,0)+1),MATCH(M$1,[2]enemies!$2:$2,0)-MATCH($K$1,[2]enemies!$2:$2,0)+1,FALSE)</f>
        <v>green</v>
      </c>
      <c r="N48" s="29" t="str">
        <f ca="1">VLOOKUP($K48,OFFSET([3]characters!$A$1,0,0,COUNTA([3]characters!$A:$A),MATCH(N$1,[3]characters!$2:$2,0)-MATCH($K$1,[3]characters!$2:$2,0)+1),MATCH(N$1,[3]characters!$2:$2,0)-MATCH($K$1,[3]characters!$2:$2,0)+1,FALSE)</f>
        <v>Drop1T</v>
      </c>
      <c r="O48" s="28" t="str">
        <f ca="1">VLOOKUP($K48,OFFSET([3]characters!$A$1,0,0,COUNTA([3]characters!$A:$A),MATCH(O$1,[3]characters!$2:$2,0)-MATCH($K$1,[3]characters!$2:$2,0)+2),MATCH(O$1,[3]characters!$2:$2,0)-MATCH($K$1,[3]characters!$2:$2,0)+2,FALSE)</f>
        <v>Unknown</v>
      </c>
      <c r="P48" s="5">
        <f ca="1">VLOOKUP($K48,OFFSET([2]enemies!$A$1,0,0,COUNTA([2]enemies!$A:$A),MATCH(P$1,[2]enemies!$2:$2,0)-MATCH($K$1,[2]enemies!$2:$2,0)+1),MATCH(P$1,[2]enemies!$2:$2,0)-MATCH($K$1,[2]enemies!$2:$2,0)+1,FALSE)</f>
        <v>15</v>
      </c>
      <c r="Q48" s="6">
        <v>5</v>
      </c>
      <c r="R48" s="37">
        <v>1</v>
      </c>
      <c r="S48" s="37">
        <v>1</v>
      </c>
      <c r="T48" s="6">
        <v>0</v>
      </c>
      <c r="U48" s="5" t="str">
        <f ca="1">VLOOKUP($V48,OFFSET([4]enemy_skill_sets!$B$1,0,0,COUNTA([4]enemy_skill_sets!$B:$B),MATCH(L$1,[4]enemy_skill_sets!$1:$1,0)-MATCH($V$1,[4]enemy_skill_sets!$1:$1,0)+2),MATCH(L$1,[4]enemy_skill_sets!$1:$1,0)-MATCH($V$1,[4]enemy_skill_sets!$1:$1,0)+2,FALSE)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8" s="5">
        <f ca="1">VLOOKUP($K48,OFFSET([2]enemies!$A$1,0,0,COUNTA([2]enemies!$A:$A),MATCH(V$1,[2]enemies!$2:$2,0)-MATCH($K$1,[2]enemies!$2:$2,0)+1),MATCH(V$1,[2]enemies!$2:$2,0)-MATCH($K$1,[2]enemies!$2:$2,0)+1,FALSE)</f>
        <v>0</v>
      </c>
      <c r="W48" s="7">
        <v>0</v>
      </c>
      <c r="X48" s="7">
        <v>20</v>
      </c>
      <c r="Y48" s="7">
        <v>0</v>
      </c>
      <c r="Z48" s="26">
        <f ca="1">VLOOKUP($K48,OFFSET([2]enemies!$A$1,0,0,COUNTA([2]enemies!$A:$A),MATCH(Z$1,[2]enemies!$2:$2,0)-MATCH($K$1,[2]enemies!$2:$2,0)+1),MATCH(Z$1,[2]enemies!$2:$2,0)-MATCH($K$1,[2]enemies!$2:$2,0)+1,FALSE)</f>
        <v>2</v>
      </c>
      <c r="AA48" s="20">
        <f t="shared" si="28"/>
        <v>3</v>
      </c>
      <c r="AB48" s="5" t="str">
        <f ca="1">IFERROR(VLOOKUP($AA48,OFFSET([3]characters!$A$1,0,0,COUNTA([3]characters!$A:$A),MATCH(AB$1,[3]characters!$2:$2,0)-MATCH("character_id",[3]characters!$2:$2,0)+1),MATCH(AB$1,[3]characters!$2:$2,0)-MATCH("character_id",[3]characters!$2:$2,0)+1,FALSE),"")</f>
        <v>エージェント ジョー</v>
      </c>
      <c r="AC48" s="5">
        <f ca="1">IFERROR(VLOOKUP($AA48,OFFSET([3]characters!$A$1,0,0,COUNTA([3]characters!$A:$A),MATCH(AC$1,[3]characters!$2:$2,0)-MATCH("character_id",[3]characters!$2:$2,0)+1),MATCH(AC$1,[3]characters!$2:$2,0)-MATCH("character_id",[3]characters!$2:$2,0)+1,FALSE),"")</f>
        <v>1</v>
      </c>
      <c r="AD48" s="5" t="str">
        <f ca="1">IFERROR(VLOOKUP($AA48,OFFSET([3]characters!$A$1,0,0,COUNTA([3]characters!$A:$A),MATCH(AD$1,[3]characters!$2:$2,0)-MATCH("character_id",[3]characters!$2:$2,0)+1),MATCH(AD$1,[3]characters!$2:$2,0)-MATCH("character_id",[3]characters!$2:$2,0)+1,FALSE),"")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8" s="39">
        <v>1</v>
      </c>
      <c r="AF48" s="43">
        <f t="shared" ca="1" si="29"/>
        <v>1</v>
      </c>
      <c r="AG48" s="9">
        <v>0</v>
      </c>
      <c r="AH48" s="39">
        <v>0</v>
      </c>
      <c r="AI48" s="39">
        <v>0</v>
      </c>
      <c r="AJ48" s="39">
        <v>0</v>
      </c>
      <c r="AK48" s="39">
        <v>0</v>
      </c>
      <c r="AL48" s="39">
        <v>1</v>
      </c>
    </row>
    <row r="49" spans="1:38" ht="21" customHeight="1">
      <c r="A49" s="21" t="str">
        <f t="shared" ca="1" si="25"/>
        <v>11209_2-4/5&lt;lv5&gt;s3</v>
      </c>
      <c r="B49" s="33">
        <v>11209</v>
      </c>
      <c r="C49" s="40">
        <v>2</v>
      </c>
      <c r="D49" s="20" t="str">
        <f t="shared" si="26"/>
        <v>11209_2</v>
      </c>
      <c r="E49" s="5" t="str">
        <f ca="1">VLOOKUP($B49,OFFSET([1]quests!$A$1,0,0,COUNTA([1]quests!$A:$A),MATCH(E$1,[1]quests!$1:$1,0)-MATCH($B$1,[1]quests!$1:$1,0)+1),MATCH(E$1,[1]quests!$1:$1,0)-MATCH($B$1,[1]quests!$1:$1,0)+1,FALSE)</f>
        <v>【100万DL記念！】 初心者応援クエスト</v>
      </c>
      <c r="F49" s="5" t="str">
        <f ca="1">VLOOKUP($D49,OFFSET([1]stages!$A$1,0,0,COUNTA([1]stages!$A:$A),MATCH(F$1,[1]stages!$2:$2,0)-MATCH($D$1,[1]stages!$2:$2,0)+1),MATCH(F$1,[1]stages!$2:$2,0)-MATCH($D$1,[1]stages!$2:$2,0)+1,FALSE)</f>
        <v>ゴールドカジノ 【初級】</v>
      </c>
      <c r="G49" s="40">
        <v>4</v>
      </c>
      <c r="H49" s="20" t="str">
        <f t="shared" si="27"/>
        <v>11209_2-4</v>
      </c>
      <c r="I49" s="5">
        <f ca="1">VLOOKUP($H49,OFFSET(floors_beginners!$A$1,0,0,COUNTA(floors_beginners!$A:$A),MATCH(I$1,floors_beginners!$1:$1,0)-MATCH($H$1,floors_beginners!$1:$1,0)+1),MATCH(I$1,floors_beginners!$1:$1,0)-MATCH($H$1,floors_beginners!$1:$1,0)+1,FALSE)</f>
        <v>30</v>
      </c>
      <c r="J49" s="5">
        <f ca="1">VLOOKUP($H49,OFFSET(floors_beginners!$A$1,0,0,COUNTA(floors_beginners!$A:$A),MATCH(J$1,floors_beginners!$1:$1,0)-MATCH($H$1,floors_beginners!$1:$1,0)+1),MATCH(J$1,floors_beginners!$1:$1,0)-MATCH($H$1,floors_beginners!$1:$1,0)+1,FALSE)</f>
        <v>55</v>
      </c>
      <c r="K49" s="41">
        <v>5</v>
      </c>
      <c r="L49" s="26" t="str">
        <f ca="1">VLOOKUP($K49,OFFSET([2]enemies!$A$1,0,0,COUNTA([2]enemies!$A:$A),MATCH(L$1,[2]enemies!$2:$2,0)-MATCH($K$1,[2]enemies!$2:$2,0)+1),MATCH(L$1,[2]enemies!$2:$2,0)-MATCH($K$1,[2]enemies!$2:$2,0)+1,FALSE)</f>
        <v>パトドッグ ポチ</v>
      </c>
      <c r="M49" s="29" t="str">
        <f ca="1">VLOOKUP($K49,OFFSET([2]enemies!$A$1,0,0,COUNTA([2]enemies!$A:$A),MATCH(M$1,[2]enemies!$2:$2,0)-MATCH($K$1,[2]enemies!$2:$2,0)+1),MATCH(M$1,[2]enemies!$2:$2,0)-MATCH($K$1,[2]enemies!$2:$2,0)+1,FALSE)</f>
        <v>blue</v>
      </c>
      <c r="N49" s="29" t="str">
        <f ca="1">VLOOKUP($K49,OFFSET([3]characters!$A$1,0,0,COUNTA([3]characters!$A:$A),MATCH(N$1,[3]characters!$2:$2,0)-MATCH($K$1,[3]characters!$2:$2,0)+1),MATCH(N$1,[3]characters!$2:$2,0)-MATCH($K$1,[3]characters!$2:$2,0)+1,FALSE)</f>
        <v>Drop1T</v>
      </c>
      <c r="O49" s="28" t="str">
        <f ca="1">VLOOKUP($K49,OFFSET([3]characters!$A$1,0,0,COUNTA([3]characters!$A:$A),MATCH(O$1,[3]characters!$2:$2,0)-MATCH($K$1,[3]characters!$2:$2,0)+2),MATCH(O$1,[3]characters!$2:$2,0)-MATCH($K$1,[3]characters!$2:$2,0)+2,FALSE)</f>
        <v>Unknown</v>
      </c>
      <c r="P49" s="5">
        <f ca="1">VLOOKUP($K49,OFFSET([2]enemies!$A$1,0,0,COUNTA([2]enemies!$A:$A),MATCH(P$1,[2]enemies!$2:$2,0)-MATCH($K$1,[2]enemies!$2:$2,0)+1),MATCH(P$1,[2]enemies!$2:$2,0)-MATCH($K$1,[2]enemies!$2:$2,0)+1,FALSE)</f>
        <v>15</v>
      </c>
      <c r="Q49" s="6">
        <v>5</v>
      </c>
      <c r="R49" s="37">
        <v>1</v>
      </c>
      <c r="S49" s="37">
        <v>1</v>
      </c>
      <c r="T49" s="6">
        <v>0</v>
      </c>
      <c r="U49" s="5" t="str">
        <f ca="1">VLOOKUP($V49,OFFSET([4]enemy_skill_sets!$B$1,0,0,COUNTA([4]enemy_skill_sets!$B:$B),MATCH(L$1,[4]enemy_skill_sets!$1:$1,0)-MATCH($V$1,[4]enemy_skill_sets!$1:$1,0)+2),MATCH(L$1,[4]enemy_skill_sets!$1:$1,0)-MATCH($V$1,[4]enemy_skill_sets!$1:$1,0)+2,FALSE)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9" s="5">
        <f ca="1">VLOOKUP($K49,OFFSET([2]enemies!$A$1,0,0,COUNTA([2]enemies!$A:$A),MATCH(V$1,[2]enemies!$2:$2,0)-MATCH($K$1,[2]enemies!$2:$2,0)+1),MATCH(V$1,[2]enemies!$2:$2,0)-MATCH($K$1,[2]enemies!$2:$2,0)+1,FALSE)</f>
        <v>0</v>
      </c>
      <c r="W49" s="7">
        <v>0</v>
      </c>
      <c r="X49" s="7">
        <v>20</v>
      </c>
      <c r="Y49" s="7">
        <v>0</v>
      </c>
      <c r="Z49" s="26">
        <f ca="1">VLOOKUP($K49,OFFSET([2]enemies!$A$1,0,0,COUNTA([2]enemies!$A:$A),MATCH(Z$1,[2]enemies!$2:$2,0)-MATCH($K$1,[2]enemies!$2:$2,0)+1),MATCH(Z$1,[2]enemies!$2:$2,0)-MATCH($K$1,[2]enemies!$2:$2,0)+1,FALSE)</f>
        <v>3</v>
      </c>
      <c r="AA49" s="20">
        <f t="shared" si="28"/>
        <v>5</v>
      </c>
      <c r="AB49" s="5" t="str">
        <f ca="1">IFERROR(VLOOKUP($AA49,OFFSET([3]characters!$A$1,0,0,COUNTA([3]characters!$A:$A),MATCH(AB$1,[3]characters!$2:$2,0)-MATCH("character_id",[3]characters!$2:$2,0)+1),MATCH(AB$1,[3]characters!$2:$2,0)-MATCH("character_id",[3]characters!$2:$2,0)+1,FALSE),"")</f>
        <v>パトドッグ ポチ</v>
      </c>
      <c r="AC49" s="5">
        <f ca="1">IFERROR(VLOOKUP($AA49,OFFSET([3]characters!$A$1,0,0,COUNTA([3]characters!$A:$A),MATCH(AC$1,[3]characters!$2:$2,0)-MATCH("character_id",[3]characters!$2:$2,0)+1),MATCH(AC$1,[3]characters!$2:$2,0)-MATCH("character_id",[3]characters!$2:$2,0)+1,FALSE),"")</f>
        <v>1</v>
      </c>
      <c r="AD49" s="5" t="str">
        <f ca="1">IFERROR(VLOOKUP($AA49,OFFSET([3]characters!$A$1,0,0,COUNTA([3]characters!$A:$A),MATCH(AD$1,[3]characters!$2:$2,0)-MATCH("character_id",[3]characters!$2:$2,0)+1),MATCH(AD$1,[3]characters!$2:$2,0)-MATCH("character_id",[3]characters!$2:$2,0)+1,FALSE),"")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49" s="39">
        <v>1</v>
      </c>
      <c r="AF49" s="43">
        <f t="shared" ca="1" si="29"/>
        <v>1</v>
      </c>
      <c r="AG49" s="9">
        <v>0</v>
      </c>
      <c r="AH49" s="39">
        <v>0</v>
      </c>
      <c r="AI49" s="39">
        <v>0</v>
      </c>
      <c r="AJ49" s="39">
        <v>0</v>
      </c>
      <c r="AK49" s="39">
        <v>0</v>
      </c>
      <c r="AL49" s="39">
        <v>1</v>
      </c>
    </row>
    <row r="50" spans="1:38" ht="21" customHeight="1">
      <c r="A50" s="21" t="str">
        <f t="shared" ca="1" si="25"/>
        <v>11209_2-4/7&lt;lv5&gt;s2</v>
      </c>
      <c r="B50" s="33">
        <v>11209</v>
      </c>
      <c r="C50" s="40">
        <v>2</v>
      </c>
      <c r="D50" s="20" t="str">
        <f t="shared" si="26"/>
        <v>11209_2</v>
      </c>
      <c r="E50" s="5" t="str">
        <f ca="1">VLOOKUP($B50,OFFSET([1]quests!$A$1,0,0,COUNTA([1]quests!$A:$A),MATCH(E$1,[1]quests!$1:$1,0)-MATCH($B$1,[1]quests!$1:$1,0)+1),MATCH(E$1,[1]quests!$1:$1,0)-MATCH($B$1,[1]quests!$1:$1,0)+1,FALSE)</f>
        <v>【100万DL記念！】 初心者応援クエスト</v>
      </c>
      <c r="F50" s="5" t="str">
        <f ca="1">VLOOKUP($D50,OFFSET([1]stages!$A$1,0,0,COUNTA([1]stages!$A:$A),MATCH(F$1,[1]stages!$2:$2,0)-MATCH($D$1,[1]stages!$2:$2,0)+1),MATCH(F$1,[1]stages!$2:$2,0)-MATCH($D$1,[1]stages!$2:$2,0)+1,FALSE)</f>
        <v>ゴールドカジノ 【初級】</v>
      </c>
      <c r="G50" s="40">
        <v>4</v>
      </c>
      <c r="H50" s="20" t="str">
        <f t="shared" si="27"/>
        <v>11209_2-4</v>
      </c>
      <c r="I50" s="5">
        <f ca="1">VLOOKUP($H50,OFFSET(floors_beginners!$A$1,0,0,COUNTA(floors_beginners!$A:$A),MATCH(I$1,floors_beginners!$1:$1,0)-MATCH($H$1,floors_beginners!$1:$1,0)+1),MATCH(I$1,floors_beginners!$1:$1,0)-MATCH($H$1,floors_beginners!$1:$1,0)+1,FALSE)</f>
        <v>30</v>
      </c>
      <c r="J50" s="5">
        <f ca="1">VLOOKUP($H50,OFFSET(floors_beginners!$A$1,0,0,COUNTA(floors_beginners!$A:$A),MATCH(J$1,floors_beginners!$1:$1,0)-MATCH($H$1,floors_beginners!$1:$1,0)+1),MATCH(J$1,floors_beginners!$1:$1,0)-MATCH($H$1,floors_beginners!$1:$1,0)+1,FALSE)</f>
        <v>55</v>
      </c>
      <c r="K50" s="41">
        <v>7</v>
      </c>
      <c r="L50" s="26" t="str">
        <f ca="1">VLOOKUP($K50,OFFSET([2]enemies!$A$1,0,0,COUNTA([2]enemies!$A:$A),MATCH(L$1,[2]enemies!$2:$2,0)-MATCH($K$1,[2]enemies!$2:$2,0)+1),MATCH(L$1,[2]enemies!$2:$2,0)-MATCH($K$1,[2]enemies!$2:$2,0)+1,FALSE)</f>
        <v>エレキポット</v>
      </c>
      <c r="M50" s="29" t="str">
        <f ca="1">VLOOKUP($K50,OFFSET([2]enemies!$A$1,0,0,COUNTA([2]enemies!$A:$A),MATCH(M$1,[2]enemies!$2:$2,0)-MATCH($K$1,[2]enemies!$2:$2,0)+1),MATCH(M$1,[2]enemies!$2:$2,0)-MATCH($K$1,[2]enemies!$2:$2,0)+1,FALSE)</f>
        <v>yellow</v>
      </c>
      <c r="N50" s="29" t="str">
        <f ca="1">VLOOKUP($K50,OFFSET([3]characters!$A$1,0,0,COUNTA([3]characters!$A:$A),MATCH(N$1,[3]characters!$2:$2,0)-MATCH($K$1,[3]characters!$2:$2,0)+1),MATCH(N$1,[3]characters!$2:$2,0)-MATCH($K$1,[3]characters!$2:$2,0)+1,FALSE)</f>
        <v>Drop1T</v>
      </c>
      <c r="O50" s="28" t="str">
        <f ca="1">VLOOKUP($K50,OFFSET([3]characters!$A$1,0,0,COUNTA([3]characters!$A:$A),MATCH(O$1,[3]characters!$2:$2,0)-MATCH($K$1,[3]characters!$2:$2,0)+2),MATCH(O$1,[3]characters!$2:$2,0)-MATCH($K$1,[3]characters!$2:$2,0)+2,FALSE)</f>
        <v>Unknown</v>
      </c>
      <c r="P50" s="5">
        <f ca="1">VLOOKUP($K50,OFFSET([2]enemies!$A$1,0,0,COUNTA([2]enemies!$A:$A),MATCH(P$1,[2]enemies!$2:$2,0)-MATCH($K$1,[2]enemies!$2:$2,0)+1),MATCH(P$1,[2]enemies!$2:$2,0)-MATCH($K$1,[2]enemies!$2:$2,0)+1,FALSE)</f>
        <v>15</v>
      </c>
      <c r="Q50" s="6">
        <v>5</v>
      </c>
      <c r="R50" s="37">
        <v>1</v>
      </c>
      <c r="S50" s="37">
        <v>1</v>
      </c>
      <c r="T50" s="6">
        <v>0</v>
      </c>
      <c r="U50" s="5" t="str">
        <f ca="1">VLOOKUP($V50,OFFSET([4]enemy_skill_sets!$B$1,0,0,COUNTA([4]enemy_skill_sets!$B:$B),MATCH(L$1,[4]enemy_skill_sets!$1:$1,0)-MATCH($V$1,[4]enemy_skill_sets!$1:$1,0)+2),MATCH(L$1,[4]enemy_skill_sets!$1:$1,0)-MATCH($V$1,[4]enemy_skill_sets!$1:$1,0)+2,FALSE)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50" s="5">
        <f ca="1">VLOOKUP($K50,OFFSET([2]enemies!$A$1,0,0,COUNTA([2]enemies!$A:$A),MATCH(V$1,[2]enemies!$2:$2,0)-MATCH($K$1,[2]enemies!$2:$2,0)+1),MATCH(V$1,[2]enemies!$2:$2,0)-MATCH($K$1,[2]enemies!$2:$2,0)+1,FALSE)</f>
        <v>0</v>
      </c>
      <c r="W50" s="7">
        <v>0</v>
      </c>
      <c r="X50" s="7">
        <v>20</v>
      </c>
      <c r="Y50" s="7">
        <v>0</v>
      </c>
      <c r="Z50" s="26">
        <f ca="1">VLOOKUP($K50,OFFSET([2]enemies!$A$1,0,0,COUNTA([2]enemies!$A:$A),MATCH(Z$1,[2]enemies!$2:$2,0)-MATCH($K$1,[2]enemies!$2:$2,0)+1),MATCH(Z$1,[2]enemies!$2:$2,0)-MATCH($K$1,[2]enemies!$2:$2,0)+1,FALSE)</f>
        <v>2</v>
      </c>
      <c r="AA50" s="20">
        <f t="shared" si="28"/>
        <v>7</v>
      </c>
      <c r="AB50" s="5" t="str">
        <f ca="1">IFERROR(VLOOKUP($AA50,OFFSET([3]characters!$A$1,0,0,COUNTA([3]characters!$A:$A),MATCH(AB$1,[3]characters!$2:$2,0)-MATCH("character_id",[3]characters!$2:$2,0)+1),MATCH(AB$1,[3]characters!$2:$2,0)-MATCH("character_id",[3]characters!$2:$2,0)+1,FALSE),"")</f>
        <v>エレキポット</v>
      </c>
      <c r="AC50" s="5">
        <f ca="1">IFERROR(VLOOKUP($AA50,OFFSET([3]characters!$A$1,0,0,COUNTA([3]characters!$A:$A),MATCH(AC$1,[3]characters!$2:$2,0)-MATCH("character_id",[3]characters!$2:$2,0)+1),MATCH(AC$1,[3]characters!$2:$2,0)-MATCH("character_id",[3]characters!$2:$2,0)+1,FALSE),"")</f>
        <v>1</v>
      </c>
      <c r="AD50" s="5" t="str">
        <f ca="1">IFERROR(VLOOKUP($AA50,OFFSET([3]characters!$A$1,0,0,COUNTA([3]characters!$A:$A),MATCH(AD$1,[3]characters!$2:$2,0)-MATCH("character_id",[3]characters!$2:$2,0)+1),MATCH(AD$1,[3]characters!$2:$2,0)-MATCH("character_id",[3]characters!$2:$2,0)+1,FALSE),"")</f>
        <v>Drop1T</v>
      </c>
      <c r="AE50" s="39">
        <v>1</v>
      </c>
      <c r="AF50" s="43">
        <f t="shared" ca="1" si="29"/>
        <v>1</v>
      </c>
      <c r="AG50" s="9">
        <v>0</v>
      </c>
      <c r="AH50" s="39">
        <v>0</v>
      </c>
      <c r="AI50" s="39">
        <v>0</v>
      </c>
      <c r="AJ50" s="39">
        <v>0</v>
      </c>
      <c r="AK50" s="39">
        <v>0</v>
      </c>
      <c r="AL50" s="39">
        <v>1</v>
      </c>
    </row>
    <row r="51" spans="1:38" ht="21" customHeight="1">
      <c r="A51" s="21" t="str">
        <f ca="1">B51&amp;"_"&amp;C51&amp;"-"&amp;G51&amp;"/"&amp;K51&amp;"&lt;lv"&amp;Q51&amp;"&gt;s"&amp;Z51</f>
        <v>11209_2-5/118&lt;lv1&gt;s2</v>
      </c>
      <c r="B51" s="33">
        <v>11209</v>
      </c>
      <c r="C51" s="40">
        <v>2</v>
      </c>
      <c r="D51" s="20" t="str">
        <f>B51&amp;"_"&amp;C51</f>
        <v>11209_2</v>
      </c>
      <c r="E51" s="5" t="str">
        <f ca="1">VLOOKUP($B51,OFFSET([1]quests!$A$1,0,0,COUNTA([1]quests!$A:$A),MATCH(E$1,[1]quests!$1:$1,0)-MATCH($B$1,[1]quests!$1:$1,0)+1),MATCH(E$1,[1]quests!$1:$1,0)-MATCH($B$1,[1]quests!$1:$1,0)+1,FALSE)</f>
        <v>【100万DL記念！】 初心者応援クエスト</v>
      </c>
      <c r="F51" s="5" t="str">
        <f ca="1">VLOOKUP($D51,OFFSET([1]stages!$A$1,0,0,COUNTA([1]stages!$A:$A),MATCH(F$1,[1]stages!$2:$2,0)-MATCH($D$1,[1]stages!$2:$2,0)+1),MATCH(F$1,[1]stages!$2:$2,0)-MATCH($D$1,[1]stages!$2:$2,0)+1,FALSE)</f>
        <v>ゴールドカジノ 【初級】</v>
      </c>
      <c r="G51" s="40">
        <v>5</v>
      </c>
      <c r="H51" s="20" t="str">
        <f>B51&amp;"_"&amp;C51&amp;"-"&amp;G51</f>
        <v>11209_2-5</v>
      </c>
      <c r="I51" s="5">
        <f ca="1">VLOOKUP($H51,OFFSET(floors_beginners!$A$1,0,0,COUNTA(floors_beginners!$A:$A),MATCH(I$1,floors_beginners!$1:$1,0)-MATCH($H$1,floors_beginners!$1:$1,0)+1),MATCH(I$1,floors_beginners!$1:$1,0)-MATCH($H$1,floors_beginners!$1:$1,0)+1,FALSE)</f>
        <v>45</v>
      </c>
      <c r="J51" s="5">
        <f ca="1">VLOOKUP($H51,OFFSET(floors_beginners!$A$1,0,0,COUNTA(floors_beginners!$A:$A),MATCH(J$1,floors_beginners!$1:$1,0)-MATCH($H$1,floors_beginners!$1:$1,0)+1),MATCH(J$1,floors_beginners!$1:$1,0)-MATCH($H$1,floors_beginners!$1:$1,0)+1,FALSE)</f>
        <v>45</v>
      </c>
      <c r="K51" s="41">
        <v>118</v>
      </c>
      <c r="L51" s="26" t="str">
        <f ca="1">VLOOKUP($K51,OFFSET([2]enemies!$A$1,0,0,COUNTA([2]enemies!$A:$A),MATCH(L$1,[2]enemies!$2:$2,0)-MATCH($K$1,[2]enemies!$2:$2,0)+1),MATCH(L$1,[2]enemies!$2:$2,0)-MATCH($K$1,[2]enemies!$2:$2,0)+1,FALSE)</f>
        <v>ゴールドチック</v>
      </c>
      <c r="M51" s="29" t="str">
        <f ca="1">VLOOKUP($K51,OFFSET([2]enemies!$A$1,0,0,COUNTA([2]enemies!$A:$A),MATCH(M$1,[2]enemies!$2:$2,0)-MATCH($K$1,[2]enemies!$2:$2,0)+1),MATCH(M$1,[2]enemies!$2:$2,0)-MATCH($K$1,[2]enemies!$2:$2,0)+1,FALSE)</f>
        <v>yellow</v>
      </c>
      <c r="N51" s="29" t="str">
        <f ca="1">VLOOKUP($K51,OFFSET([3]characters!$A$1,0,0,COUNTA([3]characters!$A:$A),MATCH(N$1,[3]characters!$2:$2,0)-MATCH($K$1,[3]characters!$2:$2,0)+1),MATCH(N$1,[3]characters!$2:$2,0)-MATCH($K$1,[3]characters!$2:$2,0)+1,FALSE)</f>
        <v>Material</v>
      </c>
      <c r="O51" s="28" t="str">
        <f ca="1">VLOOKUP($K51,OFFSET([3]characters!$A$1,0,0,COUNTA([3]characters!$A:$A),MATCH(O$1,[3]characters!$2:$2,0)-MATCH($K$1,[3]characters!$2:$2,0)+2),MATCH(O$1,[3]characters!$2:$2,0)-MATCH($K$1,[3]characters!$2:$2,0)+2,FALSE)</f>
        <v>Unknown</v>
      </c>
      <c r="P51" s="5">
        <f ca="1">VLOOKUP($K51,OFFSET([2]enemies!$A$1,0,0,COUNTA([2]enemies!$A:$A),MATCH(P$1,[2]enemies!$2:$2,0)-MATCH($K$1,[2]enemies!$2:$2,0)+1),MATCH(P$1,[2]enemies!$2:$2,0)-MATCH($K$1,[2]enemies!$2:$2,0)+1,FALSE)</f>
        <v>15</v>
      </c>
      <c r="Q51" s="6">
        <v>1</v>
      </c>
      <c r="R51" s="42">
        <v>10.5</v>
      </c>
      <c r="S51" s="37">
        <v>10</v>
      </c>
      <c r="T51" s="6">
        <v>0</v>
      </c>
      <c r="U51" s="5" t="str">
        <f ca="1">VLOOKUP($V51,OFFSET([4]enemy_skill_sets!$B$1,0,0,COUNTA([4]enemy_skill_sets!$B:$B),MATCH(L$1,[4]enemy_skill_sets!$1:$1,0)-MATCH($V$1,[4]enemy_skill_sets!$1:$1,0)+2),MATCH(L$1,[4]enemy_skill_sets!$1:$1,0)-MATCH($V$1,[4]enemy_skill_sets!$1:$1,0)+2,FALSE)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51" s="5">
        <v>0</v>
      </c>
      <c r="W51" s="7">
        <v>1</v>
      </c>
      <c r="X51" s="7">
        <v>100</v>
      </c>
      <c r="Y51" s="7">
        <v>1</v>
      </c>
      <c r="Z51" s="26">
        <f ca="1">VLOOKUP($K51,OFFSET([2]enemies!$A$1,0,0,COUNTA([2]enemies!$A:$A),MATCH(Z$1,[2]enemies!$2:$2,0)-MATCH($K$1,[2]enemies!$2:$2,0)+1),MATCH(Z$1,[2]enemies!$2:$2,0)-MATCH($K$1,[2]enemies!$2:$2,0)+1,FALSE)</f>
        <v>2</v>
      </c>
      <c r="AA51" s="20">
        <f>K51</f>
        <v>118</v>
      </c>
      <c r="AB51" s="5" t="str">
        <f ca="1">IFERROR(VLOOKUP($AA51,OFFSET([3]characters!$A$1,0,0,COUNTA([3]characters!$A:$A),MATCH(AB$1,[3]characters!$2:$2,0)-MATCH("character_id",[3]characters!$2:$2,0)+1),MATCH(AB$1,[3]characters!$2:$2,0)-MATCH("character_id",[3]characters!$2:$2,0)+1,FALSE),"")</f>
        <v>ゴールドチック</v>
      </c>
      <c r="AC51" s="5">
        <f ca="1">IFERROR(VLOOKUP($AA51,OFFSET([3]characters!$A$1,0,0,COUNTA([3]characters!$A:$A),MATCH(AC$1,[3]characters!$2:$2,0)-MATCH("character_id",[3]characters!$2:$2,0)+1),MATCH(AC$1,[3]characters!$2:$2,0)-MATCH("character_id",[3]characters!$2:$2,0)+1,FALSE),"")</f>
        <v>4</v>
      </c>
      <c r="AD51" s="5" t="str">
        <f ca="1">IFERROR(VLOOKUP($AA51,OFFSET([3]characters!$A$1,0,0,COUNTA([3]characters!$A:$A),MATCH(AD$1,[3]characters!$2:$2,0)-MATCH("character_id",[3]characters!$2:$2,0)+1),MATCH(AD$1,[3]characters!$2:$2,0)-MATCH("character_id",[3]characters!$2:$2,0)+1,FALSE),"")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51" s="39">
        <v>1</v>
      </c>
      <c r="AF51" s="43">
        <f ca="1">AC51</f>
        <v>4</v>
      </c>
      <c r="AG51" s="9">
        <v>100</v>
      </c>
      <c r="AH51" s="39">
        <v>0</v>
      </c>
      <c r="AI51" s="39">
        <v>0</v>
      </c>
      <c r="AJ51" s="39">
        <v>0</v>
      </c>
      <c r="AK51" s="39">
        <v>0</v>
      </c>
      <c r="AL51" s="39">
        <v>1</v>
      </c>
    </row>
    <row r="52" spans="1:38" ht="21" customHeight="1">
      <c r="A52" s="21" t="str">
        <f t="shared" ca="1" si="24"/>
        <v>11209_2-5/117&lt;lv1&gt;s1</v>
      </c>
      <c r="B52" s="33">
        <v>11209</v>
      </c>
      <c r="C52" s="40">
        <v>2</v>
      </c>
      <c r="D52" s="20" t="str">
        <f t="shared" si="21"/>
        <v>11209_2</v>
      </c>
      <c r="E52" s="5" t="str">
        <f ca="1">VLOOKUP($B52,OFFSET([1]quests!$A$1,0,0,COUNTA([1]quests!$A:$A),MATCH(E$1,[1]quests!$1:$1,0)-MATCH($B$1,[1]quests!$1:$1,0)+1),MATCH(E$1,[1]quests!$1:$1,0)-MATCH($B$1,[1]quests!$1:$1,0)+1,FALSE)</f>
        <v>【100万DL記念！】 初心者応援クエスト</v>
      </c>
      <c r="F52" s="5" t="str">
        <f ca="1">VLOOKUP($D52,OFFSET([1]stages!$A$1,0,0,COUNTA([1]stages!$A:$A),MATCH(F$1,[1]stages!$2:$2,0)-MATCH($D$1,[1]stages!$2:$2,0)+1),MATCH(F$1,[1]stages!$2:$2,0)-MATCH($D$1,[1]stages!$2:$2,0)+1,FALSE)</f>
        <v>ゴールドカジノ 【初級】</v>
      </c>
      <c r="G52" s="40">
        <v>5</v>
      </c>
      <c r="H52" s="20" t="str">
        <f t="shared" si="22"/>
        <v>11209_2-5</v>
      </c>
      <c r="I52" s="5">
        <f ca="1">VLOOKUP($H52,OFFSET(floors_beginners!$A$1,0,0,COUNTA(floors_beginners!$A:$A),MATCH(I$1,floors_beginners!$1:$1,0)-MATCH($H$1,floors_beginners!$1:$1,0)+1),MATCH(I$1,floors_beginners!$1:$1,0)-MATCH($H$1,floors_beginners!$1:$1,0)+1,FALSE)</f>
        <v>45</v>
      </c>
      <c r="J52" s="5">
        <f ca="1">VLOOKUP($H52,OFFSET(floors_beginners!$A$1,0,0,COUNTA(floors_beginners!$A:$A),MATCH(J$1,floors_beginners!$1:$1,0)-MATCH($H$1,floors_beginners!$1:$1,0)+1),MATCH(J$1,floors_beginners!$1:$1,0)-MATCH($H$1,floors_beginners!$1:$1,0)+1,FALSE)</f>
        <v>45</v>
      </c>
      <c r="K52" s="41">
        <v>117</v>
      </c>
      <c r="L52" s="26" t="str">
        <f ca="1">VLOOKUP($K52,OFFSET([2]enemies!$A$1,0,0,COUNTA([2]enemies!$A:$A),MATCH(L$1,[2]enemies!$2:$2,0)-MATCH($K$1,[2]enemies!$2:$2,0)+1),MATCH(L$1,[2]enemies!$2:$2,0)-MATCH($K$1,[2]enemies!$2:$2,0)+1,FALSE)</f>
        <v>ゴールドピヨピヨ</v>
      </c>
      <c r="M52" s="29" t="str">
        <f ca="1">VLOOKUP($K52,OFFSET([2]enemies!$A$1,0,0,COUNTA([2]enemies!$A:$A),MATCH(M$1,[2]enemies!$2:$2,0)-MATCH($K$1,[2]enemies!$2:$2,0)+1),MATCH(M$1,[2]enemies!$2:$2,0)-MATCH($K$1,[2]enemies!$2:$2,0)+1,FALSE)</f>
        <v>yellow</v>
      </c>
      <c r="N52" s="29" t="str">
        <f ca="1">VLOOKUP($K52,OFFSET([3]characters!$A$1,0,0,COUNTA([3]characters!$A:$A),MATCH(N$1,[3]characters!$2:$2,0)-MATCH($K$1,[3]characters!$2:$2,0)+1),MATCH(N$1,[3]characters!$2:$2,0)-MATCH($K$1,[3]characters!$2:$2,0)+1,FALSE)</f>
        <v>Material</v>
      </c>
      <c r="O52" s="28" t="str">
        <f ca="1">VLOOKUP($K52,OFFSET([3]characters!$A$1,0,0,COUNTA([3]characters!$A:$A),MATCH(O$1,[3]characters!$2:$2,0)-MATCH($K$1,[3]characters!$2:$2,0)+2),MATCH(O$1,[3]characters!$2:$2,0)-MATCH($K$1,[3]characters!$2:$2,0)+2,FALSE)</f>
        <v>Unknown</v>
      </c>
      <c r="P52" s="5">
        <f ca="1">VLOOKUP($K52,OFFSET([2]enemies!$A$1,0,0,COUNTA([2]enemies!$A:$A),MATCH(P$1,[2]enemies!$2:$2,0)-MATCH($K$1,[2]enemies!$2:$2,0)+1),MATCH(P$1,[2]enemies!$2:$2,0)-MATCH($K$1,[2]enemies!$2:$2,0)+1,FALSE)</f>
        <v>15</v>
      </c>
      <c r="Q52" s="6">
        <v>1</v>
      </c>
      <c r="R52" s="42">
        <v>10.5</v>
      </c>
      <c r="S52" s="37">
        <v>11</v>
      </c>
      <c r="T52" s="6">
        <v>0</v>
      </c>
      <c r="U52" s="5" t="str">
        <f ca="1">VLOOKUP($V52,OFFSET([4]enemy_skill_sets!$B$1,0,0,COUNTA([4]enemy_skill_sets!$B:$B),MATCH(L$1,[4]enemy_skill_sets!$1:$1,0)-MATCH($V$1,[4]enemy_skill_sets!$1:$1,0)+2),MATCH(L$1,[4]enemy_skill_sets!$1:$1,0)-MATCH($V$1,[4]enemy_skill_sets!$1:$1,0)+2,FALSE)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52" s="5">
        <v>0</v>
      </c>
      <c r="W52" s="7">
        <v>2</v>
      </c>
      <c r="X52" s="7">
        <v>0</v>
      </c>
      <c r="Y52" s="7">
        <v>0</v>
      </c>
      <c r="Z52" s="26">
        <f ca="1">VLOOKUP($K52,OFFSET([2]enemies!$A$1,0,0,COUNTA([2]enemies!$A:$A),MATCH(Z$1,[2]enemies!$2:$2,0)-MATCH($K$1,[2]enemies!$2:$2,0)+1),MATCH(Z$1,[2]enemies!$2:$2,0)-MATCH($K$1,[2]enemies!$2:$2,0)+1,FALSE)</f>
        <v>1</v>
      </c>
      <c r="AA52" s="20">
        <f t="shared" si="4"/>
        <v>117</v>
      </c>
      <c r="AB52" s="5" t="str">
        <f ca="1">IFERROR(VLOOKUP($AA52,OFFSET([3]characters!$A$1,0,0,COUNTA([3]characters!$A:$A),MATCH(AB$1,[3]characters!$2:$2,0)-MATCH("character_id",[3]characters!$2:$2,0)+1),MATCH(AB$1,[3]characters!$2:$2,0)-MATCH("character_id",[3]characters!$2:$2,0)+1,FALSE),"")</f>
        <v>ゴールドピヨピヨ</v>
      </c>
      <c r="AC52" s="5">
        <f ca="1">IFERROR(VLOOKUP($AA52,OFFSET([3]characters!$A$1,0,0,COUNTA([3]characters!$A:$A),MATCH(AC$1,[3]characters!$2:$2,0)-MATCH("character_id",[3]characters!$2:$2,0)+1),MATCH(AC$1,[3]characters!$2:$2,0)-MATCH("character_id",[3]characters!$2:$2,0)+1,FALSE),"")</f>
        <v>3</v>
      </c>
      <c r="AD52" s="5" t="str">
        <f ca="1">IFERROR(VLOOKUP($AA52,OFFSET([3]characters!$A$1,0,0,COUNTA([3]characters!$A:$A),MATCH(AD$1,[3]characters!$2:$2,0)-MATCH("character_id",[3]characters!$2:$2,0)+1),MATCH(AD$1,[3]characters!$2:$2,0)-MATCH("character_id",[3]characters!$2:$2,0)+1,FALSE),"")</f>
        <v>Material</v>
      </c>
      <c r="AE52" s="39">
        <v>1</v>
      </c>
      <c r="AF52" s="43">
        <f t="shared" ca="1" si="23"/>
        <v>3</v>
      </c>
      <c r="AG52" s="9">
        <v>63</v>
      </c>
      <c r="AH52" s="39">
        <v>0</v>
      </c>
      <c r="AI52" s="39">
        <v>0</v>
      </c>
      <c r="AJ52" s="39">
        <v>0</v>
      </c>
      <c r="AK52" s="39">
        <v>0</v>
      </c>
      <c r="AL52" s="39">
        <v>1</v>
      </c>
    </row>
  </sheetData>
  <sheetProtection selectLockedCells="1" selectUnlockedCells="1"/>
  <autoFilter ref="B1:AG29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0.1640625" style="23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floors_beginners</v>
      </c>
    </row>
    <row r="2" spans="1:6" s="18" customFormat="1">
      <c r="A2" s="23" t="s">
        <v>31</v>
      </c>
      <c r="B2" s="18" t="s">
        <v>0</v>
      </c>
      <c r="C2" s="18" t="s">
        <v>1</v>
      </c>
      <c r="D2" s="18" t="s">
        <v>13</v>
      </c>
      <c r="E2" s="18" t="s">
        <v>14</v>
      </c>
      <c r="F2" s="18" t="s">
        <v>15</v>
      </c>
    </row>
    <row r="3" spans="1:6">
      <c r="A3" s="24" t="str">
        <f t="shared" ref="A3:A12" si="0">INDIRECT(ADDRESS(ROW()+$A$1,COLUMN(),1,TRUE,$C$1))</f>
        <v>11209_1-1</v>
      </c>
      <c r="B3" s="19">
        <f t="shared" ref="B3:F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11209</v>
      </c>
      <c r="C3" s="19">
        <f t="shared" si="1"/>
        <v>1</v>
      </c>
      <c r="D3" s="19">
        <f t="shared" si="1"/>
        <v>1</v>
      </c>
      <c r="E3" s="19">
        <f t="shared" si="1"/>
        <v>60</v>
      </c>
      <c r="F3" s="19">
        <f t="shared" si="1"/>
        <v>60</v>
      </c>
    </row>
    <row r="4" spans="1:6">
      <c r="A4" s="24" t="str">
        <f t="shared" si="0"/>
        <v>11209_1-2</v>
      </c>
      <c r="B4" s="19">
        <f t="shared" si="1"/>
        <v>11209</v>
      </c>
      <c r="C4" s="19">
        <f t="shared" si="1"/>
        <v>1</v>
      </c>
      <c r="D4" s="19">
        <f t="shared" si="1"/>
        <v>2</v>
      </c>
      <c r="E4" s="19">
        <f t="shared" si="1"/>
        <v>60</v>
      </c>
      <c r="F4" s="19">
        <f t="shared" si="1"/>
        <v>60</v>
      </c>
    </row>
    <row r="5" spans="1:6">
      <c r="A5" s="24" t="str">
        <f t="shared" si="0"/>
        <v>11209_1-3</v>
      </c>
      <c r="B5" s="19">
        <f t="shared" si="1"/>
        <v>11209</v>
      </c>
      <c r="C5" s="19">
        <f t="shared" si="1"/>
        <v>1</v>
      </c>
      <c r="D5" s="19">
        <f t="shared" si="1"/>
        <v>3</v>
      </c>
      <c r="E5" s="19">
        <f t="shared" si="1"/>
        <v>60</v>
      </c>
      <c r="F5" s="19">
        <f t="shared" si="1"/>
        <v>60</v>
      </c>
    </row>
    <row r="6" spans="1:6">
      <c r="A6" s="24" t="str">
        <f t="shared" si="0"/>
        <v>11209_1-4</v>
      </c>
      <c r="B6" s="19">
        <f t="shared" si="1"/>
        <v>11209</v>
      </c>
      <c r="C6" s="19">
        <f t="shared" si="1"/>
        <v>1</v>
      </c>
      <c r="D6" s="19">
        <f t="shared" si="1"/>
        <v>4</v>
      </c>
      <c r="E6" s="19">
        <f t="shared" si="1"/>
        <v>60</v>
      </c>
      <c r="F6" s="19">
        <f t="shared" si="1"/>
        <v>60</v>
      </c>
    </row>
    <row r="7" spans="1:6">
      <c r="A7" s="24" t="str">
        <f t="shared" si="0"/>
        <v>11209_1-5</v>
      </c>
      <c r="B7" s="19">
        <f t="shared" si="1"/>
        <v>11209</v>
      </c>
      <c r="C7" s="19">
        <f t="shared" si="1"/>
        <v>1</v>
      </c>
      <c r="D7" s="19">
        <f t="shared" si="1"/>
        <v>5</v>
      </c>
      <c r="E7" s="19">
        <f t="shared" si="1"/>
        <v>50</v>
      </c>
      <c r="F7" s="19">
        <f t="shared" si="1"/>
        <v>50</v>
      </c>
    </row>
    <row r="8" spans="1:6">
      <c r="A8" s="24" t="str">
        <f t="shared" si="0"/>
        <v>11209_2-1</v>
      </c>
      <c r="B8" s="19">
        <f t="shared" si="1"/>
        <v>11209</v>
      </c>
      <c r="C8" s="19">
        <f t="shared" si="1"/>
        <v>2</v>
      </c>
      <c r="D8" s="19">
        <f t="shared" si="1"/>
        <v>1</v>
      </c>
      <c r="E8" s="19">
        <f t="shared" si="1"/>
        <v>30</v>
      </c>
      <c r="F8" s="19">
        <f t="shared" si="1"/>
        <v>45</v>
      </c>
    </row>
    <row r="9" spans="1:6">
      <c r="A9" s="24" t="str">
        <f t="shared" si="0"/>
        <v>11209_2-2</v>
      </c>
      <c r="B9" s="19">
        <f t="shared" si="1"/>
        <v>11209</v>
      </c>
      <c r="C9" s="19">
        <f t="shared" si="1"/>
        <v>2</v>
      </c>
      <c r="D9" s="19">
        <f t="shared" si="1"/>
        <v>2</v>
      </c>
      <c r="E9" s="19">
        <f t="shared" si="1"/>
        <v>30</v>
      </c>
      <c r="F9" s="19">
        <f t="shared" si="1"/>
        <v>45</v>
      </c>
    </row>
    <row r="10" spans="1:6">
      <c r="A10" s="24" t="str">
        <f t="shared" si="0"/>
        <v>11209_2-3</v>
      </c>
      <c r="B10" s="19">
        <f t="shared" si="1"/>
        <v>11209</v>
      </c>
      <c r="C10" s="19">
        <f t="shared" si="1"/>
        <v>2</v>
      </c>
      <c r="D10" s="19">
        <f t="shared" si="1"/>
        <v>3</v>
      </c>
      <c r="E10" s="19">
        <f t="shared" si="1"/>
        <v>30</v>
      </c>
      <c r="F10" s="19">
        <f t="shared" si="1"/>
        <v>55</v>
      </c>
    </row>
    <row r="11" spans="1:6">
      <c r="A11" s="24" t="str">
        <f t="shared" si="0"/>
        <v>11209_2-4</v>
      </c>
      <c r="B11" s="19">
        <f t="shared" si="1"/>
        <v>11209</v>
      </c>
      <c r="C11" s="19">
        <f t="shared" si="1"/>
        <v>2</v>
      </c>
      <c r="D11" s="19">
        <f t="shared" si="1"/>
        <v>4</v>
      </c>
      <c r="E11" s="19">
        <f t="shared" si="1"/>
        <v>30</v>
      </c>
      <c r="F11" s="19">
        <f t="shared" si="1"/>
        <v>55</v>
      </c>
    </row>
    <row r="12" spans="1:6">
      <c r="A12" s="24" t="str">
        <f t="shared" si="0"/>
        <v>11209_2-5</v>
      </c>
      <c r="B12" s="19">
        <f t="shared" si="1"/>
        <v>11209</v>
      </c>
      <c r="C12" s="19">
        <f t="shared" si="1"/>
        <v>2</v>
      </c>
      <c r="D12" s="19">
        <f t="shared" si="1"/>
        <v>5</v>
      </c>
      <c r="E12" s="19">
        <f t="shared" si="1"/>
        <v>45</v>
      </c>
      <c r="F12" s="19">
        <f t="shared" si="1"/>
        <v>45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3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27" sqref="J27"/>
    </sheetView>
  </sheetViews>
  <sheetFormatPr baseColWidth="12" defaultRowHeight="18" x14ac:dyDescent="0"/>
  <cols>
    <col min="1" max="1" width="13" style="23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enemy_habitats_beginners</v>
      </c>
      <c r="G1" s="38"/>
      <c r="H1" s="38"/>
      <c r="I1" s="38"/>
    </row>
    <row r="2" spans="1:23" s="18" customFormat="1">
      <c r="A2" s="23" t="s">
        <v>29</v>
      </c>
      <c r="B2" s="18" t="s">
        <v>0</v>
      </c>
      <c r="C2" s="18" t="s">
        <v>1</v>
      </c>
      <c r="D2" s="18" t="s">
        <v>13</v>
      </c>
      <c r="E2" s="18" t="s">
        <v>2</v>
      </c>
      <c r="F2" s="18" t="s">
        <v>3</v>
      </c>
      <c r="G2" s="18" t="s">
        <v>52</v>
      </c>
      <c r="H2" s="18" t="s">
        <v>53</v>
      </c>
      <c r="I2" s="18" t="s">
        <v>54</v>
      </c>
      <c r="J2" s="18" t="s">
        <v>22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9</v>
      </c>
      <c r="P2" s="18" t="s">
        <v>10</v>
      </c>
      <c r="Q2" s="18" t="s">
        <v>11</v>
      </c>
      <c r="R2" s="18" t="s">
        <v>12</v>
      </c>
      <c r="S2" s="18" t="s">
        <v>38</v>
      </c>
      <c r="T2" s="18" t="s">
        <v>40</v>
      </c>
      <c r="U2" s="18" t="s">
        <v>42</v>
      </c>
      <c r="V2" s="18" t="s">
        <v>44</v>
      </c>
      <c r="W2" s="18" t="s">
        <v>46</v>
      </c>
    </row>
    <row r="3" spans="1:23">
      <c r="A3" s="24" t="str">
        <f>INDIRECT(ADDRESS(ROW()+$A$1,COLUMN(),1,TRUE,$C$1))</f>
        <v>11209_1-1/332&lt;lv1&gt;s1</v>
      </c>
      <c r="B3" s="19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11209</v>
      </c>
      <c r="C3" s="19">
        <f t="shared" si="0"/>
        <v>1</v>
      </c>
      <c r="D3" s="19">
        <f t="shared" si="0"/>
        <v>1</v>
      </c>
      <c r="E3" s="19">
        <f t="shared" si="0"/>
        <v>332</v>
      </c>
      <c r="F3" s="19">
        <f t="shared" si="0"/>
        <v>1</v>
      </c>
      <c r="G3" s="19">
        <f t="shared" ref="G3:J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9">
        <f t="shared" si="1"/>
        <v>30</v>
      </c>
      <c r="I3" s="19">
        <f t="shared" si="1"/>
        <v>0</v>
      </c>
      <c r="J3" s="19">
        <f t="shared" si="0"/>
        <v>0</v>
      </c>
      <c r="K3" s="19">
        <f t="shared" si="0"/>
        <v>1</v>
      </c>
      <c r="L3" s="19">
        <f t="shared" si="0"/>
        <v>100</v>
      </c>
      <c r="M3" s="19">
        <f t="shared" si="0"/>
        <v>0</v>
      </c>
      <c r="N3" s="19">
        <f t="shared" si="0"/>
        <v>1</v>
      </c>
      <c r="O3" s="19">
        <f t="shared" si="0"/>
        <v>332</v>
      </c>
      <c r="P3" s="19">
        <f t="shared" si="0"/>
        <v>1</v>
      </c>
      <c r="Q3" s="19">
        <f t="shared" si="0"/>
        <v>3</v>
      </c>
      <c r="R3" s="19">
        <f t="shared" si="0"/>
        <v>100</v>
      </c>
      <c r="S3" s="19">
        <f t="shared" si="0"/>
        <v>0</v>
      </c>
      <c r="T3" s="19">
        <f t="shared" si="0"/>
        <v>0</v>
      </c>
      <c r="U3" s="19">
        <f t="shared" si="0"/>
        <v>0</v>
      </c>
      <c r="V3" s="19">
        <f t="shared" si="0"/>
        <v>0</v>
      </c>
      <c r="W3" s="19">
        <f t="shared" si="0"/>
        <v>1</v>
      </c>
    </row>
    <row r="4" spans="1:23">
      <c r="A4" s="24" t="str">
        <f t="shared" ref="A4:A53" si="2">INDIRECT(ADDRESS(ROW()+$A$1,COLUMN(),1,TRUE,$C$1))</f>
        <v>11209_1-1/336&lt;lv1&gt;s1</v>
      </c>
      <c r="B4" s="19">
        <f t="shared" si="0"/>
        <v>11209</v>
      </c>
      <c r="C4" s="19">
        <f t="shared" si="0"/>
        <v>1</v>
      </c>
      <c r="D4" s="19">
        <f t="shared" si="0"/>
        <v>1</v>
      </c>
      <c r="E4" s="19">
        <f t="shared" si="0"/>
        <v>336</v>
      </c>
      <c r="F4" s="19">
        <f t="shared" si="0"/>
        <v>1</v>
      </c>
      <c r="G4" s="19">
        <f t="shared" si="1"/>
        <v>1</v>
      </c>
      <c r="H4" s="19">
        <f t="shared" si="1"/>
        <v>30</v>
      </c>
      <c r="I4" s="19">
        <f t="shared" si="1"/>
        <v>0</v>
      </c>
      <c r="J4" s="19">
        <f t="shared" si="0"/>
        <v>0</v>
      </c>
      <c r="K4" s="19">
        <f t="shared" si="0"/>
        <v>1</v>
      </c>
      <c r="L4" s="19">
        <f t="shared" si="0"/>
        <v>100</v>
      </c>
      <c r="M4" s="19">
        <f t="shared" si="0"/>
        <v>0</v>
      </c>
      <c r="N4" s="19">
        <f t="shared" si="0"/>
        <v>1</v>
      </c>
      <c r="O4" s="19">
        <f t="shared" si="0"/>
        <v>336</v>
      </c>
      <c r="P4" s="19">
        <f t="shared" si="0"/>
        <v>1</v>
      </c>
      <c r="Q4" s="19">
        <f t="shared" si="0"/>
        <v>3</v>
      </c>
      <c r="R4" s="19">
        <f t="shared" si="0"/>
        <v>100</v>
      </c>
      <c r="S4" s="19">
        <f t="shared" si="0"/>
        <v>0</v>
      </c>
      <c r="T4" s="19">
        <f t="shared" si="0"/>
        <v>0</v>
      </c>
      <c r="U4" s="19">
        <f t="shared" si="0"/>
        <v>0</v>
      </c>
      <c r="V4" s="19">
        <f t="shared" si="0"/>
        <v>0</v>
      </c>
      <c r="W4" s="19">
        <f t="shared" si="0"/>
        <v>1</v>
      </c>
    </row>
    <row r="5" spans="1:23">
      <c r="A5" s="24" t="str">
        <f t="shared" si="2"/>
        <v>11209_1-1/340&lt;lv1&gt;s1</v>
      </c>
      <c r="B5" s="19">
        <f t="shared" si="0"/>
        <v>11209</v>
      </c>
      <c r="C5" s="19">
        <f t="shared" si="0"/>
        <v>1</v>
      </c>
      <c r="D5" s="19">
        <f t="shared" si="0"/>
        <v>1</v>
      </c>
      <c r="E5" s="19">
        <f t="shared" si="0"/>
        <v>340</v>
      </c>
      <c r="F5" s="19">
        <f t="shared" si="0"/>
        <v>1</v>
      </c>
      <c r="G5" s="19">
        <f t="shared" si="1"/>
        <v>1</v>
      </c>
      <c r="H5" s="19">
        <f t="shared" si="1"/>
        <v>30</v>
      </c>
      <c r="I5" s="19">
        <f t="shared" si="1"/>
        <v>0</v>
      </c>
      <c r="J5" s="19">
        <f t="shared" si="0"/>
        <v>0</v>
      </c>
      <c r="K5" s="19">
        <f t="shared" si="0"/>
        <v>1</v>
      </c>
      <c r="L5" s="19">
        <f t="shared" si="0"/>
        <v>100</v>
      </c>
      <c r="M5" s="19">
        <f t="shared" si="0"/>
        <v>0</v>
      </c>
      <c r="N5" s="19">
        <f t="shared" si="0"/>
        <v>1</v>
      </c>
      <c r="O5" s="19">
        <f t="shared" si="0"/>
        <v>340</v>
      </c>
      <c r="P5" s="19">
        <f t="shared" si="0"/>
        <v>1</v>
      </c>
      <c r="Q5" s="19">
        <f t="shared" si="0"/>
        <v>3</v>
      </c>
      <c r="R5" s="19">
        <f t="shared" si="0"/>
        <v>100</v>
      </c>
      <c r="S5" s="19">
        <f t="shared" si="0"/>
        <v>0</v>
      </c>
      <c r="T5" s="19">
        <f t="shared" si="0"/>
        <v>0</v>
      </c>
      <c r="U5" s="19">
        <f t="shared" si="0"/>
        <v>0</v>
      </c>
      <c r="V5" s="19">
        <f t="shared" si="0"/>
        <v>0</v>
      </c>
      <c r="W5" s="19">
        <f t="shared" si="0"/>
        <v>1</v>
      </c>
    </row>
    <row r="6" spans="1:23">
      <c r="A6" s="24" t="str">
        <f t="shared" si="2"/>
        <v>11209_1-1/344&lt;lv1&gt;s1</v>
      </c>
      <c r="B6" s="19">
        <f t="shared" si="0"/>
        <v>11209</v>
      </c>
      <c r="C6" s="19">
        <f t="shared" si="0"/>
        <v>1</v>
      </c>
      <c r="D6" s="19">
        <f t="shared" si="0"/>
        <v>1</v>
      </c>
      <c r="E6" s="19">
        <f t="shared" si="0"/>
        <v>344</v>
      </c>
      <c r="F6" s="19">
        <f t="shared" si="0"/>
        <v>1</v>
      </c>
      <c r="G6" s="19">
        <f t="shared" si="1"/>
        <v>1</v>
      </c>
      <c r="H6" s="19">
        <f t="shared" si="1"/>
        <v>30</v>
      </c>
      <c r="I6" s="19">
        <f t="shared" si="1"/>
        <v>0</v>
      </c>
      <c r="J6" s="19">
        <f t="shared" si="0"/>
        <v>0</v>
      </c>
      <c r="K6" s="19">
        <f t="shared" si="0"/>
        <v>1</v>
      </c>
      <c r="L6" s="19">
        <f t="shared" si="0"/>
        <v>100</v>
      </c>
      <c r="M6" s="19">
        <f t="shared" si="0"/>
        <v>0</v>
      </c>
      <c r="N6" s="19">
        <f t="shared" si="0"/>
        <v>1</v>
      </c>
      <c r="O6" s="19">
        <f t="shared" si="0"/>
        <v>344</v>
      </c>
      <c r="P6" s="19">
        <f t="shared" si="0"/>
        <v>1</v>
      </c>
      <c r="Q6" s="19">
        <f t="shared" si="0"/>
        <v>3</v>
      </c>
      <c r="R6" s="19">
        <f t="shared" si="0"/>
        <v>100</v>
      </c>
      <c r="S6" s="19">
        <f t="shared" si="0"/>
        <v>0</v>
      </c>
      <c r="T6" s="19">
        <f t="shared" si="0"/>
        <v>0</v>
      </c>
      <c r="U6" s="19">
        <f t="shared" si="0"/>
        <v>0</v>
      </c>
      <c r="V6" s="19">
        <f t="shared" si="0"/>
        <v>0</v>
      </c>
      <c r="W6" s="19">
        <f t="shared" si="0"/>
        <v>1</v>
      </c>
    </row>
    <row r="7" spans="1:23">
      <c r="A7" s="24" t="str">
        <f t="shared" si="2"/>
        <v>11209_1-2/332&lt;lv1&gt;s1</v>
      </c>
      <c r="B7" s="19">
        <f t="shared" si="0"/>
        <v>11209</v>
      </c>
      <c r="C7" s="19">
        <f t="shared" si="0"/>
        <v>1</v>
      </c>
      <c r="D7" s="19">
        <f t="shared" si="0"/>
        <v>2</v>
      </c>
      <c r="E7" s="19">
        <f t="shared" si="0"/>
        <v>332</v>
      </c>
      <c r="F7" s="19">
        <f t="shared" si="0"/>
        <v>1</v>
      </c>
      <c r="G7" s="19">
        <f t="shared" si="1"/>
        <v>1</v>
      </c>
      <c r="H7" s="19">
        <f t="shared" si="1"/>
        <v>30</v>
      </c>
      <c r="I7" s="19">
        <f t="shared" si="1"/>
        <v>0</v>
      </c>
      <c r="J7" s="19">
        <f t="shared" si="0"/>
        <v>0</v>
      </c>
      <c r="K7" s="19">
        <f t="shared" si="0"/>
        <v>0</v>
      </c>
      <c r="L7" s="19">
        <f t="shared" si="0"/>
        <v>100</v>
      </c>
      <c r="M7" s="19">
        <f t="shared" si="0"/>
        <v>0</v>
      </c>
      <c r="N7" s="19">
        <f t="shared" si="0"/>
        <v>1</v>
      </c>
      <c r="O7" s="19">
        <f t="shared" si="0"/>
        <v>332</v>
      </c>
      <c r="P7" s="19">
        <f t="shared" si="0"/>
        <v>1</v>
      </c>
      <c r="Q7" s="19">
        <f t="shared" si="0"/>
        <v>3</v>
      </c>
      <c r="R7" s="19">
        <f t="shared" si="0"/>
        <v>100</v>
      </c>
      <c r="S7" s="19">
        <f t="shared" si="0"/>
        <v>0</v>
      </c>
      <c r="T7" s="19">
        <f t="shared" si="0"/>
        <v>0</v>
      </c>
      <c r="U7" s="19">
        <f t="shared" si="0"/>
        <v>0</v>
      </c>
      <c r="V7" s="19">
        <f t="shared" si="0"/>
        <v>0</v>
      </c>
      <c r="W7" s="19">
        <f t="shared" si="0"/>
        <v>1</v>
      </c>
    </row>
    <row r="8" spans="1:23">
      <c r="A8" s="24" t="str">
        <f t="shared" si="2"/>
        <v>11209_1-2/336&lt;lv1&gt;s1</v>
      </c>
      <c r="B8" s="19">
        <f t="shared" si="0"/>
        <v>11209</v>
      </c>
      <c r="C8" s="19">
        <f t="shared" si="0"/>
        <v>1</v>
      </c>
      <c r="D8" s="19">
        <f t="shared" si="0"/>
        <v>2</v>
      </c>
      <c r="E8" s="19">
        <f t="shared" si="0"/>
        <v>336</v>
      </c>
      <c r="F8" s="19">
        <f t="shared" si="0"/>
        <v>1</v>
      </c>
      <c r="G8" s="19">
        <f t="shared" si="1"/>
        <v>1</v>
      </c>
      <c r="H8" s="19">
        <f t="shared" si="1"/>
        <v>30</v>
      </c>
      <c r="I8" s="19">
        <f t="shared" si="1"/>
        <v>0</v>
      </c>
      <c r="J8" s="19">
        <f t="shared" si="0"/>
        <v>0</v>
      </c>
      <c r="K8" s="19">
        <f t="shared" si="0"/>
        <v>0</v>
      </c>
      <c r="L8" s="19">
        <f t="shared" si="0"/>
        <v>100</v>
      </c>
      <c r="M8" s="19">
        <f t="shared" si="0"/>
        <v>0</v>
      </c>
      <c r="N8" s="19">
        <f t="shared" si="0"/>
        <v>1</v>
      </c>
      <c r="O8" s="19">
        <f t="shared" si="0"/>
        <v>336</v>
      </c>
      <c r="P8" s="19">
        <f t="shared" si="0"/>
        <v>1</v>
      </c>
      <c r="Q8" s="19">
        <f t="shared" si="0"/>
        <v>3</v>
      </c>
      <c r="R8" s="19">
        <f t="shared" si="0"/>
        <v>100</v>
      </c>
      <c r="S8" s="19">
        <f t="shared" si="0"/>
        <v>0</v>
      </c>
      <c r="T8" s="19">
        <f t="shared" si="0"/>
        <v>0</v>
      </c>
      <c r="U8" s="19">
        <f t="shared" si="0"/>
        <v>0</v>
      </c>
      <c r="V8" s="19">
        <f t="shared" si="0"/>
        <v>0</v>
      </c>
      <c r="W8" s="19">
        <f t="shared" si="0"/>
        <v>1</v>
      </c>
    </row>
    <row r="9" spans="1:23">
      <c r="A9" s="24" t="str">
        <f t="shared" si="2"/>
        <v>11209_1-2/340&lt;lv1&gt;s1</v>
      </c>
      <c r="B9" s="19">
        <f t="shared" si="0"/>
        <v>11209</v>
      </c>
      <c r="C9" s="19">
        <f t="shared" si="0"/>
        <v>1</v>
      </c>
      <c r="D9" s="19">
        <f t="shared" si="0"/>
        <v>2</v>
      </c>
      <c r="E9" s="19">
        <f t="shared" si="0"/>
        <v>340</v>
      </c>
      <c r="F9" s="19">
        <f t="shared" si="0"/>
        <v>1</v>
      </c>
      <c r="G9" s="19">
        <f t="shared" si="1"/>
        <v>1</v>
      </c>
      <c r="H9" s="19">
        <f t="shared" si="1"/>
        <v>30</v>
      </c>
      <c r="I9" s="19">
        <f t="shared" si="1"/>
        <v>0</v>
      </c>
      <c r="J9" s="19">
        <f t="shared" si="0"/>
        <v>0</v>
      </c>
      <c r="K9" s="19">
        <f t="shared" si="0"/>
        <v>0</v>
      </c>
      <c r="L9" s="19">
        <f t="shared" si="0"/>
        <v>100</v>
      </c>
      <c r="M9" s="19">
        <f t="shared" si="0"/>
        <v>0</v>
      </c>
      <c r="N9" s="19">
        <f t="shared" si="0"/>
        <v>1</v>
      </c>
      <c r="O9" s="19">
        <f t="shared" si="0"/>
        <v>340</v>
      </c>
      <c r="P9" s="19">
        <f t="shared" si="0"/>
        <v>1</v>
      </c>
      <c r="Q9" s="19">
        <f t="shared" si="0"/>
        <v>3</v>
      </c>
      <c r="R9" s="19">
        <f t="shared" si="0"/>
        <v>100</v>
      </c>
      <c r="S9" s="19">
        <f t="shared" si="0"/>
        <v>0</v>
      </c>
      <c r="T9" s="19">
        <f t="shared" si="0"/>
        <v>0</v>
      </c>
      <c r="U9" s="19">
        <f t="shared" si="0"/>
        <v>0</v>
      </c>
      <c r="V9" s="19">
        <f t="shared" si="0"/>
        <v>0</v>
      </c>
      <c r="W9" s="19">
        <f t="shared" si="0"/>
        <v>1</v>
      </c>
    </row>
    <row r="10" spans="1:23">
      <c r="A10" s="24" t="str">
        <f t="shared" si="2"/>
        <v>11209_1-2/344&lt;lv1&gt;s1</v>
      </c>
      <c r="B10" s="19">
        <f t="shared" si="0"/>
        <v>11209</v>
      </c>
      <c r="C10" s="19">
        <f t="shared" si="0"/>
        <v>1</v>
      </c>
      <c r="D10" s="19">
        <f t="shared" si="0"/>
        <v>2</v>
      </c>
      <c r="E10" s="19">
        <f t="shared" si="0"/>
        <v>344</v>
      </c>
      <c r="F10" s="19">
        <f t="shared" si="0"/>
        <v>1</v>
      </c>
      <c r="G10" s="19">
        <f t="shared" si="1"/>
        <v>1</v>
      </c>
      <c r="H10" s="19">
        <f t="shared" si="1"/>
        <v>30</v>
      </c>
      <c r="I10" s="19">
        <f t="shared" si="1"/>
        <v>0</v>
      </c>
      <c r="J10" s="19">
        <f t="shared" si="0"/>
        <v>0</v>
      </c>
      <c r="K10" s="19">
        <f t="shared" si="0"/>
        <v>0</v>
      </c>
      <c r="L10" s="19">
        <f t="shared" si="0"/>
        <v>100</v>
      </c>
      <c r="M10" s="19">
        <f t="shared" si="0"/>
        <v>0</v>
      </c>
      <c r="N10" s="19">
        <f t="shared" si="0"/>
        <v>1</v>
      </c>
      <c r="O10" s="19">
        <f t="shared" si="0"/>
        <v>344</v>
      </c>
      <c r="P10" s="19">
        <f t="shared" si="0"/>
        <v>1</v>
      </c>
      <c r="Q10" s="19">
        <f t="shared" si="0"/>
        <v>3</v>
      </c>
      <c r="R10" s="19">
        <f t="shared" si="0"/>
        <v>100</v>
      </c>
      <c r="S10" s="19">
        <f t="shared" si="0"/>
        <v>0</v>
      </c>
      <c r="T10" s="19">
        <f t="shared" si="0"/>
        <v>0</v>
      </c>
      <c r="U10" s="19">
        <f t="shared" si="0"/>
        <v>0</v>
      </c>
      <c r="V10" s="19">
        <f t="shared" si="0"/>
        <v>0</v>
      </c>
      <c r="W10" s="19">
        <f t="shared" si="0"/>
        <v>1</v>
      </c>
    </row>
    <row r="11" spans="1:23">
      <c r="A11" s="24" t="str">
        <f t="shared" si="2"/>
        <v>11209_1-2/333&lt;lv1&gt;s2</v>
      </c>
      <c r="B11" s="19">
        <f t="shared" si="0"/>
        <v>11209</v>
      </c>
      <c r="C11" s="19">
        <f t="shared" si="0"/>
        <v>1</v>
      </c>
      <c r="D11" s="19">
        <f t="shared" si="0"/>
        <v>2</v>
      </c>
      <c r="E11" s="19">
        <f t="shared" si="0"/>
        <v>333</v>
      </c>
      <c r="F11" s="19">
        <f t="shared" si="0"/>
        <v>1</v>
      </c>
      <c r="G11" s="19">
        <f t="shared" si="1"/>
        <v>1</v>
      </c>
      <c r="H11" s="19">
        <f t="shared" si="1"/>
        <v>30</v>
      </c>
      <c r="I11" s="19">
        <f t="shared" si="1"/>
        <v>-1000</v>
      </c>
      <c r="J11" s="19">
        <f t="shared" si="0"/>
        <v>0</v>
      </c>
      <c r="K11" s="19">
        <f t="shared" si="0"/>
        <v>0</v>
      </c>
      <c r="L11" s="19">
        <f t="shared" si="0"/>
        <v>25</v>
      </c>
      <c r="M11" s="19">
        <f t="shared" si="0"/>
        <v>0</v>
      </c>
      <c r="N11" s="19">
        <f t="shared" si="0"/>
        <v>2</v>
      </c>
      <c r="O11" s="19">
        <f t="shared" si="0"/>
        <v>333</v>
      </c>
      <c r="P11" s="19">
        <f t="shared" si="0"/>
        <v>1</v>
      </c>
      <c r="Q11" s="19">
        <f t="shared" si="0"/>
        <v>4</v>
      </c>
      <c r="R11" s="19">
        <f t="shared" si="0"/>
        <v>10</v>
      </c>
      <c r="S11" s="19">
        <f t="shared" si="0"/>
        <v>0</v>
      </c>
      <c r="T11" s="19">
        <f t="shared" si="0"/>
        <v>0</v>
      </c>
      <c r="U11" s="19">
        <f t="shared" si="0"/>
        <v>0</v>
      </c>
      <c r="V11" s="19">
        <f t="shared" si="0"/>
        <v>0</v>
      </c>
      <c r="W11" s="19">
        <f t="shared" si="0"/>
        <v>1</v>
      </c>
    </row>
    <row r="12" spans="1:23">
      <c r="A12" s="24" t="str">
        <f t="shared" si="2"/>
        <v>11209_1-2/337&lt;lv1&gt;s2</v>
      </c>
      <c r="B12" s="19">
        <f t="shared" si="0"/>
        <v>11209</v>
      </c>
      <c r="C12" s="19">
        <f t="shared" si="0"/>
        <v>1</v>
      </c>
      <c r="D12" s="19">
        <f t="shared" si="0"/>
        <v>2</v>
      </c>
      <c r="E12" s="19">
        <f t="shared" si="0"/>
        <v>337</v>
      </c>
      <c r="F12" s="19">
        <f t="shared" si="0"/>
        <v>1</v>
      </c>
      <c r="G12" s="19">
        <f t="shared" si="1"/>
        <v>1</v>
      </c>
      <c r="H12" s="19">
        <f t="shared" si="1"/>
        <v>30</v>
      </c>
      <c r="I12" s="19">
        <f t="shared" si="1"/>
        <v>-1000</v>
      </c>
      <c r="J12" s="19">
        <f t="shared" si="0"/>
        <v>0</v>
      </c>
      <c r="K12" s="19">
        <f t="shared" si="0"/>
        <v>0</v>
      </c>
      <c r="L12" s="19">
        <f t="shared" si="0"/>
        <v>25</v>
      </c>
      <c r="M12" s="19">
        <f t="shared" si="0"/>
        <v>0</v>
      </c>
      <c r="N12" s="19">
        <f t="shared" si="0"/>
        <v>2</v>
      </c>
      <c r="O12" s="19">
        <f t="shared" si="0"/>
        <v>337</v>
      </c>
      <c r="P12" s="19">
        <f t="shared" si="0"/>
        <v>1</v>
      </c>
      <c r="Q12" s="19">
        <f t="shared" si="0"/>
        <v>4</v>
      </c>
      <c r="R12" s="19">
        <f t="shared" si="0"/>
        <v>10</v>
      </c>
      <c r="S12" s="19">
        <f t="shared" si="0"/>
        <v>0</v>
      </c>
      <c r="T12" s="19">
        <f t="shared" si="0"/>
        <v>0</v>
      </c>
      <c r="U12" s="19">
        <f t="shared" si="0"/>
        <v>0</v>
      </c>
      <c r="V12" s="19">
        <f t="shared" si="0"/>
        <v>0</v>
      </c>
      <c r="W12" s="19">
        <f t="shared" si="0"/>
        <v>1</v>
      </c>
    </row>
    <row r="13" spans="1:23">
      <c r="A13" s="24" t="str">
        <f t="shared" si="2"/>
        <v>11209_1-2/341&lt;lv1&gt;s2</v>
      </c>
      <c r="B13" s="19">
        <f t="shared" si="0"/>
        <v>11209</v>
      </c>
      <c r="C13" s="19">
        <f t="shared" si="0"/>
        <v>1</v>
      </c>
      <c r="D13" s="19">
        <f t="shared" si="0"/>
        <v>2</v>
      </c>
      <c r="E13" s="19">
        <f t="shared" si="0"/>
        <v>341</v>
      </c>
      <c r="F13" s="19">
        <f t="shared" si="0"/>
        <v>1</v>
      </c>
      <c r="G13" s="19">
        <f t="shared" si="1"/>
        <v>1</v>
      </c>
      <c r="H13" s="19">
        <f t="shared" si="1"/>
        <v>30</v>
      </c>
      <c r="I13" s="19">
        <f t="shared" si="1"/>
        <v>-1000</v>
      </c>
      <c r="J13" s="19">
        <f t="shared" si="0"/>
        <v>0</v>
      </c>
      <c r="K13" s="19">
        <f t="shared" si="0"/>
        <v>0</v>
      </c>
      <c r="L13" s="19">
        <f t="shared" si="0"/>
        <v>25</v>
      </c>
      <c r="M13" s="19">
        <f t="shared" si="0"/>
        <v>0</v>
      </c>
      <c r="N13" s="19">
        <f t="shared" si="0"/>
        <v>2</v>
      </c>
      <c r="O13" s="19">
        <f t="shared" si="0"/>
        <v>341</v>
      </c>
      <c r="P13" s="19">
        <f t="shared" si="0"/>
        <v>1</v>
      </c>
      <c r="Q13" s="19">
        <f t="shared" si="0"/>
        <v>4</v>
      </c>
      <c r="R13" s="19">
        <f t="shared" si="0"/>
        <v>10</v>
      </c>
      <c r="S13" s="19">
        <f t="shared" si="0"/>
        <v>0</v>
      </c>
      <c r="T13" s="19">
        <f t="shared" si="0"/>
        <v>0</v>
      </c>
      <c r="U13" s="19">
        <f t="shared" si="0"/>
        <v>0</v>
      </c>
      <c r="V13" s="19">
        <f t="shared" si="0"/>
        <v>0</v>
      </c>
      <c r="W13" s="19">
        <f t="shared" si="0"/>
        <v>1</v>
      </c>
    </row>
    <row r="14" spans="1:23">
      <c r="A14" s="24" t="str">
        <f t="shared" si="2"/>
        <v>11209_1-2/345&lt;lv1&gt;s2</v>
      </c>
      <c r="B14" s="19">
        <f t="shared" si="0"/>
        <v>11209</v>
      </c>
      <c r="C14" s="19">
        <f t="shared" si="0"/>
        <v>1</v>
      </c>
      <c r="D14" s="19">
        <f t="shared" si="0"/>
        <v>2</v>
      </c>
      <c r="E14" s="19">
        <f t="shared" si="0"/>
        <v>345</v>
      </c>
      <c r="F14" s="19">
        <f t="shared" si="0"/>
        <v>1</v>
      </c>
      <c r="G14" s="19">
        <f t="shared" si="1"/>
        <v>1</v>
      </c>
      <c r="H14" s="19">
        <f t="shared" si="1"/>
        <v>30</v>
      </c>
      <c r="I14" s="19">
        <f t="shared" si="1"/>
        <v>-1000</v>
      </c>
      <c r="J14" s="19">
        <f t="shared" si="0"/>
        <v>0</v>
      </c>
      <c r="K14" s="19">
        <f t="shared" si="0"/>
        <v>0</v>
      </c>
      <c r="L14" s="19">
        <f t="shared" si="0"/>
        <v>25</v>
      </c>
      <c r="M14" s="19">
        <f t="shared" si="0"/>
        <v>0</v>
      </c>
      <c r="N14" s="19">
        <f t="shared" si="0"/>
        <v>2</v>
      </c>
      <c r="O14" s="19">
        <f t="shared" si="0"/>
        <v>345</v>
      </c>
      <c r="P14" s="19">
        <f t="shared" si="0"/>
        <v>1</v>
      </c>
      <c r="Q14" s="19">
        <f t="shared" si="0"/>
        <v>4</v>
      </c>
      <c r="R14" s="19">
        <f t="shared" si="0"/>
        <v>10</v>
      </c>
      <c r="S14" s="19">
        <f t="shared" si="0"/>
        <v>0</v>
      </c>
      <c r="T14" s="19">
        <f t="shared" si="0"/>
        <v>0</v>
      </c>
      <c r="U14" s="19">
        <f t="shared" si="0"/>
        <v>0</v>
      </c>
      <c r="V14" s="19">
        <f t="shared" si="0"/>
        <v>0</v>
      </c>
      <c r="W14" s="19">
        <f t="shared" si="0"/>
        <v>1</v>
      </c>
    </row>
    <row r="15" spans="1:23">
      <c r="A15" s="24" t="str">
        <f t="shared" si="2"/>
        <v>11209_1-3/332&lt;lv1&gt;s1</v>
      </c>
      <c r="B15" s="19">
        <f t="shared" si="0"/>
        <v>11209</v>
      </c>
      <c r="C15" s="19">
        <f t="shared" si="0"/>
        <v>1</v>
      </c>
      <c r="D15" s="19">
        <f t="shared" si="0"/>
        <v>3</v>
      </c>
      <c r="E15" s="19">
        <f t="shared" si="0"/>
        <v>332</v>
      </c>
      <c r="F15" s="19">
        <f t="shared" si="0"/>
        <v>1</v>
      </c>
      <c r="G15" s="19">
        <f t="shared" si="1"/>
        <v>1</v>
      </c>
      <c r="H15" s="19">
        <f t="shared" si="1"/>
        <v>30</v>
      </c>
      <c r="I15" s="19">
        <f t="shared" si="1"/>
        <v>0</v>
      </c>
      <c r="J15" s="19">
        <f t="shared" si="0"/>
        <v>0</v>
      </c>
      <c r="K15" s="19">
        <f t="shared" si="0"/>
        <v>0</v>
      </c>
      <c r="L15" s="19">
        <f t="shared" si="0"/>
        <v>100</v>
      </c>
      <c r="M15" s="19">
        <f t="shared" si="0"/>
        <v>0</v>
      </c>
      <c r="N15" s="19">
        <f t="shared" si="0"/>
        <v>1</v>
      </c>
      <c r="O15" s="19">
        <f t="shared" si="0"/>
        <v>332</v>
      </c>
      <c r="P15" s="19">
        <f t="shared" si="0"/>
        <v>1</v>
      </c>
      <c r="Q15" s="19">
        <f t="shared" si="0"/>
        <v>3</v>
      </c>
      <c r="R15" s="19">
        <f t="shared" si="0"/>
        <v>100</v>
      </c>
      <c r="S15" s="19">
        <f t="shared" si="0"/>
        <v>0</v>
      </c>
      <c r="T15" s="19">
        <f t="shared" si="0"/>
        <v>0</v>
      </c>
      <c r="U15" s="19">
        <f t="shared" si="0"/>
        <v>0</v>
      </c>
      <c r="V15" s="19">
        <f t="shared" si="0"/>
        <v>0</v>
      </c>
      <c r="W15" s="19">
        <f t="shared" si="0"/>
        <v>1</v>
      </c>
    </row>
    <row r="16" spans="1:23">
      <c r="A16" s="24" t="str">
        <f t="shared" si="2"/>
        <v>11209_1-3/336&lt;lv1&gt;s1</v>
      </c>
      <c r="B16" s="19">
        <f t="shared" si="0"/>
        <v>11209</v>
      </c>
      <c r="C16" s="19">
        <f t="shared" si="0"/>
        <v>1</v>
      </c>
      <c r="D16" s="19">
        <f t="shared" si="0"/>
        <v>3</v>
      </c>
      <c r="E16" s="19">
        <f t="shared" si="0"/>
        <v>336</v>
      </c>
      <c r="F16" s="19">
        <f t="shared" si="0"/>
        <v>1</v>
      </c>
      <c r="G16" s="19">
        <f t="shared" si="1"/>
        <v>1</v>
      </c>
      <c r="H16" s="19">
        <f t="shared" si="1"/>
        <v>30</v>
      </c>
      <c r="I16" s="19">
        <f t="shared" si="1"/>
        <v>0</v>
      </c>
      <c r="J16" s="19">
        <f t="shared" si="0"/>
        <v>0</v>
      </c>
      <c r="K16" s="19">
        <f t="shared" si="0"/>
        <v>0</v>
      </c>
      <c r="L16" s="19">
        <f t="shared" si="0"/>
        <v>100</v>
      </c>
      <c r="M16" s="19">
        <f t="shared" ref="M16:W53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9">
        <f t="shared" si="3"/>
        <v>1</v>
      </c>
      <c r="O16" s="19">
        <f t="shared" si="3"/>
        <v>336</v>
      </c>
      <c r="P16" s="19">
        <f t="shared" si="3"/>
        <v>1</v>
      </c>
      <c r="Q16" s="19">
        <f t="shared" si="3"/>
        <v>3</v>
      </c>
      <c r="R16" s="19">
        <f t="shared" si="3"/>
        <v>100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1</v>
      </c>
    </row>
    <row r="17" spans="1:23">
      <c r="A17" s="24" t="str">
        <f t="shared" si="2"/>
        <v>11209_1-3/340&lt;lv1&gt;s1</v>
      </c>
      <c r="B17" s="19">
        <f t="shared" ref="B17:Q5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11209</v>
      </c>
      <c r="C17" s="19">
        <f t="shared" si="4"/>
        <v>1</v>
      </c>
      <c r="D17" s="19">
        <f t="shared" si="4"/>
        <v>3</v>
      </c>
      <c r="E17" s="19">
        <f t="shared" si="4"/>
        <v>340</v>
      </c>
      <c r="F17" s="19">
        <f t="shared" si="4"/>
        <v>1</v>
      </c>
      <c r="G17" s="19">
        <f t="shared" si="1"/>
        <v>1</v>
      </c>
      <c r="H17" s="19">
        <f t="shared" si="1"/>
        <v>30</v>
      </c>
      <c r="I17" s="19">
        <f t="shared" si="1"/>
        <v>0</v>
      </c>
      <c r="J17" s="19">
        <f t="shared" si="4"/>
        <v>0</v>
      </c>
      <c r="K17" s="19">
        <f t="shared" si="4"/>
        <v>0</v>
      </c>
      <c r="L17" s="19">
        <f t="shared" si="4"/>
        <v>100</v>
      </c>
      <c r="M17" s="19">
        <f t="shared" si="4"/>
        <v>0</v>
      </c>
      <c r="N17" s="19">
        <f t="shared" si="4"/>
        <v>1</v>
      </c>
      <c r="O17" s="19">
        <f t="shared" si="4"/>
        <v>340</v>
      </c>
      <c r="P17" s="19">
        <f t="shared" si="4"/>
        <v>1</v>
      </c>
      <c r="Q17" s="19">
        <f t="shared" si="4"/>
        <v>3</v>
      </c>
      <c r="R17" s="19">
        <f t="shared" si="3"/>
        <v>100</v>
      </c>
      <c r="S17" s="19">
        <f t="shared" si="3"/>
        <v>0</v>
      </c>
      <c r="T17" s="19">
        <f t="shared" si="3"/>
        <v>0</v>
      </c>
      <c r="U17" s="19">
        <f t="shared" si="3"/>
        <v>0</v>
      </c>
      <c r="V17" s="19">
        <f t="shared" si="3"/>
        <v>0</v>
      </c>
      <c r="W17" s="19">
        <f t="shared" si="3"/>
        <v>1</v>
      </c>
    </row>
    <row r="18" spans="1:23">
      <c r="A18" s="24" t="str">
        <f t="shared" si="2"/>
        <v>11209_1-3/344&lt;lv1&gt;s1</v>
      </c>
      <c r="B18" s="19">
        <f t="shared" si="4"/>
        <v>11209</v>
      </c>
      <c r="C18" s="19">
        <f t="shared" si="4"/>
        <v>1</v>
      </c>
      <c r="D18" s="19">
        <f t="shared" si="4"/>
        <v>3</v>
      </c>
      <c r="E18" s="19">
        <f t="shared" si="4"/>
        <v>344</v>
      </c>
      <c r="F18" s="19">
        <f t="shared" si="4"/>
        <v>1</v>
      </c>
      <c r="G18" s="19">
        <f t="shared" si="1"/>
        <v>1</v>
      </c>
      <c r="H18" s="19">
        <f t="shared" si="1"/>
        <v>30</v>
      </c>
      <c r="I18" s="19">
        <f t="shared" si="1"/>
        <v>0</v>
      </c>
      <c r="J18" s="19">
        <f t="shared" si="4"/>
        <v>0</v>
      </c>
      <c r="K18" s="19">
        <f t="shared" si="4"/>
        <v>0</v>
      </c>
      <c r="L18" s="19">
        <f t="shared" si="4"/>
        <v>100</v>
      </c>
      <c r="M18" s="19">
        <f t="shared" si="4"/>
        <v>0</v>
      </c>
      <c r="N18" s="19">
        <f t="shared" si="4"/>
        <v>1</v>
      </c>
      <c r="O18" s="19">
        <f t="shared" si="4"/>
        <v>344</v>
      </c>
      <c r="P18" s="19">
        <f t="shared" si="4"/>
        <v>1</v>
      </c>
      <c r="Q18" s="19">
        <f t="shared" si="4"/>
        <v>3</v>
      </c>
      <c r="R18" s="19">
        <f t="shared" si="3"/>
        <v>100</v>
      </c>
      <c r="S18" s="19">
        <f t="shared" si="3"/>
        <v>0</v>
      </c>
      <c r="T18" s="19">
        <f t="shared" si="3"/>
        <v>0</v>
      </c>
      <c r="U18" s="19">
        <f t="shared" si="3"/>
        <v>0</v>
      </c>
      <c r="V18" s="19">
        <f t="shared" si="3"/>
        <v>0</v>
      </c>
      <c r="W18" s="19">
        <f t="shared" si="3"/>
        <v>1</v>
      </c>
    </row>
    <row r="19" spans="1:23">
      <c r="A19" s="24" t="str">
        <f t="shared" si="2"/>
        <v>11209_1-3/333&lt;lv1&gt;s2</v>
      </c>
      <c r="B19" s="19">
        <f t="shared" si="4"/>
        <v>11209</v>
      </c>
      <c r="C19" s="19">
        <f t="shared" si="4"/>
        <v>1</v>
      </c>
      <c r="D19" s="19">
        <f t="shared" si="4"/>
        <v>3</v>
      </c>
      <c r="E19" s="19">
        <f t="shared" si="4"/>
        <v>333</v>
      </c>
      <c r="F19" s="19">
        <f t="shared" si="4"/>
        <v>1</v>
      </c>
      <c r="G19" s="19">
        <f t="shared" si="4"/>
        <v>1</v>
      </c>
      <c r="H19" s="19">
        <f t="shared" si="4"/>
        <v>30</v>
      </c>
      <c r="I19" s="19">
        <f t="shared" si="4"/>
        <v>-1000</v>
      </c>
      <c r="J19" s="19">
        <f t="shared" si="4"/>
        <v>0</v>
      </c>
      <c r="K19" s="19">
        <f t="shared" si="4"/>
        <v>1</v>
      </c>
      <c r="L19" s="19">
        <f t="shared" si="4"/>
        <v>0</v>
      </c>
      <c r="M19" s="19">
        <f t="shared" si="4"/>
        <v>2</v>
      </c>
      <c r="N19" s="19">
        <f t="shared" si="4"/>
        <v>2</v>
      </c>
      <c r="O19" s="19">
        <f t="shared" si="4"/>
        <v>333</v>
      </c>
      <c r="P19" s="19">
        <f t="shared" si="4"/>
        <v>1</v>
      </c>
      <c r="Q19" s="19">
        <f t="shared" si="4"/>
        <v>4</v>
      </c>
      <c r="R19" s="19">
        <f t="shared" si="3"/>
        <v>30</v>
      </c>
      <c r="S19" s="19">
        <f t="shared" si="3"/>
        <v>0</v>
      </c>
      <c r="T19" s="19">
        <f t="shared" si="3"/>
        <v>0</v>
      </c>
      <c r="U19" s="19">
        <f t="shared" si="3"/>
        <v>0</v>
      </c>
      <c r="V19" s="19">
        <f t="shared" si="3"/>
        <v>0</v>
      </c>
      <c r="W19" s="19">
        <f t="shared" si="3"/>
        <v>1</v>
      </c>
    </row>
    <row r="20" spans="1:23">
      <c r="A20" s="24" t="str">
        <f t="shared" si="2"/>
        <v>11209_1-3/345&lt;lv1&gt;s2</v>
      </c>
      <c r="B20" s="19">
        <f t="shared" si="4"/>
        <v>11209</v>
      </c>
      <c r="C20" s="19">
        <f t="shared" si="4"/>
        <v>1</v>
      </c>
      <c r="D20" s="19">
        <f t="shared" si="4"/>
        <v>3</v>
      </c>
      <c r="E20" s="19">
        <f t="shared" si="4"/>
        <v>345</v>
      </c>
      <c r="F20" s="19">
        <f t="shared" si="4"/>
        <v>1</v>
      </c>
      <c r="G20" s="19">
        <f t="shared" si="4"/>
        <v>1</v>
      </c>
      <c r="H20" s="19">
        <f t="shared" si="4"/>
        <v>30</v>
      </c>
      <c r="I20" s="19">
        <f t="shared" si="4"/>
        <v>-1000</v>
      </c>
      <c r="J20" s="19">
        <f t="shared" si="4"/>
        <v>0</v>
      </c>
      <c r="K20" s="19">
        <f t="shared" si="4"/>
        <v>1</v>
      </c>
      <c r="L20" s="19">
        <f t="shared" si="4"/>
        <v>0</v>
      </c>
      <c r="M20" s="19">
        <f t="shared" si="4"/>
        <v>2</v>
      </c>
      <c r="N20" s="19">
        <f t="shared" si="4"/>
        <v>2</v>
      </c>
      <c r="O20" s="19">
        <f t="shared" si="4"/>
        <v>345</v>
      </c>
      <c r="P20" s="19">
        <f t="shared" si="4"/>
        <v>1</v>
      </c>
      <c r="Q20" s="19">
        <f t="shared" si="4"/>
        <v>4</v>
      </c>
      <c r="R20" s="19">
        <f t="shared" si="3"/>
        <v>30</v>
      </c>
      <c r="S20" s="19">
        <f t="shared" si="3"/>
        <v>0</v>
      </c>
      <c r="T20" s="19">
        <f t="shared" si="3"/>
        <v>0</v>
      </c>
      <c r="U20" s="19">
        <f t="shared" si="3"/>
        <v>0</v>
      </c>
      <c r="V20" s="19">
        <f t="shared" si="3"/>
        <v>0</v>
      </c>
      <c r="W20" s="19">
        <f t="shared" si="3"/>
        <v>1</v>
      </c>
    </row>
    <row r="21" spans="1:23">
      <c r="A21" s="24" t="str">
        <f t="shared" si="2"/>
        <v>11209_1-4/333&lt;lv1&gt;s2</v>
      </c>
      <c r="B21" s="19">
        <f t="shared" si="4"/>
        <v>11209</v>
      </c>
      <c r="C21" s="19">
        <f t="shared" si="4"/>
        <v>1</v>
      </c>
      <c r="D21" s="19">
        <f t="shared" si="4"/>
        <v>4</v>
      </c>
      <c r="E21" s="19">
        <f t="shared" si="4"/>
        <v>333</v>
      </c>
      <c r="F21" s="19">
        <f t="shared" si="4"/>
        <v>1</v>
      </c>
      <c r="G21" s="19">
        <f t="shared" si="4"/>
        <v>1</v>
      </c>
      <c r="H21" s="19">
        <f t="shared" si="4"/>
        <v>30</v>
      </c>
      <c r="I21" s="19">
        <f t="shared" si="4"/>
        <v>-1000</v>
      </c>
      <c r="J21" s="19">
        <f t="shared" si="4"/>
        <v>0</v>
      </c>
      <c r="K21" s="19">
        <f t="shared" si="4"/>
        <v>1</v>
      </c>
      <c r="L21" s="19">
        <f t="shared" si="4"/>
        <v>100</v>
      </c>
      <c r="M21" s="19">
        <f t="shared" si="4"/>
        <v>0</v>
      </c>
      <c r="N21" s="19">
        <f t="shared" si="4"/>
        <v>2</v>
      </c>
      <c r="O21" s="19">
        <f t="shared" si="4"/>
        <v>333</v>
      </c>
      <c r="P21" s="19">
        <f t="shared" si="4"/>
        <v>1</v>
      </c>
      <c r="Q21" s="19">
        <f t="shared" si="4"/>
        <v>4</v>
      </c>
      <c r="R21" s="19">
        <f t="shared" si="3"/>
        <v>100</v>
      </c>
      <c r="S21" s="19">
        <f t="shared" si="3"/>
        <v>0</v>
      </c>
      <c r="T21" s="19">
        <f t="shared" si="3"/>
        <v>0</v>
      </c>
      <c r="U21" s="19">
        <f t="shared" si="3"/>
        <v>0</v>
      </c>
      <c r="V21" s="19">
        <f t="shared" si="3"/>
        <v>0</v>
      </c>
      <c r="W21" s="19">
        <f t="shared" si="3"/>
        <v>1</v>
      </c>
    </row>
    <row r="22" spans="1:23">
      <c r="A22" s="24" t="str">
        <f t="shared" si="2"/>
        <v>11209_1-4/337&lt;lv1&gt;s2</v>
      </c>
      <c r="B22" s="19">
        <f t="shared" si="4"/>
        <v>11209</v>
      </c>
      <c r="C22" s="19">
        <f t="shared" si="4"/>
        <v>1</v>
      </c>
      <c r="D22" s="19">
        <f t="shared" si="4"/>
        <v>4</v>
      </c>
      <c r="E22" s="19">
        <f t="shared" si="4"/>
        <v>337</v>
      </c>
      <c r="F22" s="19">
        <f t="shared" si="4"/>
        <v>1</v>
      </c>
      <c r="G22" s="19">
        <f t="shared" si="4"/>
        <v>1</v>
      </c>
      <c r="H22" s="19">
        <f t="shared" si="4"/>
        <v>30</v>
      </c>
      <c r="I22" s="19">
        <f t="shared" si="4"/>
        <v>-1000</v>
      </c>
      <c r="J22" s="19">
        <f t="shared" si="4"/>
        <v>0</v>
      </c>
      <c r="K22" s="19">
        <f t="shared" si="4"/>
        <v>1</v>
      </c>
      <c r="L22" s="19">
        <f t="shared" si="4"/>
        <v>100</v>
      </c>
      <c r="M22" s="19">
        <f t="shared" si="4"/>
        <v>0</v>
      </c>
      <c r="N22" s="19">
        <f t="shared" si="4"/>
        <v>2</v>
      </c>
      <c r="O22" s="19">
        <f t="shared" si="4"/>
        <v>337</v>
      </c>
      <c r="P22" s="19">
        <f t="shared" si="4"/>
        <v>1</v>
      </c>
      <c r="Q22" s="19">
        <f t="shared" si="4"/>
        <v>4</v>
      </c>
      <c r="R22" s="19">
        <f t="shared" si="3"/>
        <v>100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1</v>
      </c>
    </row>
    <row r="23" spans="1:23">
      <c r="A23" s="24" t="str">
        <f t="shared" si="2"/>
        <v>11209_1-4/341&lt;lv1&gt;s2</v>
      </c>
      <c r="B23" s="19">
        <f t="shared" si="4"/>
        <v>11209</v>
      </c>
      <c r="C23" s="19">
        <f t="shared" si="4"/>
        <v>1</v>
      </c>
      <c r="D23" s="19">
        <f t="shared" si="4"/>
        <v>4</v>
      </c>
      <c r="E23" s="19">
        <f t="shared" si="4"/>
        <v>341</v>
      </c>
      <c r="F23" s="19">
        <f t="shared" si="4"/>
        <v>1</v>
      </c>
      <c r="G23" s="19">
        <f t="shared" si="4"/>
        <v>1</v>
      </c>
      <c r="H23" s="19">
        <f t="shared" si="4"/>
        <v>30</v>
      </c>
      <c r="I23" s="19">
        <f t="shared" si="4"/>
        <v>-1000</v>
      </c>
      <c r="J23" s="19">
        <f t="shared" si="4"/>
        <v>0</v>
      </c>
      <c r="K23" s="19">
        <f t="shared" si="4"/>
        <v>1</v>
      </c>
      <c r="L23" s="19">
        <f t="shared" si="4"/>
        <v>100</v>
      </c>
      <c r="M23" s="19">
        <f t="shared" si="4"/>
        <v>0</v>
      </c>
      <c r="N23" s="19">
        <f t="shared" si="4"/>
        <v>2</v>
      </c>
      <c r="O23" s="19">
        <f t="shared" si="4"/>
        <v>341</v>
      </c>
      <c r="P23" s="19">
        <f t="shared" si="4"/>
        <v>1</v>
      </c>
      <c r="Q23" s="19">
        <f t="shared" si="4"/>
        <v>4</v>
      </c>
      <c r="R23" s="19">
        <f t="shared" si="3"/>
        <v>100</v>
      </c>
      <c r="S23" s="19">
        <f t="shared" si="3"/>
        <v>0</v>
      </c>
      <c r="T23" s="19">
        <f t="shared" si="3"/>
        <v>0</v>
      </c>
      <c r="U23" s="19">
        <f t="shared" si="3"/>
        <v>0</v>
      </c>
      <c r="V23" s="19">
        <f t="shared" si="3"/>
        <v>0</v>
      </c>
      <c r="W23" s="19">
        <f t="shared" si="3"/>
        <v>1</v>
      </c>
    </row>
    <row r="24" spans="1:23">
      <c r="A24" s="24" t="str">
        <f t="shared" si="2"/>
        <v>11209_1-4/345&lt;lv1&gt;s2</v>
      </c>
      <c r="B24" s="19">
        <f t="shared" si="4"/>
        <v>11209</v>
      </c>
      <c r="C24" s="19">
        <f t="shared" si="4"/>
        <v>1</v>
      </c>
      <c r="D24" s="19">
        <f t="shared" si="4"/>
        <v>4</v>
      </c>
      <c r="E24" s="19">
        <f t="shared" si="4"/>
        <v>345</v>
      </c>
      <c r="F24" s="19">
        <f t="shared" si="4"/>
        <v>1</v>
      </c>
      <c r="G24" s="19">
        <f t="shared" si="4"/>
        <v>1</v>
      </c>
      <c r="H24" s="19">
        <f t="shared" si="4"/>
        <v>30</v>
      </c>
      <c r="I24" s="19">
        <f t="shared" si="4"/>
        <v>-1000</v>
      </c>
      <c r="J24" s="19">
        <f t="shared" si="4"/>
        <v>0</v>
      </c>
      <c r="K24" s="19">
        <f t="shared" si="4"/>
        <v>1</v>
      </c>
      <c r="L24" s="19">
        <f t="shared" si="4"/>
        <v>100</v>
      </c>
      <c r="M24" s="19">
        <f t="shared" si="4"/>
        <v>0</v>
      </c>
      <c r="N24" s="19">
        <f t="shared" si="4"/>
        <v>2</v>
      </c>
      <c r="O24" s="19">
        <f t="shared" si="4"/>
        <v>345</v>
      </c>
      <c r="P24" s="19">
        <f t="shared" si="4"/>
        <v>1</v>
      </c>
      <c r="Q24" s="19">
        <f t="shared" si="4"/>
        <v>4</v>
      </c>
      <c r="R24" s="19">
        <f t="shared" si="3"/>
        <v>100</v>
      </c>
      <c r="S24" s="19">
        <f t="shared" si="3"/>
        <v>0</v>
      </c>
      <c r="T24" s="19">
        <f t="shared" si="3"/>
        <v>0</v>
      </c>
      <c r="U24" s="19">
        <f t="shared" si="3"/>
        <v>0</v>
      </c>
      <c r="V24" s="19">
        <f t="shared" si="3"/>
        <v>0</v>
      </c>
      <c r="W24" s="19">
        <f t="shared" si="3"/>
        <v>1</v>
      </c>
    </row>
    <row r="25" spans="1:23">
      <c r="A25" s="24" t="str">
        <f t="shared" si="2"/>
        <v>11209_1-5/337&lt;lv1&gt;s2</v>
      </c>
      <c r="B25" s="19">
        <f t="shared" si="4"/>
        <v>11209</v>
      </c>
      <c r="C25" s="19">
        <f t="shared" si="4"/>
        <v>1</v>
      </c>
      <c r="D25" s="19">
        <f t="shared" si="4"/>
        <v>5</v>
      </c>
      <c r="E25" s="19">
        <f t="shared" si="4"/>
        <v>337</v>
      </c>
      <c r="F25" s="19">
        <f t="shared" si="4"/>
        <v>1</v>
      </c>
      <c r="G25" s="19">
        <f t="shared" si="4"/>
        <v>1</v>
      </c>
      <c r="H25" s="19">
        <f t="shared" si="4"/>
        <v>30</v>
      </c>
      <c r="I25" s="19">
        <f t="shared" si="4"/>
        <v>-1000</v>
      </c>
      <c r="J25" s="19">
        <f t="shared" si="4"/>
        <v>0</v>
      </c>
      <c r="K25" s="19">
        <f t="shared" si="4"/>
        <v>1</v>
      </c>
      <c r="L25" s="19">
        <f t="shared" si="4"/>
        <v>100</v>
      </c>
      <c r="M25" s="19">
        <f t="shared" si="4"/>
        <v>0</v>
      </c>
      <c r="N25" s="19">
        <f t="shared" si="4"/>
        <v>2</v>
      </c>
      <c r="O25" s="19">
        <f t="shared" si="4"/>
        <v>337</v>
      </c>
      <c r="P25" s="19">
        <f t="shared" si="4"/>
        <v>1</v>
      </c>
      <c r="Q25" s="19">
        <f t="shared" si="4"/>
        <v>4</v>
      </c>
      <c r="R25" s="19">
        <f t="shared" si="3"/>
        <v>100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1</v>
      </c>
    </row>
    <row r="26" spans="1:23">
      <c r="A26" s="24" t="str">
        <f t="shared" si="2"/>
        <v>11209_1-5/341&lt;lv1&gt;s2</v>
      </c>
      <c r="B26" s="19">
        <f t="shared" si="4"/>
        <v>11209</v>
      </c>
      <c r="C26" s="19">
        <f t="shared" si="4"/>
        <v>1</v>
      </c>
      <c r="D26" s="19">
        <f t="shared" si="4"/>
        <v>5</v>
      </c>
      <c r="E26" s="19">
        <f t="shared" si="4"/>
        <v>341</v>
      </c>
      <c r="F26" s="19">
        <f t="shared" si="4"/>
        <v>1</v>
      </c>
      <c r="G26" s="19">
        <f t="shared" si="4"/>
        <v>1</v>
      </c>
      <c r="H26" s="19">
        <f t="shared" si="4"/>
        <v>30</v>
      </c>
      <c r="I26" s="19">
        <f t="shared" si="4"/>
        <v>-1000</v>
      </c>
      <c r="J26" s="19">
        <f t="shared" si="4"/>
        <v>0</v>
      </c>
      <c r="K26" s="19">
        <f t="shared" si="4"/>
        <v>1</v>
      </c>
      <c r="L26" s="19">
        <f t="shared" si="4"/>
        <v>100</v>
      </c>
      <c r="M26" s="19">
        <f t="shared" si="4"/>
        <v>0</v>
      </c>
      <c r="N26" s="19">
        <f t="shared" si="4"/>
        <v>2</v>
      </c>
      <c r="O26" s="19">
        <f t="shared" si="4"/>
        <v>341</v>
      </c>
      <c r="P26" s="19">
        <f t="shared" si="4"/>
        <v>1</v>
      </c>
      <c r="Q26" s="19">
        <f t="shared" si="4"/>
        <v>4</v>
      </c>
      <c r="R26" s="19">
        <f t="shared" si="3"/>
        <v>100</v>
      </c>
      <c r="S26" s="19">
        <f t="shared" si="3"/>
        <v>0</v>
      </c>
      <c r="T26" s="19">
        <f t="shared" si="3"/>
        <v>0</v>
      </c>
      <c r="U26" s="19">
        <f t="shared" si="3"/>
        <v>0</v>
      </c>
      <c r="V26" s="19">
        <f t="shared" si="3"/>
        <v>0</v>
      </c>
      <c r="W26" s="19">
        <f t="shared" si="3"/>
        <v>1</v>
      </c>
    </row>
    <row r="27" spans="1:23">
      <c r="A27" s="24" t="str">
        <f t="shared" si="2"/>
        <v>11209_1-5/334&lt;lv1&gt;s3</v>
      </c>
      <c r="B27" s="19">
        <f t="shared" si="4"/>
        <v>11209</v>
      </c>
      <c r="C27" s="19">
        <f t="shared" si="4"/>
        <v>1</v>
      </c>
      <c r="D27" s="19">
        <f t="shared" si="4"/>
        <v>5</v>
      </c>
      <c r="E27" s="19">
        <f t="shared" si="4"/>
        <v>334</v>
      </c>
      <c r="F27" s="19">
        <f t="shared" si="4"/>
        <v>1</v>
      </c>
      <c r="G27" s="19">
        <f t="shared" si="4"/>
        <v>1</v>
      </c>
      <c r="H27" s="19">
        <f t="shared" si="4"/>
        <v>30</v>
      </c>
      <c r="I27" s="19">
        <f t="shared" si="4"/>
        <v>-5000</v>
      </c>
      <c r="J27" s="19">
        <f t="shared" si="4"/>
        <v>0</v>
      </c>
      <c r="K27" s="19">
        <f t="shared" si="4"/>
        <v>0</v>
      </c>
      <c r="L27" s="19">
        <f t="shared" si="4"/>
        <v>100</v>
      </c>
      <c r="M27" s="19">
        <f t="shared" si="4"/>
        <v>1</v>
      </c>
      <c r="N27" s="19">
        <f t="shared" si="4"/>
        <v>3</v>
      </c>
      <c r="O27" s="19">
        <f t="shared" si="4"/>
        <v>334</v>
      </c>
      <c r="P27" s="19">
        <f t="shared" si="4"/>
        <v>1</v>
      </c>
      <c r="Q27" s="19">
        <f t="shared" si="4"/>
        <v>5</v>
      </c>
      <c r="R27" s="19">
        <f t="shared" si="3"/>
        <v>25</v>
      </c>
      <c r="S27" s="19">
        <f t="shared" si="3"/>
        <v>0</v>
      </c>
      <c r="T27" s="19">
        <f t="shared" si="3"/>
        <v>0</v>
      </c>
      <c r="U27" s="19">
        <f t="shared" si="3"/>
        <v>0</v>
      </c>
      <c r="V27" s="19">
        <f t="shared" si="3"/>
        <v>0</v>
      </c>
      <c r="W27" s="19">
        <f t="shared" si="3"/>
        <v>1</v>
      </c>
    </row>
    <row r="28" spans="1:23">
      <c r="A28" s="24" t="str">
        <f t="shared" si="2"/>
        <v>11209_1-5/338&lt;lv1&gt;s3</v>
      </c>
      <c r="B28" s="19">
        <f t="shared" si="4"/>
        <v>11209</v>
      </c>
      <c r="C28" s="19">
        <f t="shared" si="4"/>
        <v>1</v>
      </c>
      <c r="D28" s="19">
        <f t="shared" si="4"/>
        <v>5</v>
      </c>
      <c r="E28" s="19">
        <f t="shared" si="4"/>
        <v>338</v>
      </c>
      <c r="F28" s="19">
        <f t="shared" si="4"/>
        <v>1</v>
      </c>
      <c r="G28" s="19">
        <f t="shared" si="4"/>
        <v>1</v>
      </c>
      <c r="H28" s="19">
        <f t="shared" si="4"/>
        <v>30</v>
      </c>
      <c r="I28" s="19">
        <f t="shared" si="4"/>
        <v>-5000</v>
      </c>
      <c r="J28" s="19">
        <f t="shared" si="4"/>
        <v>0</v>
      </c>
      <c r="K28" s="19">
        <f t="shared" si="4"/>
        <v>0</v>
      </c>
      <c r="L28" s="19">
        <f t="shared" si="4"/>
        <v>100</v>
      </c>
      <c r="M28" s="19">
        <f t="shared" si="4"/>
        <v>1</v>
      </c>
      <c r="N28" s="19">
        <f t="shared" si="4"/>
        <v>3</v>
      </c>
      <c r="O28" s="19">
        <f t="shared" si="4"/>
        <v>338</v>
      </c>
      <c r="P28" s="19">
        <f t="shared" si="4"/>
        <v>1</v>
      </c>
      <c r="Q28" s="19">
        <f t="shared" si="4"/>
        <v>5</v>
      </c>
      <c r="R28" s="19">
        <f t="shared" si="3"/>
        <v>25</v>
      </c>
      <c r="S28" s="19">
        <f t="shared" si="3"/>
        <v>0</v>
      </c>
      <c r="T28" s="19">
        <f t="shared" si="3"/>
        <v>0</v>
      </c>
      <c r="U28" s="19">
        <f t="shared" si="3"/>
        <v>0</v>
      </c>
      <c r="V28" s="19">
        <f t="shared" si="3"/>
        <v>0</v>
      </c>
      <c r="W28" s="19">
        <f t="shared" si="3"/>
        <v>1</v>
      </c>
    </row>
    <row r="29" spans="1:23">
      <c r="A29" s="24" t="str">
        <f t="shared" si="2"/>
        <v>11209_1-5/342&lt;lv1&gt;s3</v>
      </c>
      <c r="B29" s="19">
        <f t="shared" si="4"/>
        <v>11209</v>
      </c>
      <c r="C29" s="19">
        <f t="shared" si="4"/>
        <v>1</v>
      </c>
      <c r="D29" s="19">
        <f t="shared" si="4"/>
        <v>5</v>
      </c>
      <c r="E29" s="19">
        <f t="shared" si="4"/>
        <v>342</v>
      </c>
      <c r="F29" s="19">
        <f t="shared" si="4"/>
        <v>1</v>
      </c>
      <c r="G29" s="19">
        <f t="shared" si="4"/>
        <v>1</v>
      </c>
      <c r="H29" s="19">
        <f t="shared" si="4"/>
        <v>30</v>
      </c>
      <c r="I29" s="19">
        <f t="shared" si="4"/>
        <v>-5000</v>
      </c>
      <c r="J29" s="19">
        <f t="shared" si="4"/>
        <v>0</v>
      </c>
      <c r="K29" s="19">
        <f t="shared" si="4"/>
        <v>0</v>
      </c>
      <c r="L29" s="19">
        <f t="shared" si="4"/>
        <v>100</v>
      </c>
      <c r="M29" s="19">
        <f t="shared" si="4"/>
        <v>1</v>
      </c>
      <c r="N29" s="19">
        <f t="shared" si="4"/>
        <v>3</v>
      </c>
      <c r="O29" s="19">
        <f t="shared" si="4"/>
        <v>342</v>
      </c>
      <c r="P29" s="19">
        <f t="shared" si="4"/>
        <v>1</v>
      </c>
      <c r="Q29" s="19">
        <f t="shared" si="4"/>
        <v>5</v>
      </c>
      <c r="R29" s="19">
        <f t="shared" si="3"/>
        <v>25</v>
      </c>
      <c r="S29" s="19">
        <f t="shared" si="3"/>
        <v>0</v>
      </c>
      <c r="T29" s="19">
        <f t="shared" si="3"/>
        <v>0</v>
      </c>
      <c r="U29" s="19">
        <f t="shared" si="3"/>
        <v>0</v>
      </c>
      <c r="V29" s="19">
        <f t="shared" si="3"/>
        <v>0</v>
      </c>
      <c r="W29" s="19">
        <f t="shared" si="3"/>
        <v>1</v>
      </c>
    </row>
    <row r="30" spans="1:23">
      <c r="A30" s="24" t="str">
        <f t="shared" si="2"/>
        <v>11209_1-5/346&lt;lv1&gt;s3</v>
      </c>
      <c r="B30" s="19">
        <f t="shared" si="4"/>
        <v>11209</v>
      </c>
      <c r="C30" s="19">
        <f t="shared" si="4"/>
        <v>1</v>
      </c>
      <c r="D30" s="19">
        <f t="shared" si="4"/>
        <v>5</v>
      </c>
      <c r="E30" s="19">
        <f t="shared" si="4"/>
        <v>346</v>
      </c>
      <c r="F30" s="19">
        <f t="shared" si="4"/>
        <v>1</v>
      </c>
      <c r="G30" s="19">
        <f t="shared" si="4"/>
        <v>1</v>
      </c>
      <c r="H30" s="19">
        <f t="shared" si="4"/>
        <v>30</v>
      </c>
      <c r="I30" s="19">
        <f t="shared" si="4"/>
        <v>-5000</v>
      </c>
      <c r="J30" s="19">
        <f t="shared" si="4"/>
        <v>0</v>
      </c>
      <c r="K30" s="19">
        <f t="shared" si="4"/>
        <v>0</v>
      </c>
      <c r="L30" s="19">
        <f t="shared" si="4"/>
        <v>100</v>
      </c>
      <c r="M30" s="19">
        <f t="shared" si="4"/>
        <v>1</v>
      </c>
      <c r="N30" s="19">
        <f t="shared" si="4"/>
        <v>3</v>
      </c>
      <c r="O30" s="19">
        <f t="shared" si="4"/>
        <v>346</v>
      </c>
      <c r="P30" s="19">
        <f t="shared" si="4"/>
        <v>1</v>
      </c>
      <c r="Q30" s="19">
        <f t="shared" si="4"/>
        <v>5</v>
      </c>
      <c r="R30" s="19">
        <f t="shared" si="3"/>
        <v>25</v>
      </c>
      <c r="S30" s="19">
        <f t="shared" si="3"/>
        <v>0</v>
      </c>
      <c r="T30" s="19">
        <f t="shared" si="3"/>
        <v>0</v>
      </c>
      <c r="U30" s="19">
        <f t="shared" si="3"/>
        <v>0</v>
      </c>
      <c r="V30" s="19">
        <f t="shared" si="3"/>
        <v>0</v>
      </c>
      <c r="W30" s="19">
        <f t="shared" si="3"/>
        <v>1</v>
      </c>
    </row>
    <row r="31" spans="1:23">
      <c r="A31" s="24" t="str">
        <f t="shared" si="2"/>
        <v>11209_2-1/117&lt;lv2&gt;s1</v>
      </c>
      <c r="B31" s="19">
        <f t="shared" si="4"/>
        <v>11209</v>
      </c>
      <c r="C31" s="19">
        <f t="shared" si="4"/>
        <v>2</v>
      </c>
      <c r="D31" s="19">
        <f t="shared" si="4"/>
        <v>1</v>
      </c>
      <c r="E31" s="19">
        <f t="shared" si="4"/>
        <v>117</v>
      </c>
      <c r="F31" s="19">
        <f t="shared" si="4"/>
        <v>2</v>
      </c>
      <c r="G31" s="19">
        <f t="shared" si="4"/>
        <v>7.5</v>
      </c>
      <c r="H31" s="19">
        <f t="shared" si="4"/>
        <v>11</v>
      </c>
      <c r="I31" s="19">
        <f t="shared" si="4"/>
        <v>0</v>
      </c>
      <c r="J31" s="19">
        <f t="shared" si="4"/>
        <v>0</v>
      </c>
      <c r="K31" s="19">
        <f t="shared" si="4"/>
        <v>1</v>
      </c>
      <c r="L31" s="19">
        <f t="shared" si="4"/>
        <v>0</v>
      </c>
      <c r="M31" s="19">
        <f t="shared" si="4"/>
        <v>1</v>
      </c>
      <c r="N31" s="19">
        <f t="shared" si="4"/>
        <v>1</v>
      </c>
      <c r="O31" s="19">
        <f t="shared" si="4"/>
        <v>117</v>
      </c>
      <c r="P31" s="19">
        <f t="shared" si="4"/>
        <v>1</v>
      </c>
      <c r="Q31" s="19">
        <f t="shared" si="4"/>
        <v>3</v>
      </c>
      <c r="R31" s="19">
        <f t="shared" si="3"/>
        <v>100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>
        <f t="shared" si="3"/>
        <v>0</v>
      </c>
      <c r="W31" s="19">
        <f t="shared" si="3"/>
        <v>1</v>
      </c>
    </row>
    <row r="32" spans="1:23">
      <c r="A32" s="24" t="str">
        <f t="shared" si="2"/>
        <v>11209_2-1/117&lt;lv1&gt;s1</v>
      </c>
      <c r="B32" s="19">
        <f t="shared" si="4"/>
        <v>11209</v>
      </c>
      <c r="C32" s="19">
        <f t="shared" si="4"/>
        <v>2</v>
      </c>
      <c r="D32" s="19">
        <f t="shared" si="4"/>
        <v>1</v>
      </c>
      <c r="E32" s="19">
        <f t="shared" si="4"/>
        <v>117</v>
      </c>
      <c r="F32" s="19">
        <f t="shared" si="4"/>
        <v>1</v>
      </c>
      <c r="G32" s="19">
        <f t="shared" si="4"/>
        <v>10.5</v>
      </c>
      <c r="H32" s="19">
        <f t="shared" si="4"/>
        <v>11</v>
      </c>
      <c r="I32" s="19">
        <f t="shared" si="4"/>
        <v>0</v>
      </c>
      <c r="J32" s="19">
        <f t="shared" si="4"/>
        <v>0</v>
      </c>
      <c r="K32" s="19">
        <f t="shared" si="4"/>
        <v>0</v>
      </c>
      <c r="L32" s="19">
        <f t="shared" si="4"/>
        <v>100</v>
      </c>
      <c r="M32" s="19">
        <f t="shared" si="4"/>
        <v>0</v>
      </c>
      <c r="N32" s="19">
        <f t="shared" si="4"/>
        <v>1</v>
      </c>
      <c r="O32" s="19">
        <f t="shared" si="4"/>
        <v>117</v>
      </c>
      <c r="P32" s="19">
        <f t="shared" si="4"/>
        <v>1</v>
      </c>
      <c r="Q32" s="19">
        <f t="shared" si="4"/>
        <v>3</v>
      </c>
      <c r="R32" s="19">
        <f t="shared" si="3"/>
        <v>100</v>
      </c>
      <c r="S32" s="19">
        <f t="shared" si="3"/>
        <v>0</v>
      </c>
      <c r="T32" s="19">
        <f t="shared" si="3"/>
        <v>0</v>
      </c>
      <c r="U32" s="19">
        <f t="shared" si="3"/>
        <v>0</v>
      </c>
      <c r="V32" s="19">
        <f t="shared" si="3"/>
        <v>0</v>
      </c>
      <c r="W32" s="19">
        <f t="shared" si="3"/>
        <v>1</v>
      </c>
    </row>
    <row r="33" spans="1:23">
      <c r="A33" s="24" t="str">
        <f t="shared" si="2"/>
        <v>11209_2-1/1&lt;lv5&gt;s1</v>
      </c>
      <c r="B33" s="19">
        <f t="shared" si="4"/>
        <v>11209</v>
      </c>
      <c r="C33" s="19">
        <f t="shared" si="4"/>
        <v>2</v>
      </c>
      <c r="D33" s="19">
        <f t="shared" si="4"/>
        <v>1</v>
      </c>
      <c r="E33" s="19">
        <f t="shared" si="4"/>
        <v>1</v>
      </c>
      <c r="F33" s="19">
        <f t="shared" si="4"/>
        <v>5</v>
      </c>
      <c r="G33" s="19">
        <f t="shared" ref="G33:V53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" s="19">
        <f t="shared" si="5"/>
        <v>1</v>
      </c>
      <c r="I33" s="19">
        <f t="shared" si="5"/>
        <v>0</v>
      </c>
      <c r="J33" s="19">
        <f t="shared" si="5"/>
        <v>0</v>
      </c>
      <c r="K33" s="19">
        <f t="shared" si="5"/>
        <v>0</v>
      </c>
      <c r="L33" s="19">
        <f t="shared" si="5"/>
        <v>100</v>
      </c>
      <c r="M33" s="19">
        <f t="shared" si="5"/>
        <v>0</v>
      </c>
      <c r="N33" s="19">
        <f t="shared" si="5"/>
        <v>1</v>
      </c>
      <c r="O33" s="19">
        <f t="shared" si="5"/>
        <v>1</v>
      </c>
      <c r="P33" s="19">
        <f t="shared" si="5"/>
        <v>1</v>
      </c>
      <c r="Q33" s="19">
        <f t="shared" si="5"/>
        <v>1</v>
      </c>
      <c r="R33" s="19">
        <f t="shared" si="5"/>
        <v>0</v>
      </c>
      <c r="S33" s="19">
        <f t="shared" si="5"/>
        <v>0</v>
      </c>
      <c r="T33" s="19">
        <f t="shared" si="5"/>
        <v>0</v>
      </c>
      <c r="U33" s="19">
        <f t="shared" si="5"/>
        <v>0</v>
      </c>
      <c r="V33" s="19">
        <f t="shared" si="5"/>
        <v>0</v>
      </c>
      <c r="W33" s="19">
        <f t="shared" si="3"/>
        <v>1</v>
      </c>
    </row>
    <row r="34" spans="1:23">
      <c r="A34" s="24" t="str">
        <f t="shared" si="2"/>
        <v>11209_2-2/117&lt;lv2&gt;s1</v>
      </c>
      <c r="B34" s="19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11209</v>
      </c>
      <c r="C34" s="19">
        <f t="shared" si="6"/>
        <v>2</v>
      </c>
      <c r="D34" s="19">
        <f t="shared" si="6"/>
        <v>2</v>
      </c>
      <c r="E34" s="19">
        <f t="shared" si="6"/>
        <v>117</v>
      </c>
      <c r="F34" s="19">
        <f t="shared" si="6"/>
        <v>2</v>
      </c>
      <c r="G34" s="19">
        <f t="shared" si="5"/>
        <v>7.5</v>
      </c>
      <c r="H34" s="19">
        <f t="shared" si="5"/>
        <v>11</v>
      </c>
      <c r="I34" s="19">
        <f t="shared" si="5"/>
        <v>0</v>
      </c>
      <c r="J34" s="19">
        <f t="shared" si="6"/>
        <v>0</v>
      </c>
      <c r="K34" s="19">
        <f t="shared" si="6"/>
        <v>1</v>
      </c>
      <c r="L34" s="19">
        <f t="shared" si="6"/>
        <v>100</v>
      </c>
      <c r="M34" s="19">
        <f t="shared" si="6"/>
        <v>0</v>
      </c>
      <c r="N34" s="19">
        <f t="shared" si="6"/>
        <v>1</v>
      </c>
      <c r="O34" s="19">
        <f t="shared" si="6"/>
        <v>117</v>
      </c>
      <c r="P34" s="19">
        <f t="shared" si="6"/>
        <v>1</v>
      </c>
      <c r="Q34" s="19">
        <f t="shared" si="6"/>
        <v>3</v>
      </c>
      <c r="R34" s="19">
        <f t="shared" si="5"/>
        <v>100</v>
      </c>
      <c r="S34" s="19">
        <f t="shared" si="5"/>
        <v>0</v>
      </c>
      <c r="T34" s="19">
        <f t="shared" si="5"/>
        <v>0</v>
      </c>
      <c r="U34" s="19">
        <f t="shared" si="5"/>
        <v>0</v>
      </c>
      <c r="V34" s="19">
        <f t="shared" si="5"/>
        <v>0</v>
      </c>
      <c r="W34" s="19">
        <f t="shared" si="3"/>
        <v>1</v>
      </c>
    </row>
    <row r="35" spans="1:23">
      <c r="A35" s="24" t="str">
        <f t="shared" si="2"/>
        <v>11209_2-2/117&lt;lv1&gt;s1</v>
      </c>
      <c r="B35" s="19">
        <f t="shared" si="6"/>
        <v>11209</v>
      </c>
      <c r="C35" s="19">
        <f t="shared" si="6"/>
        <v>2</v>
      </c>
      <c r="D35" s="19">
        <f t="shared" si="6"/>
        <v>2</v>
      </c>
      <c r="E35" s="19">
        <f t="shared" si="6"/>
        <v>117</v>
      </c>
      <c r="F35" s="19">
        <f t="shared" si="6"/>
        <v>1</v>
      </c>
      <c r="G35" s="19">
        <f t="shared" si="5"/>
        <v>10.5</v>
      </c>
      <c r="H35" s="19">
        <f t="shared" si="5"/>
        <v>11</v>
      </c>
      <c r="I35" s="19">
        <f t="shared" si="5"/>
        <v>0</v>
      </c>
      <c r="J35" s="19">
        <f t="shared" si="6"/>
        <v>0</v>
      </c>
      <c r="K35" s="19">
        <f t="shared" si="6"/>
        <v>0</v>
      </c>
      <c r="L35" s="19">
        <f t="shared" si="6"/>
        <v>100</v>
      </c>
      <c r="M35" s="19">
        <f t="shared" si="6"/>
        <v>0</v>
      </c>
      <c r="N35" s="19">
        <f t="shared" si="6"/>
        <v>1</v>
      </c>
      <c r="O35" s="19">
        <f t="shared" si="6"/>
        <v>117</v>
      </c>
      <c r="P35" s="19">
        <f t="shared" si="6"/>
        <v>1</v>
      </c>
      <c r="Q35" s="19">
        <f t="shared" si="6"/>
        <v>3</v>
      </c>
      <c r="R35" s="19">
        <f t="shared" si="5"/>
        <v>100</v>
      </c>
      <c r="S35" s="19">
        <f t="shared" si="5"/>
        <v>0</v>
      </c>
      <c r="T35" s="19">
        <f t="shared" si="5"/>
        <v>0</v>
      </c>
      <c r="U35" s="19">
        <f t="shared" si="5"/>
        <v>0</v>
      </c>
      <c r="V35" s="19">
        <f t="shared" si="5"/>
        <v>0</v>
      </c>
      <c r="W35" s="19">
        <f t="shared" si="3"/>
        <v>1</v>
      </c>
    </row>
    <row r="36" spans="1:23">
      <c r="A36" s="24" t="str">
        <f t="shared" si="2"/>
        <v>11209_2-2/1&lt;lv5&gt;s1</v>
      </c>
      <c r="B36" s="19">
        <f t="shared" si="6"/>
        <v>11209</v>
      </c>
      <c r="C36" s="19">
        <f t="shared" si="6"/>
        <v>2</v>
      </c>
      <c r="D36" s="19">
        <f t="shared" si="6"/>
        <v>2</v>
      </c>
      <c r="E36" s="19">
        <f t="shared" si="6"/>
        <v>1</v>
      </c>
      <c r="F36" s="19">
        <f t="shared" si="6"/>
        <v>5</v>
      </c>
      <c r="G36" s="19">
        <f t="shared" si="5"/>
        <v>1</v>
      </c>
      <c r="H36" s="19">
        <f t="shared" si="5"/>
        <v>1</v>
      </c>
      <c r="I36" s="19">
        <f t="shared" si="5"/>
        <v>0</v>
      </c>
      <c r="J36" s="19">
        <f t="shared" si="6"/>
        <v>0</v>
      </c>
      <c r="K36" s="19">
        <f t="shared" si="6"/>
        <v>0</v>
      </c>
      <c r="L36" s="19">
        <f t="shared" si="6"/>
        <v>100</v>
      </c>
      <c r="M36" s="19">
        <f t="shared" si="6"/>
        <v>0</v>
      </c>
      <c r="N36" s="19">
        <f t="shared" si="6"/>
        <v>1</v>
      </c>
      <c r="O36" s="19">
        <f t="shared" si="6"/>
        <v>1</v>
      </c>
      <c r="P36" s="19">
        <f t="shared" si="6"/>
        <v>1</v>
      </c>
      <c r="Q36" s="19">
        <f t="shared" si="6"/>
        <v>1</v>
      </c>
      <c r="R36" s="19">
        <f t="shared" si="5"/>
        <v>0</v>
      </c>
      <c r="S36" s="19">
        <f t="shared" si="5"/>
        <v>0</v>
      </c>
      <c r="T36" s="19">
        <f t="shared" si="5"/>
        <v>0</v>
      </c>
      <c r="U36" s="19">
        <f t="shared" si="5"/>
        <v>0</v>
      </c>
      <c r="V36" s="19">
        <f t="shared" si="5"/>
        <v>0</v>
      </c>
      <c r="W36" s="19">
        <f t="shared" si="3"/>
        <v>1</v>
      </c>
    </row>
    <row r="37" spans="1:23">
      <c r="A37" s="24" t="str">
        <f t="shared" si="2"/>
        <v>11209_2-2/3&lt;lv5&gt;s2</v>
      </c>
      <c r="B37" s="19">
        <f t="shared" si="6"/>
        <v>11209</v>
      </c>
      <c r="C37" s="19">
        <f t="shared" si="6"/>
        <v>2</v>
      </c>
      <c r="D37" s="19">
        <f t="shared" si="6"/>
        <v>2</v>
      </c>
      <c r="E37" s="19">
        <f t="shared" si="6"/>
        <v>3</v>
      </c>
      <c r="F37" s="19">
        <f t="shared" si="6"/>
        <v>5</v>
      </c>
      <c r="G37" s="19">
        <f t="shared" si="5"/>
        <v>1</v>
      </c>
      <c r="H37" s="19">
        <f t="shared" si="5"/>
        <v>1</v>
      </c>
      <c r="I37" s="19">
        <f t="shared" si="5"/>
        <v>0</v>
      </c>
      <c r="J37" s="19">
        <f t="shared" si="6"/>
        <v>0</v>
      </c>
      <c r="K37" s="19">
        <f t="shared" si="6"/>
        <v>0</v>
      </c>
      <c r="L37" s="19">
        <f t="shared" si="6"/>
        <v>100</v>
      </c>
      <c r="M37" s="19">
        <f t="shared" si="6"/>
        <v>0</v>
      </c>
      <c r="N37" s="19">
        <f t="shared" si="6"/>
        <v>2</v>
      </c>
      <c r="O37" s="19">
        <f t="shared" si="6"/>
        <v>3</v>
      </c>
      <c r="P37" s="19">
        <f t="shared" si="6"/>
        <v>1</v>
      </c>
      <c r="Q37" s="19">
        <f t="shared" si="6"/>
        <v>1</v>
      </c>
      <c r="R37" s="19">
        <f t="shared" si="5"/>
        <v>0</v>
      </c>
      <c r="S37" s="19">
        <f t="shared" si="5"/>
        <v>0</v>
      </c>
      <c r="T37" s="19">
        <f t="shared" si="5"/>
        <v>0</v>
      </c>
      <c r="U37" s="19">
        <f t="shared" si="5"/>
        <v>0</v>
      </c>
      <c r="V37" s="19">
        <f t="shared" si="5"/>
        <v>0</v>
      </c>
      <c r="W37" s="19">
        <f t="shared" si="3"/>
        <v>1</v>
      </c>
    </row>
    <row r="38" spans="1:23">
      <c r="A38" s="24" t="str">
        <f t="shared" si="2"/>
        <v>11209_2-2/5&lt;lv5&gt;s3</v>
      </c>
      <c r="B38" s="19">
        <f t="shared" si="6"/>
        <v>11209</v>
      </c>
      <c r="C38" s="19">
        <f t="shared" si="6"/>
        <v>2</v>
      </c>
      <c r="D38" s="19">
        <f t="shared" si="6"/>
        <v>2</v>
      </c>
      <c r="E38" s="19">
        <f t="shared" si="6"/>
        <v>5</v>
      </c>
      <c r="F38" s="19">
        <f t="shared" si="6"/>
        <v>5</v>
      </c>
      <c r="G38" s="19">
        <f t="shared" si="5"/>
        <v>1</v>
      </c>
      <c r="H38" s="19">
        <f t="shared" si="5"/>
        <v>1</v>
      </c>
      <c r="I38" s="19">
        <f t="shared" si="5"/>
        <v>0</v>
      </c>
      <c r="J38" s="19">
        <f t="shared" si="6"/>
        <v>0</v>
      </c>
      <c r="K38" s="19">
        <f t="shared" si="6"/>
        <v>0</v>
      </c>
      <c r="L38" s="19">
        <f t="shared" si="6"/>
        <v>100</v>
      </c>
      <c r="M38" s="19">
        <f t="shared" si="6"/>
        <v>0</v>
      </c>
      <c r="N38" s="19">
        <f t="shared" si="6"/>
        <v>3</v>
      </c>
      <c r="O38" s="19">
        <f t="shared" si="6"/>
        <v>5</v>
      </c>
      <c r="P38" s="19">
        <f t="shared" si="6"/>
        <v>1</v>
      </c>
      <c r="Q38" s="19">
        <f t="shared" si="6"/>
        <v>1</v>
      </c>
      <c r="R38" s="19">
        <f t="shared" si="5"/>
        <v>0</v>
      </c>
      <c r="S38" s="19">
        <f t="shared" si="5"/>
        <v>0</v>
      </c>
      <c r="T38" s="19">
        <f t="shared" si="5"/>
        <v>0</v>
      </c>
      <c r="U38" s="19">
        <f t="shared" si="5"/>
        <v>0</v>
      </c>
      <c r="V38" s="19">
        <f t="shared" si="5"/>
        <v>0</v>
      </c>
      <c r="W38" s="19">
        <f t="shared" si="3"/>
        <v>1</v>
      </c>
    </row>
    <row r="39" spans="1:23">
      <c r="A39" s="24" t="str">
        <f t="shared" si="2"/>
        <v>11209_2-2/7&lt;lv5&gt;s2</v>
      </c>
      <c r="B39" s="19">
        <f t="shared" si="6"/>
        <v>11209</v>
      </c>
      <c r="C39" s="19">
        <f t="shared" si="6"/>
        <v>2</v>
      </c>
      <c r="D39" s="19">
        <f t="shared" si="6"/>
        <v>2</v>
      </c>
      <c r="E39" s="19">
        <f t="shared" si="6"/>
        <v>7</v>
      </c>
      <c r="F39" s="19">
        <f t="shared" si="6"/>
        <v>5</v>
      </c>
      <c r="G39" s="19">
        <f t="shared" si="5"/>
        <v>1</v>
      </c>
      <c r="H39" s="19">
        <f t="shared" si="5"/>
        <v>1</v>
      </c>
      <c r="I39" s="19">
        <f t="shared" si="5"/>
        <v>0</v>
      </c>
      <c r="J39" s="19">
        <f t="shared" si="6"/>
        <v>0</v>
      </c>
      <c r="K39" s="19">
        <f t="shared" si="6"/>
        <v>0</v>
      </c>
      <c r="L39" s="19">
        <f t="shared" si="6"/>
        <v>100</v>
      </c>
      <c r="M39" s="19">
        <f t="shared" si="6"/>
        <v>0</v>
      </c>
      <c r="N39" s="19">
        <f t="shared" si="6"/>
        <v>2</v>
      </c>
      <c r="O39" s="19">
        <f t="shared" si="6"/>
        <v>7</v>
      </c>
      <c r="P39" s="19">
        <f t="shared" si="6"/>
        <v>1</v>
      </c>
      <c r="Q39" s="19">
        <f t="shared" si="6"/>
        <v>1</v>
      </c>
      <c r="R39" s="19">
        <f t="shared" si="5"/>
        <v>0</v>
      </c>
      <c r="S39" s="19">
        <f t="shared" si="5"/>
        <v>0</v>
      </c>
      <c r="T39" s="19">
        <f t="shared" si="5"/>
        <v>0</v>
      </c>
      <c r="U39" s="19">
        <f t="shared" si="5"/>
        <v>0</v>
      </c>
      <c r="V39" s="19">
        <f t="shared" si="5"/>
        <v>0</v>
      </c>
      <c r="W39" s="19">
        <f t="shared" si="3"/>
        <v>1</v>
      </c>
    </row>
    <row r="40" spans="1:23">
      <c r="A40" s="24" t="str">
        <f t="shared" si="2"/>
        <v>11209_2-3/118&lt;lv2&gt;s2</v>
      </c>
      <c r="B40" s="19">
        <f t="shared" si="6"/>
        <v>11209</v>
      </c>
      <c r="C40" s="19">
        <f t="shared" si="6"/>
        <v>2</v>
      </c>
      <c r="D40" s="19">
        <f t="shared" si="6"/>
        <v>3</v>
      </c>
      <c r="E40" s="19">
        <f t="shared" si="6"/>
        <v>118</v>
      </c>
      <c r="F40" s="19">
        <f t="shared" si="6"/>
        <v>2</v>
      </c>
      <c r="G40" s="19">
        <f t="shared" si="5"/>
        <v>7.5</v>
      </c>
      <c r="H40" s="19">
        <f t="shared" si="5"/>
        <v>10</v>
      </c>
      <c r="I40" s="19">
        <f t="shared" si="5"/>
        <v>0</v>
      </c>
      <c r="J40" s="19">
        <f t="shared" si="6"/>
        <v>0</v>
      </c>
      <c r="K40" s="19">
        <f t="shared" si="6"/>
        <v>0</v>
      </c>
      <c r="L40" s="19">
        <f t="shared" si="6"/>
        <v>50</v>
      </c>
      <c r="M40" s="19">
        <f t="shared" si="6"/>
        <v>1</v>
      </c>
      <c r="N40" s="19">
        <f t="shared" si="6"/>
        <v>2</v>
      </c>
      <c r="O40" s="19">
        <f t="shared" si="6"/>
        <v>118</v>
      </c>
      <c r="P40" s="19">
        <f t="shared" si="6"/>
        <v>1</v>
      </c>
      <c r="Q40" s="19">
        <f t="shared" si="6"/>
        <v>4</v>
      </c>
      <c r="R40" s="19">
        <f t="shared" si="5"/>
        <v>100</v>
      </c>
      <c r="S40" s="19">
        <f t="shared" si="5"/>
        <v>0</v>
      </c>
      <c r="T40" s="19">
        <f t="shared" si="5"/>
        <v>0</v>
      </c>
      <c r="U40" s="19">
        <f t="shared" si="5"/>
        <v>0</v>
      </c>
      <c r="V40" s="19">
        <f t="shared" si="5"/>
        <v>0</v>
      </c>
      <c r="W40" s="19">
        <f t="shared" si="3"/>
        <v>1</v>
      </c>
    </row>
    <row r="41" spans="1:23">
      <c r="A41" s="24" t="str">
        <f t="shared" si="2"/>
        <v>11209_2-3/117&lt;lv2&gt;s1</v>
      </c>
      <c r="B41" s="19">
        <f t="shared" si="6"/>
        <v>11209</v>
      </c>
      <c r="C41" s="19">
        <f t="shared" si="6"/>
        <v>2</v>
      </c>
      <c r="D41" s="19">
        <f t="shared" si="6"/>
        <v>3</v>
      </c>
      <c r="E41" s="19">
        <f t="shared" si="6"/>
        <v>117</v>
      </c>
      <c r="F41" s="19">
        <f t="shared" si="6"/>
        <v>2</v>
      </c>
      <c r="G41" s="19">
        <f t="shared" si="5"/>
        <v>7.5</v>
      </c>
      <c r="H41" s="19">
        <f t="shared" si="5"/>
        <v>11</v>
      </c>
      <c r="I41" s="19">
        <f t="shared" si="5"/>
        <v>0</v>
      </c>
      <c r="J41" s="19">
        <f t="shared" si="6"/>
        <v>0</v>
      </c>
      <c r="K41" s="19">
        <f t="shared" si="6"/>
        <v>1</v>
      </c>
      <c r="L41" s="19">
        <f t="shared" si="6"/>
        <v>20</v>
      </c>
      <c r="M41" s="19">
        <f t="shared" si="6"/>
        <v>0</v>
      </c>
      <c r="N41" s="19">
        <f t="shared" si="6"/>
        <v>1</v>
      </c>
      <c r="O41" s="19">
        <f t="shared" si="6"/>
        <v>117</v>
      </c>
      <c r="P41" s="19">
        <f t="shared" si="6"/>
        <v>1</v>
      </c>
      <c r="Q41" s="19">
        <f t="shared" si="6"/>
        <v>3</v>
      </c>
      <c r="R41" s="19">
        <f t="shared" si="5"/>
        <v>100</v>
      </c>
      <c r="S41" s="19">
        <f t="shared" si="5"/>
        <v>0</v>
      </c>
      <c r="T41" s="19">
        <f t="shared" si="5"/>
        <v>0</v>
      </c>
      <c r="U41" s="19">
        <f t="shared" si="5"/>
        <v>0</v>
      </c>
      <c r="V41" s="19">
        <f t="shared" si="5"/>
        <v>0</v>
      </c>
      <c r="W41" s="19">
        <f t="shared" si="3"/>
        <v>1</v>
      </c>
    </row>
    <row r="42" spans="1:23">
      <c r="A42" s="24" t="str">
        <f t="shared" si="2"/>
        <v>11209_2-3/1&lt;lv5&gt;s1</v>
      </c>
      <c r="B42" s="19">
        <f t="shared" si="6"/>
        <v>11209</v>
      </c>
      <c r="C42" s="19">
        <f t="shared" si="6"/>
        <v>2</v>
      </c>
      <c r="D42" s="19">
        <f t="shared" si="6"/>
        <v>3</v>
      </c>
      <c r="E42" s="19">
        <f t="shared" si="6"/>
        <v>1</v>
      </c>
      <c r="F42" s="19">
        <f t="shared" si="6"/>
        <v>5</v>
      </c>
      <c r="G42" s="19">
        <f t="shared" si="5"/>
        <v>1</v>
      </c>
      <c r="H42" s="19">
        <f t="shared" si="5"/>
        <v>1</v>
      </c>
      <c r="I42" s="19">
        <f t="shared" si="5"/>
        <v>0</v>
      </c>
      <c r="J42" s="19">
        <f t="shared" si="6"/>
        <v>0</v>
      </c>
      <c r="K42" s="19">
        <f t="shared" si="6"/>
        <v>0</v>
      </c>
      <c r="L42" s="19">
        <f t="shared" si="6"/>
        <v>20</v>
      </c>
      <c r="M42" s="19">
        <f t="shared" si="6"/>
        <v>0</v>
      </c>
      <c r="N42" s="19">
        <f t="shared" si="6"/>
        <v>1</v>
      </c>
      <c r="O42" s="19">
        <f t="shared" si="6"/>
        <v>1</v>
      </c>
      <c r="P42" s="19">
        <f t="shared" si="6"/>
        <v>1</v>
      </c>
      <c r="Q42" s="19">
        <f t="shared" si="6"/>
        <v>1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19">
        <f t="shared" si="5"/>
        <v>0</v>
      </c>
      <c r="V42" s="19">
        <f t="shared" si="5"/>
        <v>0</v>
      </c>
      <c r="W42" s="19">
        <f t="shared" si="3"/>
        <v>1</v>
      </c>
    </row>
    <row r="43" spans="1:23">
      <c r="A43" s="24" t="str">
        <f t="shared" si="2"/>
        <v>11209_2-3/3&lt;lv5&gt;s2</v>
      </c>
      <c r="B43" s="19">
        <f t="shared" si="6"/>
        <v>11209</v>
      </c>
      <c r="C43" s="19">
        <f t="shared" si="6"/>
        <v>2</v>
      </c>
      <c r="D43" s="19">
        <f t="shared" si="6"/>
        <v>3</v>
      </c>
      <c r="E43" s="19">
        <f t="shared" si="6"/>
        <v>3</v>
      </c>
      <c r="F43" s="19">
        <f t="shared" si="6"/>
        <v>5</v>
      </c>
      <c r="G43" s="19">
        <f t="shared" si="5"/>
        <v>1</v>
      </c>
      <c r="H43" s="19">
        <f t="shared" si="5"/>
        <v>1</v>
      </c>
      <c r="I43" s="19">
        <f t="shared" si="5"/>
        <v>0</v>
      </c>
      <c r="J43" s="19">
        <f t="shared" si="6"/>
        <v>0</v>
      </c>
      <c r="K43" s="19">
        <f t="shared" si="6"/>
        <v>0</v>
      </c>
      <c r="L43" s="19">
        <f t="shared" si="6"/>
        <v>20</v>
      </c>
      <c r="M43" s="19">
        <f t="shared" si="6"/>
        <v>0</v>
      </c>
      <c r="N43" s="19">
        <f t="shared" si="6"/>
        <v>2</v>
      </c>
      <c r="O43" s="19">
        <f t="shared" si="6"/>
        <v>3</v>
      </c>
      <c r="P43" s="19">
        <f t="shared" si="6"/>
        <v>1</v>
      </c>
      <c r="Q43" s="19">
        <f t="shared" si="6"/>
        <v>1</v>
      </c>
      <c r="R43" s="19">
        <f t="shared" si="5"/>
        <v>0</v>
      </c>
      <c r="S43" s="19">
        <f t="shared" si="5"/>
        <v>0</v>
      </c>
      <c r="T43" s="19">
        <f t="shared" si="5"/>
        <v>0</v>
      </c>
      <c r="U43" s="19">
        <f t="shared" si="5"/>
        <v>0</v>
      </c>
      <c r="V43" s="19">
        <f t="shared" si="5"/>
        <v>0</v>
      </c>
      <c r="W43" s="19">
        <f t="shared" si="3"/>
        <v>1</v>
      </c>
    </row>
    <row r="44" spans="1:23">
      <c r="A44" s="24" t="str">
        <f t="shared" si="2"/>
        <v>11209_2-3/5&lt;lv5&gt;s3</v>
      </c>
      <c r="B44" s="19">
        <f t="shared" si="6"/>
        <v>11209</v>
      </c>
      <c r="C44" s="19">
        <f t="shared" si="6"/>
        <v>2</v>
      </c>
      <c r="D44" s="19">
        <f t="shared" si="6"/>
        <v>3</v>
      </c>
      <c r="E44" s="19">
        <f t="shared" si="6"/>
        <v>5</v>
      </c>
      <c r="F44" s="19">
        <f t="shared" si="6"/>
        <v>5</v>
      </c>
      <c r="G44" s="19">
        <f t="shared" si="5"/>
        <v>1</v>
      </c>
      <c r="H44" s="19">
        <f t="shared" si="5"/>
        <v>1</v>
      </c>
      <c r="I44" s="19">
        <f t="shared" si="5"/>
        <v>0</v>
      </c>
      <c r="J44" s="19">
        <f t="shared" si="6"/>
        <v>0</v>
      </c>
      <c r="K44" s="19">
        <f t="shared" si="6"/>
        <v>0</v>
      </c>
      <c r="L44" s="19">
        <f t="shared" si="6"/>
        <v>20</v>
      </c>
      <c r="M44" s="19">
        <f t="shared" si="6"/>
        <v>0</v>
      </c>
      <c r="N44" s="19">
        <f t="shared" si="6"/>
        <v>3</v>
      </c>
      <c r="O44" s="19">
        <f t="shared" si="6"/>
        <v>5</v>
      </c>
      <c r="P44" s="19">
        <f t="shared" si="6"/>
        <v>1</v>
      </c>
      <c r="Q44" s="19">
        <f t="shared" si="6"/>
        <v>1</v>
      </c>
      <c r="R44" s="19">
        <f t="shared" si="5"/>
        <v>0</v>
      </c>
      <c r="S44" s="19">
        <f t="shared" si="5"/>
        <v>0</v>
      </c>
      <c r="T44" s="19">
        <f t="shared" si="5"/>
        <v>0</v>
      </c>
      <c r="U44" s="19">
        <f t="shared" si="5"/>
        <v>0</v>
      </c>
      <c r="V44" s="19">
        <f t="shared" si="5"/>
        <v>0</v>
      </c>
      <c r="W44" s="19">
        <f t="shared" si="3"/>
        <v>1</v>
      </c>
    </row>
    <row r="45" spans="1:23">
      <c r="A45" s="24" t="str">
        <f t="shared" si="2"/>
        <v>11209_2-3/7&lt;lv5&gt;s2</v>
      </c>
      <c r="B45" s="19">
        <f t="shared" si="6"/>
        <v>11209</v>
      </c>
      <c r="C45" s="19">
        <f t="shared" si="6"/>
        <v>2</v>
      </c>
      <c r="D45" s="19">
        <f t="shared" si="6"/>
        <v>3</v>
      </c>
      <c r="E45" s="19">
        <f t="shared" si="6"/>
        <v>7</v>
      </c>
      <c r="F45" s="19">
        <f t="shared" si="6"/>
        <v>5</v>
      </c>
      <c r="G45" s="19">
        <f t="shared" si="5"/>
        <v>1</v>
      </c>
      <c r="H45" s="19">
        <f t="shared" si="5"/>
        <v>1</v>
      </c>
      <c r="I45" s="19">
        <f t="shared" si="5"/>
        <v>0</v>
      </c>
      <c r="J45" s="19">
        <f t="shared" si="6"/>
        <v>0</v>
      </c>
      <c r="K45" s="19">
        <f t="shared" si="6"/>
        <v>0</v>
      </c>
      <c r="L45" s="19">
        <f t="shared" si="6"/>
        <v>20</v>
      </c>
      <c r="M45" s="19">
        <f t="shared" si="6"/>
        <v>0</v>
      </c>
      <c r="N45" s="19">
        <f t="shared" si="6"/>
        <v>2</v>
      </c>
      <c r="O45" s="19">
        <f t="shared" si="6"/>
        <v>7</v>
      </c>
      <c r="P45" s="19">
        <f t="shared" si="6"/>
        <v>1</v>
      </c>
      <c r="Q45" s="19">
        <f t="shared" si="6"/>
        <v>1</v>
      </c>
      <c r="R45" s="19">
        <f t="shared" si="5"/>
        <v>0</v>
      </c>
      <c r="S45" s="19">
        <f t="shared" si="5"/>
        <v>0</v>
      </c>
      <c r="T45" s="19">
        <f t="shared" si="5"/>
        <v>0</v>
      </c>
      <c r="U45" s="19">
        <f t="shared" si="5"/>
        <v>0</v>
      </c>
      <c r="V45" s="19">
        <f t="shared" si="5"/>
        <v>0</v>
      </c>
      <c r="W45" s="19">
        <f t="shared" si="3"/>
        <v>1</v>
      </c>
    </row>
    <row r="46" spans="1:23">
      <c r="A46" s="24" t="str">
        <f t="shared" si="2"/>
        <v>11209_2-4/118&lt;lv2&gt;s2</v>
      </c>
      <c r="B46" s="19">
        <f t="shared" si="6"/>
        <v>11209</v>
      </c>
      <c r="C46" s="19">
        <f t="shared" si="6"/>
        <v>2</v>
      </c>
      <c r="D46" s="19">
        <f t="shared" si="6"/>
        <v>4</v>
      </c>
      <c r="E46" s="19">
        <f t="shared" si="6"/>
        <v>118</v>
      </c>
      <c r="F46" s="19">
        <f t="shared" si="6"/>
        <v>2</v>
      </c>
      <c r="G46" s="19">
        <f t="shared" si="5"/>
        <v>7.5</v>
      </c>
      <c r="H46" s="19">
        <f t="shared" si="5"/>
        <v>10</v>
      </c>
      <c r="I46" s="19">
        <f t="shared" si="5"/>
        <v>0</v>
      </c>
      <c r="J46" s="19">
        <f t="shared" si="6"/>
        <v>0</v>
      </c>
      <c r="K46" s="19">
        <f t="shared" si="6"/>
        <v>0</v>
      </c>
      <c r="L46" s="19">
        <f t="shared" si="6"/>
        <v>50</v>
      </c>
      <c r="M46" s="19">
        <f t="shared" si="6"/>
        <v>1</v>
      </c>
      <c r="N46" s="19">
        <f t="shared" si="6"/>
        <v>2</v>
      </c>
      <c r="O46" s="19">
        <f t="shared" si="6"/>
        <v>118</v>
      </c>
      <c r="P46" s="19">
        <f t="shared" si="6"/>
        <v>1</v>
      </c>
      <c r="Q46" s="19">
        <f t="shared" si="6"/>
        <v>4</v>
      </c>
      <c r="R46" s="19">
        <f t="shared" si="5"/>
        <v>100</v>
      </c>
      <c r="S46" s="19">
        <f t="shared" si="5"/>
        <v>0</v>
      </c>
      <c r="T46" s="19">
        <f t="shared" si="5"/>
        <v>0</v>
      </c>
      <c r="U46" s="19">
        <f t="shared" si="5"/>
        <v>0</v>
      </c>
      <c r="V46" s="19">
        <f t="shared" si="5"/>
        <v>0</v>
      </c>
      <c r="W46" s="19">
        <f t="shared" si="3"/>
        <v>1</v>
      </c>
    </row>
    <row r="47" spans="1:23">
      <c r="A47" s="24" t="str">
        <f t="shared" si="2"/>
        <v>11209_2-4/117&lt;lv2&gt;s1</v>
      </c>
      <c r="B47" s="19">
        <f t="shared" si="6"/>
        <v>11209</v>
      </c>
      <c r="C47" s="19">
        <f t="shared" si="6"/>
        <v>2</v>
      </c>
      <c r="D47" s="19">
        <f t="shared" si="6"/>
        <v>4</v>
      </c>
      <c r="E47" s="19">
        <f t="shared" si="6"/>
        <v>117</v>
      </c>
      <c r="F47" s="19">
        <f t="shared" si="6"/>
        <v>2</v>
      </c>
      <c r="G47" s="19">
        <f t="shared" si="5"/>
        <v>7.5</v>
      </c>
      <c r="H47" s="19">
        <f t="shared" si="5"/>
        <v>11</v>
      </c>
      <c r="I47" s="19">
        <f t="shared" si="5"/>
        <v>0</v>
      </c>
      <c r="J47" s="19">
        <f t="shared" si="6"/>
        <v>0</v>
      </c>
      <c r="K47" s="19">
        <f t="shared" si="6"/>
        <v>1</v>
      </c>
      <c r="L47" s="19">
        <f t="shared" si="6"/>
        <v>20</v>
      </c>
      <c r="M47" s="19">
        <f t="shared" si="6"/>
        <v>0</v>
      </c>
      <c r="N47" s="19">
        <f t="shared" si="6"/>
        <v>1</v>
      </c>
      <c r="O47" s="19">
        <f t="shared" si="6"/>
        <v>117</v>
      </c>
      <c r="P47" s="19">
        <f t="shared" si="6"/>
        <v>1</v>
      </c>
      <c r="Q47" s="19">
        <f t="shared" si="6"/>
        <v>3</v>
      </c>
      <c r="R47" s="19">
        <f t="shared" si="5"/>
        <v>100</v>
      </c>
      <c r="S47" s="19">
        <f t="shared" si="5"/>
        <v>0</v>
      </c>
      <c r="T47" s="19">
        <f t="shared" si="5"/>
        <v>0</v>
      </c>
      <c r="U47" s="19">
        <f t="shared" si="5"/>
        <v>0</v>
      </c>
      <c r="V47" s="19">
        <f t="shared" si="5"/>
        <v>0</v>
      </c>
      <c r="W47" s="19">
        <f t="shared" si="3"/>
        <v>1</v>
      </c>
    </row>
    <row r="48" spans="1:23">
      <c r="A48" s="24" t="str">
        <f t="shared" si="2"/>
        <v>11209_2-4/1&lt;lv5&gt;s1</v>
      </c>
      <c r="B48" s="19">
        <f t="shared" si="6"/>
        <v>11209</v>
      </c>
      <c r="C48" s="19">
        <f t="shared" si="6"/>
        <v>2</v>
      </c>
      <c r="D48" s="19">
        <f t="shared" si="6"/>
        <v>4</v>
      </c>
      <c r="E48" s="19">
        <f t="shared" si="6"/>
        <v>1</v>
      </c>
      <c r="F48" s="19">
        <f t="shared" si="6"/>
        <v>5</v>
      </c>
      <c r="G48" s="19">
        <f t="shared" si="5"/>
        <v>1</v>
      </c>
      <c r="H48" s="19">
        <f t="shared" si="5"/>
        <v>1</v>
      </c>
      <c r="I48" s="19">
        <f t="shared" si="5"/>
        <v>0</v>
      </c>
      <c r="J48" s="19">
        <f t="shared" si="6"/>
        <v>0</v>
      </c>
      <c r="K48" s="19">
        <f t="shared" si="6"/>
        <v>0</v>
      </c>
      <c r="L48" s="19">
        <f t="shared" si="6"/>
        <v>20</v>
      </c>
      <c r="M48" s="19">
        <f t="shared" si="6"/>
        <v>0</v>
      </c>
      <c r="N48" s="19">
        <f t="shared" si="6"/>
        <v>1</v>
      </c>
      <c r="O48" s="19">
        <f t="shared" si="6"/>
        <v>1</v>
      </c>
      <c r="P48" s="19">
        <f t="shared" si="6"/>
        <v>1</v>
      </c>
      <c r="Q48" s="19">
        <f t="shared" si="6"/>
        <v>1</v>
      </c>
      <c r="R48" s="19">
        <f t="shared" si="5"/>
        <v>0</v>
      </c>
      <c r="S48" s="19">
        <f t="shared" si="5"/>
        <v>0</v>
      </c>
      <c r="T48" s="19">
        <f t="shared" si="5"/>
        <v>0</v>
      </c>
      <c r="U48" s="19">
        <f t="shared" si="5"/>
        <v>0</v>
      </c>
      <c r="V48" s="19">
        <f t="shared" si="5"/>
        <v>0</v>
      </c>
      <c r="W48" s="19">
        <f t="shared" si="3"/>
        <v>1</v>
      </c>
    </row>
    <row r="49" spans="1:23">
      <c r="A49" s="24" t="str">
        <f t="shared" si="2"/>
        <v>11209_2-4/3&lt;lv5&gt;s2</v>
      </c>
      <c r="B49" s="19">
        <f t="shared" si="6"/>
        <v>11209</v>
      </c>
      <c r="C49" s="19">
        <f t="shared" si="6"/>
        <v>2</v>
      </c>
      <c r="D49" s="19">
        <f t="shared" si="6"/>
        <v>4</v>
      </c>
      <c r="E49" s="19">
        <f t="shared" si="6"/>
        <v>3</v>
      </c>
      <c r="F49" s="19">
        <f t="shared" si="6"/>
        <v>5</v>
      </c>
      <c r="G49" s="19">
        <f t="shared" si="5"/>
        <v>1</v>
      </c>
      <c r="H49" s="19">
        <f t="shared" si="5"/>
        <v>1</v>
      </c>
      <c r="I49" s="19">
        <f t="shared" si="5"/>
        <v>0</v>
      </c>
      <c r="J49" s="19">
        <f t="shared" si="6"/>
        <v>0</v>
      </c>
      <c r="K49" s="19">
        <f t="shared" si="6"/>
        <v>0</v>
      </c>
      <c r="L49" s="19">
        <f t="shared" si="6"/>
        <v>20</v>
      </c>
      <c r="M49" s="19">
        <f t="shared" si="6"/>
        <v>0</v>
      </c>
      <c r="N49" s="19">
        <f t="shared" si="6"/>
        <v>2</v>
      </c>
      <c r="O49" s="19">
        <f t="shared" si="6"/>
        <v>3</v>
      </c>
      <c r="P49" s="19">
        <f t="shared" si="6"/>
        <v>1</v>
      </c>
      <c r="Q49" s="19">
        <f t="shared" si="6"/>
        <v>1</v>
      </c>
      <c r="R49" s="19">
        <f t="shared" si="5"/>
        <v>0</v>
      </c>
      <c r="S49" s="19">
        <f t="shared" si="5"/>
        <v>0</v>
      </c>
      <c r="T49" s="19">
        <f t="shared" si="5"/>
        <v>0</v>
      </c>
      <c r="U49" s="19">
        <f t="shared" si="5"/>
        <v>0</v>
      </c>
      <c r="V49" s="19">
        <f t="shared" si="5"/>
        <v>0</v>
      </c>
      <c r="W49" s="19">
        <f t="shared" si="3"/>
        <v>1</v>
      </c>
    </row>
    <row r="50" spans="1:23">
      <c r="A50" s="24" t="str">
        <f t="shared" si="2"/>
        <v>11209_2-4/5&lt;lv5&gt;s3</v>
      </c>
      <c r="B50" s="19">
        <f t="shared" si="6"/>
        <v>11209</v>
      </c>
      <c r="C50" s="19">
        <f t="shared" si="6"/>
        <v>2</v>
      </c>
      <c r="D50" s="19">
        <f t="shared" si="6"/>
        <v>4</v>
      </c>
      <c r="E50" s="19">
        <f t="shared" si="6"/>
        <v>5</v>
      </c>
      <c r="F50" s="19">
        <f t="shared" si="6"/>
        <v>5</v>
      </c>
      <c r="G50" s="19">
        <f t="shared" si="5"/>
        <v>1</v>
      </c>
      <c r="H50" s="19">
        <f t="shared" si="5"/>
        <v>1</v>
      </c>
      <c r="I50" s="19">
        <f t="shared" si="5"/>
        <v>0</v>
      </c>
      <c r="J50" s="19">
        <f t="shared" si="6"/>
        <v>0</v>
      </c>
      <c r="K50" s="19">
        <f t="shared" si="6"/>
        <v>0</v>
      </c>
      <c r="L50" s="19">
        <f t="shared" si="6"/>
        <v>20</v>
      </c>
      <c r="M50" s="19">
        <f t="shared" si="6"/>
        <v>0</v>
      </c>
      <c r="N50" s="19">
        <f t="shared" si="6"/>
        <v>3</v>
      </c>
      <c r="O50" s="19">
        <f t="shared" si="6"/>
        <v>5</v>
      </c>
      <c r="P50" s="19">
        <f t="shared" si="6"/>
        <v>1</v>
      </c>
      <c r="Q50" s="19">
        <f t="shared" si="6"/>
        <v>1</v>
      </c>
      <c r="R50" s="19">
        <f t="shared" si="5"/>
        <v>0</v>
      </c>
      <c r="S50" s="19">
        <f t="shared" si="5"/>
        <v>0</v>
      </c>
      <c r="T50" s="19">
        <f t="shared" si="5"/>
        <v>0</v>
      </c>
      <c r="U50" s="19">
        <f t="shared" si="5"/>
        <v>0</v>
      </c>
      <c r="V50" s="19">
        <f t="shared" si="5"/>
        <v>0</v>
      </c>
      <c r="W50" s="19">
        <f t="shared" si="3"/>
        <v>1</v>
      </c>
    </row>
    <row r="51" spans="1:23">
      <c r="A51" s="24" t="str">
        <f t="shared" si="2"/>
        <v>11209_2-4/7&lt;lv5&gt;s2</v>
      </c>
      <c r="B51" s="19">
        <f t="shared" si="6"/>
        <v>11209</v>
      </c>
      <c r="C51" s="19">
        <f t="shared" si="6"/>
        <v>2</v>
      </c>
      <c r="D51" s="19">
        <f t="shared" si="6"/>
        <v>4</v>
      </c>
      <c r="E51" s="19">
        <f t="shared" si="6"/>
        <v>7</v>
      </c>
      <c r="F51" s="19">
        <f t="shared" si="6"/>
        <v>5</v>
      </c>
      <c r="G51" s="19">
        <f t="shared" si="5"/>
        <v>1</v>
      </c>
      <c r="H51" s="19">
        <f t="shared" si="5"/>
        <v>1</v>
      </c>
      <c r="I51" s="19">
        <f t="shared" si="5"/>
        <v>0</v>
      </c>
      <c r="J51" s="19">
        <f t="shared" si="6"/>
        <v>0</v>
      </c>
      <c r="K51" s="19">
        <f t="shared" si="6"/>
        <v>0</v>
      </c>
      <c r="L51" s="19">
        <f t="shared" si="6"/>
        <v>20</v>
      </c>
      <c r="M51" s="19">
        <f t="shared" si="6"/>
        <v>0</v>
      </c>
      <c r="N51" s="19">
        <f t="shared" si="6"/>
        <v>2</v>
      </c>
      <c r="O51" s="19">
        <f t="shared" si="6"/>
        <v>7</v>
      </c>
      <c r="P51" s="19">
        <f t="shared" si="6"/>
        <v>1</v>
      </c>
      <c r="Q51" s="19">
        <f t="shared" si="6"/>
        <v>1</v>
      </c>
      <c r="R51" s="19">
        <f t="shared" si="5"/>
        <v>0</v>
      </c>
      <c r="S51" s="19">
        <f t="shared" si="5"/>
        <v>0</v>
      </c>
      <c r="T51" s="19">
        <f t="shared" si="5"/>
        <v>0</v>
      </c>
      <c r="U51" s="19">
        <f t="shared" si="5"/>
        <v>0</v>
      </c>
      <c r="V51" s="19">
        <f t="shared" si="5"/>
        <v>0</v>
      </c>
      <c r="W51" s="19">
        <f t="shared" si="3"/>
        <v>1</v>
      </c>
    </row>
    <row r="52" spans="1:23">
      <c r="A52" s="24" t="str">
        <f t="shared" si="2"/>
        <v>11209_2-5/118&lt;lv1&gt;s2</v>
      </c>
      <c r="B52" s="19">
        <f t="shared" si="6"/>
        <v>11209</v>
      </c>
      <c r="C52" s="19">
        <f t="shared" si="6"/>
        <v>2</v>
      </c>
      <c r="D52" s="19">
        <f t="shared" si="6"/>
        <v>5</v>
      </c>
      <c r="E52" s="19">
        <f t="shared" si="6"/>
        <v>118</v>
      </c>
      <c r="F52" s="19">
        <f t="shared" si="6"/>
        <v>1</v>
      </c>
      <c r="G52" s="19">
        <f t="shared" si="5"/>
        <v>10.5</v>
      </c>
      <c r="H52" s="19">
        <f t="shared" si="5"/>
        <v>10</v>
      </c>
      <c r="I52" s="19">
        <f t="shared" si="5"/>
        <v>0</v>
      </c>
      <c r="J52" s="19">
        <f t="shared" si="6"/>
        <v>0</v>
      </c>
      <c r="K52" s="19">
        <f t="shared" si="6"/>
        <v>1</v>
      </c>
      <c r="L52" s="19">
        <f t="shared" si="6"/>
        <v>100</v>
      </c>
      <c r="M52" s="19">
        <f t="shared" si="6"/>
        <v>1</v>
      </c>
      <c r="N52" s="19">
        <f t="shared" si="6"/>
        <v>2</v>
      </c>
      <c r="O52" s="19">
        <f t="shared" si="6"/>
        <v>118</v>
      </c>
      <c r="P52" s="19">
        <f t="shared" si="6"/>
        <v>1</v>
      </c>
      <c r="Q52" s="19">
        <f t="shared" si="6"/>
        <v>4</v>
      </c>
      <c r="R52" s="19">
        <f t="shared" si="5"/>
        <v>100</v>
      </c>
      <c r="S52" s="19">
        <f t="shared" si="5"/>
        <v>0</v>
      </c>
      <c r="T52" s="19">
        <f t="shared" si="5"/>
        <v>0</v>
      </c>
      <c r="U52" s="19">
        <f t="shared" si="5"/>
        <v>0</v>
      </c>
      <c r="V52" s="19">
        <f t="shared" si="5"/>
        <v>0</v>
      </c>
      <c r="W52" s="19">
        <f t="shared" si="3"/>
        <v>1</v>
      </c>
    </row>
    <row r="53" spans="1:23">
      <c r="A53" s="24" t="str">
        <f t="shared" si="2"/>
        <v>11209_2-5/117&lt;lv1&gt;s1</v>
      </c>
      <c r="B53" s="19">
        <f t="shared" si="6"/>
        <v>11209</v>
      </c>
      <c r="C53" s="19">
        <f t="shared" si="6"/>
        <v>2</v>
      </c>
      <c r="D53" s="19">
        <f t="shared" si="6"/>
        <v>5</v>
      </c>
      <c r="E53" s="19">
        <f t="shared" si="6"/>
        <v>117</v>
      </c>
      <c r="F53" s="19">
        <f t="shared" si="6"/>
        <v>1</v>
      </c>
      <c r="G53" s="19">
        <f t="shared" si="5"/>
        <v>10.5</v>
      </c>
      <c r="H53" s="19">
        <f t="shared" si="5"/>
        <v>11</v>
      </c>
      <c r="I53" s="19">
        <f t="shared" si="5"/>
        <v>0</v>
      </c>
      <c r="J53" s="19">
        <f t="shared" si="6"/>
        <v>0</v>
      </c>
      <c r="K53" s="19">
        <f t="shared" si="6"/>
        <v>2</v>
      </c>
      <c r="L53" s="19">
        <f t="shared" si="6"/>
        <v>0</v>
      </c>
      <c r="M53" s="19">
        <f t="shared" ref="M53:W53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19">
        <f t="shared" si="7"/>
        <v>1</v>
      </c>
      <c r="O53" s="19">
        <f t="shared" si="7"/>
        <v>117</v>
      </c>
      <c r="P53" s="19">
        <f t="shared" si="7"/>
        <v>1</v>
      </c>
      <c r="Q53" s="19">
        <f t="shared" si="7"/>
        <v>3</v>
      </c>
      <c r="R53" s="19">
        <f t="shared" si="7"/>
        <v>63</v>
      </c>
      <c r="S53" s="19">
        <f t="shared" si="7"/>
        <v>0</v>
      </c>
      <c r="T53" s="19">
        <f t="shared" si="7"/>
        <v>0</v>
      </c>
      <c r="U53" s="19">
        <f t="shared" si="7"/>
        <v>0</v>
      </c>
      <c r="V53" s="19">
        <f t="shared" si="7"/>
        <v>0</v>
      </c>
      <c r="W53" s="19">
        <f t="shared" si="7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floors_beginners</vt:lpstr>
      <vt:lpstr>enemy_habitats_beginners</vt:lpstr>
      <vt:lpstr>floors_beginners.tmp</vt:lpstr>
      <vt:lpstr>enemy_habitats_beginners.tmp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2015-10-14T05:27:10Z</dcterms:modified>
</cp:coreProperties>
</file>