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200" yWindow="520" windowWidth="30200" windowHeight="206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enemy_habitat_S!$B$1:$Y$6</definedName>
    <definedName name="_xlnm._FilterDatabase" localSheetId="2" hidden="1">enemy_habitats!$B$1:$AH$14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stage_hints_failure!$B$1:$M$16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4" i="10" l="1"/>
  <c r="T154" i="10"/>
  <c r="W154" i="10"/>
  <c r="V154" i="10"/>
  <c r="X154" i="10"/>
  <c r="U154" i="10"/>
  <c r="Y154" i="10"/>
  <c r="N154" i="10"/>
  <c r="Q154" i="10"/>
  <c r="P154" i="10"/>
  <c r="R154" i="10"/>
  <c r="O154" i="10"/>
  <c r="S154" i="10"/>
  <c r="G154" i="10"/>
  <c r="J154" i="10"/>
  <c r="I154" i="10"/>
  <c r="K154" i="10"/>
  <c r="H154" i="10"/>
  <c r="L154" i="10"/>
  <c r="J79" i="11"/>
  <c r="J78" i="11"/>
  <c r="J77" i="11"/>
  <c r="O185" i="9"/>
  <c r="N185" i="9"/>
  <c r="M185" i="9"/>
  <c r="L185" i="9"/>
  <c r="K185" i="9"/>
  <c r="J185" i="9"/>
  <c r="I185" i="9"/>
  <c r="H185" i="9"/>
  <c r="G185" i="9"/>
  <c r="E185" i="9"/>
  <c r="D185" i="9"/>
  <c r="A185" i="9"/>
  <c r="O184" i="9"/>
  <c r="N184" i="9"/>
  <c r="M184" i="9"/>
  <c r="L184" i="9"/>
  <c r="K184" i="9"/>
  <c r="J184" i="9"/>
  <c r="I184" i="9"/>
  <c r="H184" i="9"/>
  <c r="G184" i="9"/>
  <c r="E184" i="9"/>
  <c r="D184" i="9"/>
  <c r="A184" i="9"/>
  <c r="O183" i="9"/>
  <c r="N183" i="9"/>
  <c r="M183" i="9"/>
  <c r="L183" i="9"/>
  <c r="K183" i="9"/>
  <c r="J183" i="9"/>
  <c r="I183" i="9"/>
  <c r="H183" i="9"/>
  <c r="G183" i="9"/>
  <c r="E183" i="9"/>
  <c r="D183" i="9"/>
  <c r="A183" i="9"/>
  <c r="M152" i="10"/>
  <c r="T152" i="10"/>
  <c r="W152" i="10"/>
  <c r="V152" i="10"/>
  <c r="X152" i="10"/>
  <c r="U152" i="10"/>
  <c r="Y152" i="10"/>
  <c r="N152" i="10"/>
  <c r="Q152" i="10"/>
  <c r="P152" i="10"/>
  <c r="R152" i="10"/>
  <c r="O152" i="10"/>
  <c r="S152" i="10"/>
  <c r="G152" i="10"/>
  <c r="J152" i="10"/>
  <c r="I152" i="10"/>
  <c r="K152" i="10"/>
  <c r="H152" i="10"/>
  <c r="L152" i="10"/>
  <c r="M151" i="10"/>
  <c r="T151" i="10"/>
  <c r="W151" i="10"/>
  <c r="V151" i="10"/>
  <c r="X151" i="10"/>
  <c r="U151" i="10"/>
  <c r="Y151" i="10"/>
  <c r="N151" i="10"/>
  <c r="Q151" i="10"/>
  <c r="P151" i="10"/>
  <c r="R151" i="10"/>
  <c r="O151" i="10"/>
  <c r="S151" i="10"/>
  <c r="G151" i="10"/>
  <c r="J151" i="10"/>
  <c r="I151" i="10"/>
  <c r="K151" i="10"/>
  <c r="H151" i="10"/>
  <c r="L151" i="10"/>
  <c r="M150" i="10"/>
  <c r="T150" i="10"/>
  <c r="W150" i="10"/>
  <c r="V150" i="10"/>
  <c r="X150" i="10"/>
  <c r="U150" i="10"/>
  <c r="Y150" i="10"/>
  <c r="N150" i="10"/>
  <c r="Q150" i="10"/>
  <c r="P150" i="10"/>
  <c r="R150" i="10"/>
  <c r="O150" i="10"/>
  <c r="S150" i="10"/>
  <c r="G150" i="10"/>
  <c r="J150" i="10"/>
  <c r="I150" i="10"/>
  <c r="K150" i="10"/>
  <c r="H150" i="10"/>
  <c r="L150" i="10"/>
  <c r="M153" i="10"/>
  <c r="T153" i="10"/>
  <c r="W153" i="10"/>
  <c r="V153" i="10"/>
  <c r="X153" i="10"/>
  <c r="U153" i="10"/>
  <c r="Y153" i="10"/>
  <c r="N153" i="10"/>
  <c r="Q153" i="10"/>
  <c r="P153" i="10"/>
  <c r="R153" i="10"/>
  <c r="O153" i="10"/>
  <c r="S153" i="10"/>
  <c r="G153" i="10"/>
  <c r="J153" i="10"/>
  <c r="I153" i="10"/>
  <c r="K153" i="10"/>
  <c r="H153" i="10"/>
  <c r="L153" i="10"/>
  <c r="J68" i="11"/>
  <c r="J69" i="11"/>
  <c r="J70" i="11"/>
  <c r="J71" i="11"/>
  <c r="J72" i="11"/>
  <c r="J73" i="11"/>
  <c r="J74" i="11"/>
  <c r="J75" i="11"/>
  <c r="J76" i="11"/>
  <c r="J67" i="11"/>
  <c r="J66" i="11"/>
  <c r="O174" i="9"/>
  <c r="N174" i="9"/>
  <c r="M174" i="9"/>
  <c r="L174" i="9"/>
  <c r="K174" i="9"/>
  <c r="J174" i="9"/>
  <c r="I174" i="9"/>
  <c r="H174" i="9"/>
  <c r="G174" i="9"/>
  <c r="E174" i="9"/>
  <c r="D174" i="9"/>
  <c r="A174" i="9"/>
  <c r="O173" i="9"/>
  <c r="N173" i="9"/>
  <c r="M173" i="9"/>
  <c r="L173" i="9"/>
  <c r="K173" i="9"/>
  <c r="J173" i="9"/>
  <c r="I173" i="9"/>
  <c r="H173" i="9"/>
  <c r="G173" i="9"/>
  <c r="E173" i="9"/>
  <c r="D173" i="9"/>
  <c r="A173" i="9"/>
  <c r="O172" i="9"/>
  <c r="N172" i="9"/>
  <c r="M172" i="9"/>
  <c r="L172" i="9"/>
  <c r="K172" i="9"/>
  <c r="J172" i="9"/>
  <c r="I172" i="9"/>
  <c r="H172" i="9"/>
  <c r="G172" i="9"/>
  <c r="E172" i="9"/>
  <c r="D172" i="9"/>
  <c r="A172" i="9"/>
  <c r="O171" i="9"/>
  <c r="N171" i="9"/>
  <c r="M171" i="9"/>
  <c r="L171" i="9"/>
  <c r="K171" i="9"/>
  <c r="J171" i="9"/>
  <c r="I171" i="9"/>
  <c r="H171" i="9"/>
  <c r="G171" i="9"/>
  <c r="E171" i="9"/>
  <c r="D171" i="9"/>
  <c r="A171" i="9"/>
  <c r="O170" i="9"/>
  <c r="N170" i="9"/>
  <c r="M170" i="9"/>
  <c r="L170" i="9"/>
  <c r="K170" i="9"/>
  <c r="J170" i="9"/>
  <c r="I170" i="9"/>
  <c r="H170" i="9"/>
  <c r="G170" i="9"/>
  <c r="E170" i="9"/>
  <c r="D170" i="9"/>
  <c r="A170" i="9"/>
  <c r="O169" i="9"/>
  <c r="N169" i="9"/>
  <c r="M169" i="9"/>
  <c r="L169" i="9"/>
  <c r="K169" i="9"/>
  <c r="J169" i="9"/>
  <c r="I169" i="9"/>
  <c r="H169" i="9"/>
  <c r="G169" i="9"/>
  <c r="E169" i="9"/>
  <c r="D169" i="9"/>
  <c r="A169" i="9"/>
  <c r="O168" i="9"/>
  <c r="N168" i="9"/>
  <c r="M168" i="9"/>
  <c r="L168" i="9"/>
  <c r="K168" i="9"/>
  <c r="J168" i="9"/>
  <c r="I168" i="9"/>
  <c r="H168" i="9"/>
  <c r="G168" i="9"/>
  <c r="E168" i="9"/>
  <c r="D168" i="9"/>
  <c r="A168" i="9"/>
  <c r="O167" i="9"/>
  <c r="N167" i="9"/>
  <c r="M167" i="9"/>
  <c r="L167" i="9"/>
  <c r="K167" i="9"/>
  <c r="J167" i="9"/>
  <c r="I167" i="9"/>
  <c r="H167" i="9"/>
  <c r="G167" i="9"/>
  <c r="E167" i="9"/>
  <c r="D167" i="9"/>
  <c r="A167" i="9"/>
  <c r="O166" i="9"/>
  <c r="N166" i="9"/>
  <c r="M166" i="9"/>
  <c r="L166" i="9"/>
  <c r="K166" i="9"/>
  <c r="J166" i="9"/>
  <c r="I166" i="9"/>
  <c r="H166" i="9"/>
  <c r="G166" i="9"/>
  <c r="E166" i="9"/>
  <c r="D166" i="9"/>
  <c r="A166" i="9"/>
  <c r="O165" i="9"/>
  <c r="N165" i="9"/>
  <c r="M165" i="9"/>
  <c r="L165" i="9"/>
  <c r="K165" i="9"/>
  <c r="J165" i="9"/>
  <c r="I165" i="9"/>
  <c r="H165" i="9"/>
  <c r="G165" i="9"/>
  <c r="E165" i="9"/>
  <c r="D165" i="9"/>
  <c r="A165" i="9"/>
  <c r="O164" i="9"/>
  <c r="N164" i="9"/>
  <c r="M164" i="9"/>
  <c r="L164" i="9"/>
  <c r="K164" i="9"/>
  <c r="J164" i="9"/>
  <c r="I164" i="9"/>
  <c r="H164" i="9"/>
  <c r="G164" i="9"/>
  <c r="E164" i="9"/>
  <c r="D164" i="9"/>
  <c r="A164" i="9"/>
  <c r="O157" i="9"/>
  <c r="N157" i="9"/>
  <c r="M157" i="9"/>
  <c r="L157" i="9"/>
  <c r="K157" i="9"/>
  <c r="J157" i="9"/>
  <c r="I157" i="9"/>
  <c r="H157" i="9"/>
  <c r="G157" i="9"/>
  <c r="E157" i="9"/>
  <c r="D157" i="9"/>
  <c r="A157" i="9"/>
  <c r="O156" i="9"/>
  <c r="N156" i="9"/>
  <c r="M156" i="9"/>
  <c r="L156" i="9"/>
  <c r="K156" i="9"/>
  <c r="J156" i="9"/>
  <c r="I156" i="9"/>
  <c r="H156" i="9"/>
  <c r="G156" i="9"/>
  <c r="E156" i="9"/>
  <c r="D156" i="9"/>
  <c r="A156" i="9"/>
  <c r="O155" i="9"/>
  <c r="N155" i="9"/>
  <c r="M155" i="9"/>
  <c r="L155" i="9"/>
  <c r="K155" i="9"/>
  <c r="J155" i="9"/>
  <c r="I155" i="9"/>
  <c r="H155" i="9"/>
  <c r="G155" i="9"/>
  <c r="E155" i="9"/>
  <c r="D155" i="9"/>
  <c r="A155" i="9"/>
  <c r="O154" i="9"/>
  <c r="N154" i="9"/>
  <c r="M154" i="9"/>
  <c r="L154" i="9"/>
  <c r="K154" i="9"/>
  <c r="J154" i="9"/>
  <c r="I154" i="9"/>
  <c r="H154" i="9"/>
  <c r="G154" i="9"/>
  <c r="E154" i="9"/>
  <c r="D154" i="9"/>
  <c r="A154" i="9"/>
  <c r="O153" i="9"/>
  <c r="N153" i="9"/>
  <c r="M153" i="9"/>
  <c r="L153" i="9"/>
  <c r="K153" i="9"/>
  <c r="J153" i="9"/>
  <c r="I153" i="9"/>
  <c r="H153" i="9"/>
  <c r="G153" i="9"/>
  <c r="E153" i="9"/>
  <c r="D153" i="9"/>
  <c r="A153" i="9"/>
  <c r="O152" i="9"/>
  <c r="N152" i="9"/>
  <c r="M152" i="9"/>
  <c r="L152" i="9"/>
  <c r="K152" i="9"/>
  <c r="J152" i="9"/>
  <c r="I152" i="9"/>
  <c r="H152" i="9"/>
  <c r="G152" i="9"/>
  <c r="E152" i="9"/>
  <c r="D152" i="9"/>
  <c r="A152" i="9"/>
  <c r="O151" i="9"/>
  <c r="N151" i="9"/>
  <c r="M151" i="9"/>
  <c r="L151" i="9"/>
  <c r="K151" i="9"/>
  <c r="J151" i="9"/>
  <c r="I151" i="9"/>
  <c r="H151" i="9"/>
  <c r="G151" i="9"/>
  <c r="E151" i="9"/>
  <c r="D151" i="9"/>
  <c r="A151" i="9"/>
  <c r="O150" i="9"/>
  <c r="N150" i="9"/>
  <c r="M150" i="9"/>
  <c r="L150" i="9"/>
  <c r="K150" i="9"/>
  <c r="J150" i="9"/>
  <c r="I150" i="9"/>
  <c r="H150" i="9"/>
  <c r="G150" i="9"/>
  <c r="E150" i="9"/>
  <c r="D150" i="9"/>
  <c r="A150" i="9"/>
  <c r="O149" i="9"/>
  <c r="N149" i="9"/>
  <c r="M149" i="9"/>
  <c r="L149" i="9"/>
  <c r="K149" i="9"/>
  <c r="J149" i="9"/>
  <c r="I149" i="9"/>
  <c r="H149" i="9"/>
  <c r="G149" i="9"/>
  <c r="E149" i="9"/>
  <c r="D149" i="9"/>
  <c r="A149" i="9"/>
  <c r="O148" i="9"/>
  <c r="N148" i="9"/>
  <c r="M148" i="9"/>
  <c r="L148" i="9"/>
  <c r="K148" i="9"/>
  <c r="J148" i="9"/>
  <c r="I148" i="9"/>
  <c r="H148" i="9"/>
  <c r="G148" i="9"/>
  <c r="E148" i="9"/>
  <c r="D148" i="9"/>
  <c r="A148" i="9"/>
  <c r="O147" i="9"/>
  <c r="N147" i="9"/>
  <c r="M147" i="9"/>
  <c r="L147" i="9"/>
  <c r="K147" i="9"/>
  <c r="J147" i="9"/>
  <c r="I147" i="9"/>
  <c r="H147" i="9"/>
  <c r="G147" i="9"/>
  <c r="E147" i="9"/>
  <c r="D147" i="9"/>
  <c r="A147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0" i="9"/>
  <c r="N70" i="9"/>
  <c r="M70" i="9"/>
  <c r="L70" i="9"/>
  <c r="K70" i="9"/>
  <c r="J70" i="9"/>
  <c r="I70" i="9"/>
  <c r="H70" i="9"/>
  <c r="G70" i="9"/>
  <c r="E70" i="9"/>
  <c r="D70" i="9"/>
  <c r="A70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W64" i="10"/>
  <c r="X64" i="10"/>
  <c r="Y64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T65" i="10"/>
  <c r="U65" i="10"/>
  <c r="V65" i="10"/>
  <c r="W65" i="10"/>
  <c r="X65" i="10"/>
  <c r="Y65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G70" i="10"/>
  <c r="H70" i="10"/>
  <c r="I70" i="10"/>
  <c r="J70" i="10"/>
  <c r="K70" i="10"/>
  <c r="L70" i="10"/>
  <c r="M70" i="10"/>
  <c r="N70" i="10"/>
  <c r="O70" i="10"/>
  <c r="P70" i="10"/>
  <c r="Q70" i="10"/>
  <c r="R70" i="10"/>
  <c r="S70" i="10"/>
  <c r="T70" i="10"/>
  <c r="U70" i="10"/>
  <c r="V70" i="10"/>
  <c r="W70" i="10"/>
  <c r="X70" i="10"/>
  <c r="Y70" i="10"/>
  <c r="G71" i="10"/>
  <c r="H71" i="10"/>
  <c r="I71" i="10"/>
  <c r="J71" i="10"/>
  <c r="K71" i="10"/>
  <c r="L71" i="10"/>
  <c r="M71" i="10"/>
  <c r="N71" i="10"/>
  <c r="O71" i="10"/>
  <c r="P71" i="10"/>
  <c r="Q71" i="10"/>
  <c r="R71" i="10"/>
  <c r="S71" i="10"/>
  <c r="T71" i="10"/>
  <c r="U71" i="10"/>
  <c r="V71" i="10"/>
  <c r="W71" i="10"/>
  <c r="X71" i="10"/>
  <c r="Y71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X73" i="10"/>
  <c r="Y73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X74" i="10"/>
  <c r="Y74" i="10"/>
  <c r="G75" i="10"/>
  <c r="H75" i="10"/>
  <c r="I75" i="10"/>
  <c r="J75" i="10"/>
  <c r="K75" i="10"/>
  <c r="L75" i="10"/>
  <c r="M75" i="10"/>
  <c r="N75" i="10"/>
  <c r="O75" i="10"/>
  <c r="P75" i="10"/>
  <c r="Q75" i="10"/>
  <c r="R75" i="10"/>
  <c r="S75" i="10"/>
  <c r="T75" i="10"/>
  <c r="U75" i="10"/>
  <c r="V75" i="10"/>
  <c r="W75" i="10"/>
  <c r="X75" i="10"/>
  <c r="Y75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W76" i="10"/>
  <c r="X76" i="10"/>
  <c r="Y76" i="10"/>
  <c r="G77" i="10"/>
  <c r="H77" i="10"/>
  <c r="I77" i="10"/>
  <c r="J77" i="10"/>
  <c r="K77" i="10"/>
  <c r="L77" i="10"/>
  <c r="M77" i="10"/>
  <c r="N77" i="10"/>
  <c r="O77" i="10"/>
  <c r="P77" i="10"/>
  <c r="Q77" i="10"/>
  <c r="R77" i="10"/>
  <c r="S77" i="10"/>
  <c r="T77" i="10"/>
  <c r="U77" i="10"/>
  <c r="V77" i="10"/>
  <c r="W77" i="10"/>
  <c r="X77" i="10"/>
  <c r="Y77" i="10"/>
  <c r="G78" i="10"/>
  <c r="H78" i="10"/>
  <c r="I78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X79" i="10"/>
  <c r="Y79" i="10"/>
  <c r="G80" i="10"/>
  <c r="H80" i="10"/>
  <c r="I80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X81" i="10"/>
  <c r="Y81" i="10"/>
  <c r="G82" i="10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W82" i="10"/>
  <c r="X82" i="10"/>
  <c r="Y82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G92" i="10"/>
  <c r="H92" i="10"/>
  <c r="I92" i="10"/>
  <c r="J92" i="10"/>
  <c r="K92" i="10"/>
  <c r="L92" i="10"/>
  <c r="M92" i="10"/>
  <c r="N92" i="10"/>
  <c r="O92" i="10"/>
  <c r="P92" i="10"/>
  <c r="Q92" i="10"/>
  <c r="R92" i="10"/>
  <c r="S92" i="10"/>
  <c r="T92" i="10"/>
  <c r="U92" i="10"/>
  <c r="V92" i="10"/>
  <c r="W92" i="10"/>
  <c r="X92" i="10"/>
  <c r="Y92" i="10"/>
  <c r="G93" i="10"/>
  <c r="H93" i="10"/>
  <c r="I93" i="10"/>
  <c r="J93" i="10"/>
  <c r="K93" i="10"/>
  <c r="L93" i="10"/>
  <c r="M93" i="10"/>
  <c r="N93" i="10"/>
  <c r="O93" i="10"/>
  <c r="P93" i="10"/>
  <c r="Q93" i="10"/>
  <c r="R93" i="10"/>
  <c r="S93" i="10"/>
  <c r="T93" i="10"/>
  <c r="U93" i="10"/>
  <c r="V93" i="10"/>
  <c r="W93" i="10"/>
  <c r="X93" i="10"/>
  <c r="Y93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X94" i="10"/>
  <c r="Y94" i="10"/>
  <c r="G95" i="10"/>
  <c r="H95" i="10"/>
  <c r="I95" i="10"/>
  <c r="J95" i="10"/>
  <c r="K95" i="10"/>
  <c r="L95" i="10"/>
  <c r="M95" i="10"/>
  <c r="N95" i="10"/>
  <c r="O95" i="10"/>
  <c r="P95" i="10"/>
  <c r="Q95" i="10"/>
  <c r="R95" i="10"/>
  <c r="S95" i="10"/>
  <c r="T95" i="10"/>
  <c r="U95" i="10"/>
  <c r="V95" i="10"/>
  <c r="W95" i="10"/>
  <c r="X95" i="10"/>
  <c r="Y95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S96" i="10"/>
  <c r="T96" i="10"/>
  <c r="U96" i="10"/>
  <c r="V96" i="10"/>
  <c r="W96" i="10"/>
  <c r="X96" i="10"/>
  <c r="Y96" i="10"/>
  <c r="G97" i="10"/>
  <c r="H97" i="10"/>
  <c r="I97" i="10"/>
  <c r="J97" i="10"/>
  <c r="K97" i="10"/>
  <c r="L97" i="10"/>
  <c r="M97" i="10"/>
  <c r="N97" i="10"/>
  <c r="O97" i="10"/>
  <c r="P97" i="10"/>
  <c r="Q97" i="10"/>
  <c r="R97" i="10"/>
  <c r="S97" i="10"/>
  <c r="T97" i="10"/>
  <c r="U97" i="10"/>
  <c r="V97" i="10"/>
  <c r="W97" i="10"/>
  <c r="X97" i="10"/>
  <c r="Y97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G99" i="10"/>
  <c r="H99" i="10"/>
  <c r="I99" i="10"/>
  <c r="J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X99" i="10"/>
  <c r="Y99" i="10"/>
  <c r="G100" i="10"/>
  <c r="H100" i="10"/>
  <c r="I100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G103" i="10"/>
  <c r="H103" i="10"/>
  <c r="I103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X103" i="10"/>
  <c r="Y103" i="10"/>
  <c r="G104" i="10"/>
  <c r="H104" i="10"/>
  <c r="I104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G105" i="10"/>
  <c r="H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G106" i="10"/>
  <c r="H106" i="10"/>
  <c r="I106" i="10"/>
  <c r="J106" i="10"/>
  <c r="K106" i="10"/>
  <c r="L106" i="10"/>
  <c r="M106" i="10"/>
  <c r="N106" i="10"/>
  <c r="O106" i="10"/>
  <c r="P106" i="10"/>
  <c r="Q106" i="10"/>
  <c r="R106" i="10"/>
  <c r="S106" i="10"/>
  <c r="T106" i="10"/>
  <c r="U106" i="10"/>
  <c r="V106" i="10"/>
  <c r="W106" i="10"/>
  <c r="X106" i="10"/>
  <c r="Y106" i="10"/>
  <c r="G107" i="10"/>
  <c r="H107" i="10"/>
  <c r="I107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X108" i="10"/>
  <c r="Y108" i="10"/>
  <c r="G109" i="10"/>
  <c r="H109" i="10"/>
  <c r="I109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G110" i="10"/>
  <c r="H110" i="10"/>
  <c r="I110" i="10"/>
  <c r="J110" i="10"/>
  <c r="K110" i="10"/>
  <c r="L110" i="10"/>
  <c r="M110" i="10"/>
  <c r="N110" i="10"/>
  <c r="O110" i="10"/>
  <c r="P110" i="10"/>
  <c r="Q110" i="10"/>
  <c r="R110" i="10"/>
  <c r="S110" i="10"/>
  <c r="T110" i="10"/>
  <c r="U110" i="10"/>
  <c r="V110" i="10"/>
  <c r="W110" i="10"/>
  <c r="X110" i="10"/>
  <c r="Y110" i="10"/>
  <c r="G111" i="10"/>
  <c r="H111" i="10"/>
  <c r="I111" i="10"/>
  <c r="J111" i="10"/>
  <c r="K111" i="10"/>
  <c r="L111" i="10"/>
  <c r="M111" i="10"/>
  <c r="N111" i="10"/>
  <c r="O111" i="10"/>
  <c r="P111" i="10"/>
  <c r="Q111" i="10"/>
  <c r="R111" i="10"/>
  <c r="S111" i="10"/>
  <c r="T111" i="10"/>
  <c r="U111" i="10"/>
  <c r="V111" i="10"/>
  <c r="W111" i="10"/>
  <c r="X111" i="10"/>
  <c r="Y111" i="10"/>
  <c r="G112" i="10"/>
  <c r="H112" i="10"/>
  <c r="I112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G113" i="10"/>
  <c r="H113" i="10"/>
  <c r="I113" i="10"/>
  <c r="J113" i="10"/>
  <c r="K113" i="10"/>
  <c r="L113" i="10"/>
  <c r="M113" i="10"/>
  <c r="N113" i="10"/>
  <c r="O113" i="10"/>
  <c r="P113" i="10"/>
  <c r="Q113" i="10"/>
  <c r="R113" i="10"/>
  <c r="S113" i="10"/>
  <c r="T113" i="10"/>
  <c r="U113" i="10"/>
  <c r="V113" i="10"/>
  <c r="W113" i="10"/>
  <c r="X113" i="10"/>
  <c r="Y113" i="10"/>
  <c r="G114" i="10"/>
  <c r="H114" i="10"/>
  <c r="I114" i="10"/>
  <c r="J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X114" i="10"/>
  <c r="Y114" i="10"/>
  <c r="G115" i="10"/>
  <c r="H115" i="10"/>
  <c r="I115" i="10"/>
  <c r="J115" i="10"/>
  <c r="K115" i="10"/>
  <c r="L115" i="10"/>
  <c r="M115" i="10"/>
  <c r="N115" i="10"/>
  <c r="O115" i="10"/>
  <c r="P115" i="10"/>
  <c r="Q115" i="10"/>
  <c r="R115" i="10"/>
  <c r="S115" i="10"/>
  <c r="T115" i="10"/>
  <c r="U115" i="10"/>
  <c r="V115" i="10"/>
  <c r="W115" i="10"/>
  <c r="X115" i="10"/>
  <c r="Y115" i="10"/>
  <c r="G116" i="10"/>
  <c r="H116" i="10"/>
  <c r="I116" i="10"/>
  <c r="J116" i="10"/>
  <c r="K116" i="10"/>
  <c r="L116" i="10"/>
  <c r="M116" i="10"/>
  <c r="N116" i="10"/>
  <c r="O116" i="10"/>
  <c r="P116" i="10"/>
  <c r="Q116" i="10"/>
  <c r="R116" i="10"/>
  <c r="S116" i="10"/>
  <c r="T116" i="10"/>
  <c r="U116" i="10"/>
  <c r="V116" i="10"/>
  <c r="W116" i="10"/>
  <c r="X116" i="10"/>
  <c r="Y116" i="10"/>
  <c r="G117" i="10"/>
  <c r="H117" i="10"/>
  <c r="I117" i="10"/>
  <c r="J117" i="10"/>
  <c r="K117" i="10"/>
  <c r="L117" i="10"/>
  <c r="M117" i="10"/>
  <c r="N117" i="10"/>
  <c r="O117" i="10"/>
  <c r="P117" i="10"/>
  <c r="Q117" i="10"/>
  <c r="R117" i="10"/>
  <c r="S117" i="10"/>
  <c r="T117" i="10"/>
  <c r="U117" i="10"/>
  <c r="V117" i="10"/>
  <c r="W117" i="10"/>
  <c r="X117" i="10"/>
  <c r="Y117" i="10"/>
  <c r="G118" i="10"/>
  <c r="H118" i="10"/>
  <c r="I118" i="10"/>
  <c r="J118" i="10"/>
  <c r="K118" i="10"/>
  <c r="L118" i="10"/>
  <c r="M118" i="10"/>
  <c r="N118" i="10"/>
  <c r="O118" i="10"/>
  <c r="P118" i="10"/>
  <c r="Q118" i="10"/>
  <c r="R118" i="10"/>
  <c r="S118" i="10"/>
  <c r="T118" i="10"/>
  <c r="U118" i="10"/>
  <c r="V118" i="10"/>
  <c r="W118" i="10"/>
  <c r="X118" i="10"/>
  <c r="Y118" i="10"/>
  <c r="G119" i="10"/>
  <c r="H119" i="10"/>
  <c r="I119" i="10"/>
  <c r="J119" i="10"/>
  <c r="K119" i="10"/>
  <c r="L119" i="10"/>
  <c r="M119" i="10"/>
  <c r="N119" i="10"/>
  <c r="O119" i="10"/>
  <c r="P119" i="10"/>
  <c r="Q119" i="10"/>
  <c r="R119" i="10"/>
  <c r="S119" i="10"/>
  <c r="T119" i="10"/>
  <c r="U119" i="10"/>
  <c r="V119" i="10"/>
  <c r="W119" i="10"/>
  <c r="X119" i="10"/>
  <c r="Y119" i="10"/>
  <c r="G120" i="10"/>
  <c r="H120" i="10"/>
  <c r="I120" i="10"/>
  <c r="J120" i="10"/>
  <c r="K120" i="10"/>
  <c r="L120" i="10"/>
  <c r="M120" i="10"/>
  <c r="N120" i="10"/>
  <c r="O120" i="10"/>
  <c r="P120" i="10"/>
  <c r="Q120" i="10"/>
  <c r="R120" i="10"/>
  <c r="S120" i="10"/>
  <c r="T120" i="10"/>
  <c r="U120" i="10"/>
  <c r="V120" i="10"/>
  <c r="W120" i="10"/>
  <c r="X120" i="10"/>
  <c r="Y120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S121" i="10"/>
  <c r="T121" i="10"/>
  <c r="U121" i="10"/>
  <c r="V121" i="10"/>
  <c r="W121" i="10"/>
  <c r="X121" i="10"/>
  <c r="Y121" i="10"/>
  <c r="G122" i="10"/>
  <c r="H122" i="10"/>
  <c r="I122" i="10"/>
  <c r="J122" i="10"/>
  <c r="K122" i="10"/>
  <c r="L122" i="10"/>
  <c r="M122" i="10"/>
  <c r="N122" i="10"/>
  <c r="O122" i="10"/>
  <c r="P122" i="10"/>
  <c r="Q122" i="10"/>
  <c r="R122" i="10"/>
  <c r="S122" i="10"/>
  <c r="T122" i="10"/>
  <c r="U122" i="10"/>
  <c r="V122" i="10"/>
  <c r="W122" i="10"/>
  <c r="X122" i="10"/>
  <c r="Y122" i="10"/>
  <c r="G123" i="10"/>
  <c r="H123" i="10"/>
  <c r="I123" i="10"/>
  <c r="J123" i="10"/>
  <c r="K123" i="10"/>
  <c r="L123" i="10"/>
  <c r="M123" i="10"/>
  <c r="N123" i="10"/>
  <c r="O123" i="10"/>
  <c r="P123" i="10"/>
  <c r="Q123" i="10"/>
  <c r="R123" i="10"/>
  <c r="S123" i="10"/>
  <c r="T123" i="10"/>
  <c r="U123" i="10"/>
  <c r="V123" i="10"/>
  <c r="W123" i="10"/>
  <c r="X123" i="10"/>
  <c r="Y123" i="10"/>
  <c r="G124" i="10"/>
  <c r="H124" i="10"/>
  <c r="I124" i="10"/>
  <c r="J124" i="10"/>
  <c r="K124" i="10"/>
  <c r="L124" i="10"/>
  <c r="M124" i="10"/>
  <c r="N124" i="10"/>
  <c r="O124" i="10"/>
  <c r="P124" i="10"/>
  <c r="Q124" i="10"/>
  <c r="R124" i="10"/>
  <c r="S124" i="10"/>
  <c r="T124" i="10"/>
  <c r="U124" i="10"/>
  <c r="V124" i="10"/>
  <c r="W124" i="10"/>
  <c r="X124" i="10"/>
  <c r="Y124" i="10"/>
  <c r="G125" i="10"/>
  <c r="H125" i="10"/>
  <c r="I125" i="10"/>
  <c r="J125" i="10"/>
  <c r="K125" i="10"/>
  <c r="L125" i="10"/>
  <c r="M125" i="10"/>
  <c r="N125" i="10"/>
  <c r="O125" i="10"/>
  <c r="P125" i="10"/>
  <c r="Q125" i="10"/>
  <c r="R125" i="10"/>
  <c r="S125" i="10"/>
  <c r="T125" i="10"/>
  <c r="U125" i="10"/>
  <c r="V125" i="10"/>
  <c r="W125" i="10"/>
  <c r="X125" i="10"/>
  <c r="Y125" i="10"/>
  <c r="G126" i="10"/>
  <c r="H126" i="10"/>
  <c r="I126" i="10"/>
  <c r="J126" i="10"/>
  <c r="K126" i="10"/>
  <c r="L126" i="10"/>
  <c r="M126" i="10"/>
  <c r="N126" i="10"/>
  <c r="O126" i="10"/>
  <c r="P126" i="10"/>
  <c r="Q126" i="10"/>
  <c r="R126" i="10"/>
  <c r="S126" i="10"/>
  <c r="T126" i="10"/>
  <c r="U126" i="10"/>
  <c r="V126" i="10"/>
  <c r="W126" i="10"/>
  <c r="X126" i="10"/>
  <c r="Y126" i="10"/>
  <c r="G127" i="10"/>
  <c r="H127" i="10"/>
  <c r="I127" i="10"/>
  <c r="J127" i="10"/>
  <c r="K127" i="10"/>
  <c r="L127" i="10"/>
  <c r="M127" i="10"/>
  <c r="N127" i="10"/>
  <c r="O127" i="10"/>
  <c r="P127" i="10"/>
  <c r="Q127" i="10"/>
  <c r="R127" i="10"/>
  <c r="S127" i="10"/>
  <c r="T127" i="10"/>
  <c r="U127" i="10"/>
  <c r="V127" i="10"/>
  <c r="W127" i="10"/>
  <c r="X127" i="10"/>
  <c r="Y127" i="10"/>
  <c r="G128" i="10"/>
  <c r="H128" i="10"/>
  <c r="I128" i="10"/>
  <c r="J128" i="10"/>
  <c r="K128" i="10"/>
  <c r="L128" i="10"/>
  <c r="M128" i="10"/>
  <c r="N128" i="10"/>
  <c r="O128" i="10"/>
  <c r="P128" i="10"/>
  <c r="Q128" i="10"/>
  <c r="R128" i="10"/>
  <c r="S128" i="10"/>
  <c r="T128" i="10"/>
  <c r="U128" i="10"/>
  <c r="V128" i="10"/>
  <c r="W128" i="10"/>
  <c r="X128" i="10"/>
  <c r="Y128" i="10"/>
  <c r="G129" i="10"/>
  <c r="H129" i="10"/>
  <c r="I129" i="10"/>
  <c r="J129" i="10"/>
  <c r="K129" i="10"/>
  <c r="L129" i="10"/>
  <c r="M129" i="10"/>
  <c r="N129" i="10"/>
  <c r="O129" i="10"/>
  <c r="P129" i="10"/>
  <c r="Q129" i="10"/>
  <c r="R129" i="10"/>
  <c r="S129" i="10"/>
  <c r="T129" i="10"/>
  <c r="U129" i="10"/>
  <c r="V129" i="10"/>
  <c r="W129" i="10"/>
  <c r="X129" i="10"/>
  <c r="Y129" i="10"/>
  <c r="G130" i="10"/>
  <c r="H130" i="10"/>
  <c r="I130" i="10"/>
  <c r="J130" i="10"/>
  <c r="K130" i="10"/>
  <c r="L130" i="10"/>
  <c r="M130" i="10"/>
  <c r="N130" i="10"/>
  <c r="O130" i="10"/>
  <c r="P130" i="10"/>
  <c r="Q130" i="10"/>
  <c r="R130" i="10"/>
  <c r="S130" i="10"/>
  <c r="T130" i="10"/>
  <c r="U130" i="10"/>
  <c r="V130" i="10"/>
  <c r="W130" i="10"/>
  <c r="X130" i="10"/>
  <c r="Y130" i="10"/>
  <c r="G131" i="10"/>
  <c r="H131" i="10"/>
  <c r="I131" i="10"/>
  <c r="J131" i="10"/>
  <c r="K131" i="10"/>
  <c r="L131" i="10"/>
  <c r="M131" i="10"/>
  <c r="N131" i="10"/>
  <c r="O131" i="10"/>
  <c r="P131" i="10"/>
  <c r="Q131" i="10"/>
  <c r="R131" i="10"/>
  <c r="S131" i="10"/>
  <c r="T131" i="10"/>
  <c r="U131" i="10"/>
  <c r="V131" i="10"/>
  <c r="W131" i="10"/>
  <c r="X131" i="10"/>
  <c r="Y131" i="10"/>
  <c r="G132" i="10"/>
  <c r="H132" i="10"/>
  <c r="I132" i="10"/>
  <c r="J132" i="10"/>
  <c r="K132" i="10"/>
  <c r="L132" i="10"/>
  <c r="M132" i="10"/>
  <c r="N132" i="10"/>
  <c r="O132" i="10"/>
  <c r="P132" i="10"/>
  <c r="Q132" i="10"/>
  <c r="R132" i="10"/>
  <c r="S132" i="10"/>
  <c r="T132" i="10"/>
  <c r="U132" i="10"/>
  <c r="V132" i="10"/>
  <c r="W132" i="10"/>
  <c r="X132" i="10"/>
  <c r="Y132" i="10"/>
  <c r="G133" i="10"/>
  <c r="H133" i="10"/>
  <c r="I133" i="10"/>
  <c r="J133" i="10"/>
  <c r="K133" i="10"/>
  <c r="L133" i="10"/>
  <c r="M133" i="10"/>
  <c r="N133" i="10"/>
  <c r="O133" i="10"/>
  <c r="P133" i="10"/>
  <c r="Q133" i="10"/>
  <c r="R133" i="10"/>
  <c r="S133" i="10"/>
  <c r="T133" i="10"/>
  <c r="U133" i="10"/>
  <c r="V133" i="10"/>
  <c r="W133" i="10"/>
  <c r="X133" i="10"/>
  <c r="Y133" i="10"/>
  <c r="G134" i="10"/>
  <c r="H134" i="10"/>
  <c r="I134" i="10"/>
  <c r="J134" i="10"/>
  <c r="K134" i="10"/>
  <c r="L134" i="10"/>
  <c r="M134" i="10"/>
  <c r="N134" i="10"/>
  <c r="O134" i="10"/>
  <c r="P134" i="10"/>
  <c r="Q134" i="10"/>
  <c r="R134" i="10"/>
  <c r="S134" i="10"/>
  <c r="T134" i="10"/>
  <c r="U134" i="10"/>
  <c r="V134" i="10"/>
  <c r="W134" i="10"/>
  <c r="X134" i="10"/>
  <c r="Y134" i="10"/>
  <c r="G135" i="10"/>
  <c r="H135" i="10"/>
  <c r="I135" i="10"/>
  <c r="J135" i="10"/>
  <c r="K135" i="10"/>
  <c r="L135" i="10"/>
  <c r="M135" i="10"/>
  <c r="N135" i="10"/>
  <c r="O135" i="10"/>
  <c r="P135" i="10"/>
  <c r="Q135" i="10"/>
  <c r="R135" i="10"/>
  <c r="S135" i="10"/>
  <c r="T135" i="10"/>
  <c r="U135" i="10"/>
  <c r="V135" i="10"/>
  <c r="W135" i="10"/>
  <c r="X135" i="10"/>
  <c r="Y135" i="10"/>
  <c r="G136" i="10"/>
  <c r="H136" i="10"/>
  <c r="I136" i="10"/>
  <c r="J136" i="10"/>
  <c r="K136" i="10"/>
  <c r="L136" i="10"/>
  <c r="M136" i="10"/>
  <c r="N136" i="10"/>
  <c r="O136" i="10"/>
  <c r="P136" i="10"/>
  <c r="Q136" i="10"/>
  <c r="R136" i="10"/>
  <c r="S136" i="10"/>
  <c r="T136" i="10"/>
  <c r="U136" i="10"/>
  <c r="V136" i="10"/>
  <c r="W136" i="10"/>
  <c r="X136" i="10"/>
  <c r="Y136" i="10"/>
  <c r="G137" i="10"/>
  <c r="H137" i="10"/>
  <c r="I137" i="10"/>
  <c r="J137" i="10"/>
  <c r="K137" i="10"/>
  <c r="L137" i="10"/>
  <c r="M137" i="10"/>
  <c r="N137" i="10"/>
  <c r="O137" i="10"/>
  <c r="P137" i="10"/>
  <c r="Q137" i="10"/>
  <c r="R137" i="10"/>
  <c r="S137" i="10"/>
  <c r="T137" i="10"/>
  <c r="U137" i="10"/>
  <c r="V137" i="10"/>
  <c r="W137" i="10"/>
  <c r="X137" i="10"/>
  <c r="Y137" i="10"/>
  <c r="G138" i="10"/>
  <c r="H138" i="10"/>
  <c r="I138" i="10"/>
  <c r="J138" i="10"/>
  <c r="K138" i="10"/>
  <c r="L138" i="10"/>
  <c r="M138" i="10"/>
  <c r="N138" i="10"/>
  <c r="O138" i="10"/>
  <c r="P138" i="10"/>
  <c r="Q138" i="10"/>
  <c r="R138" i="10"/>
  <c r="S138" i="10"/>
  <c r="T138" i="10"/>
  <c r="U138" i="10"/>
  <c r="V138" i="10"/>
  <c r="W138" i="10"/>
  <c r="X138" i="10"/>
  <c r="Y138" i="10"/>
  <c r="G139" i="10"/>
  <c r="H139" i="10"/>
  <c r="I139" i="10"/>
  <c r="J139" i="10"/>
  <c r="K139" i="10"/>
  <c r="L139" i="10"/>
  <c r="M139" i="10"/>
  <c r="N139" i="10"/>
  <c r="O139" i="10"/>
  <c r="P139" i="10"/>
  <c r="Q139" i="10"/>
  <c r="R139" i="10"/>
  <c r="S139" i="10"/>
  <c r="T139" i="10"/>
  <c r="U139" i="10"/>
  <c r="V139" i="10"/>
  <c r="W139" i="10"/>
  <c r="X139" i="10"/>
  <c r="Y139" i="10"/>
  <c r="G140" i="10"/>
  <c r="H140" i="10"/>
  <c r="I140" i="10"/>
  <c r="J140" i="10"/>
  <c r="K140" i="10"/>
  <c r="L140" i="10"/>
  <c r="M140" i="10"/>
  <c r="N140" i="10"/>
  <c r="O140" i="10"/>
  <c r="P140" i="10"/>
  <c r="Q140" i="10"/>
  <c r="R140" i="10"/>
  <c r="S140" i="10"/>
  <c r="T140" i="10"/>
  <c r="U140" i="10"/>
  <c r="V140" i="10"/>
  <c r="W140" i="10"/>
  <c r="X140" i="10"/>
  <c r="Y140" i="10"/>
  <c r="G141" i="10"/>
  <c r="H141" i="10"/>
  <c r="I141" i="10"/>
  <c r="J141" i="10"/>
  <c r="K141" i="10"/>
  <c r="L141" i="10"/>
  <c r="M141" i="10"/>
  <c r="N141" i="10"/>
  <c r="O141" i="10"/>
  <c r="P141" i="10"/>
  <c r="Q141" i="10"/>
  <c r="R141" i="10"/>
  <c r="S141" i="10"/>
  <c r="T141" i="10"/>
  <c r="U141" i="10"/>
  <c r="V141" i="10"/>
  <c r="W141" i="10"/>
  <c r="X141" i="10"/>
  <c r="Y141" i="10"/>
  <c r="G142" i="10"/>
  <c r="H142" i="10"/>
  <c r="I142" i="10"/>
  <c r="J142" i="10"/>
  <c r="K142" i="10"/>
  <c r="L142" i="10"/>
  <c r="M142" i="10"/>
  <c r="N142" i="10"/>
  <c r="O142" i="10"/>
  <c r="P142" i="10"/>
  <c r="Q142" i="10"/>
  <c r="R142" i="10"/>
  <c r="S142" i="10"/>
  <c r="T142" i="10"/>
  <c r="U142" i="10"/>
  <c r="V142" i="10"/>
  <c r="W142" i="10"/>
  <c r="X142" i="10"/>
  <c r="Y142" i="10"/>
  <c r="G143" i="10"/>
  <c r="H143" i="10"/>
  <c r="I143" i="10"/>
  <c r="J143" i="10"/>
  <c r="K143" i="10"/>
  <c r="L143" i="10"/>
  <c r="M143" i="10"/>
  <c r="N143" i="10"/>
  <c r="O143" i="10"/>
  <c r="P143" i="10"/>
  <c r="Q143" i="10"/>
  <c r="R143" i="10"/>
  <c r="S143" i="10"/>
  <c r="T143" i="10"/>
  <c r="U143" i="10"/>
  <c r="V143" i="10"/>
  <c r="W143" i="10"/>
  <c r="X143" i="10"/>
  <c r="Y143" i="10"/>
  <c r="G144" i="10"/>
  <c r="H144" i="10"/>
  <c r="I144" i="10"/>
  <c r="J144" i="10"/>
  <c r="K144" i="10"/>
  <c r="L144" i="10"/>
  <c r="M144" i="10"/>
  <c r="N144" i="10"/>
  <c r="O144" i="10"/>
  <c r="P144" i="10"/>
  <c r="Q144" i="10"/>
  <c r="R144" i="10"/>
  <c r="S144" i="10"/>
  <c r="T144" i="10"/>
  <c r="U144" i="10"/>
  <c r="V144" i="10"/>
  <c r="W144" i="10"/>
  <c r="X144" i="10"/>
  <c r="Y144" i="10"/>
  <c r="G145" i="10"/>
  <c r="H145" i="10"/>
  <c r="I145" i="10"/>
  <c r="J145" i="10"/>
  <c r="K145" i="10"/>
  <c r="L145" i="10"/>
  <c r="M145" i="10"/>
  <c r="N145" i="10"/>
  <c r="O145" i="10"/>
  <c r="P145" i="10"/>
  <c r="Q145" i="10"/>
  <c r="R145" i="10"/>
  <c r="S145" i="10"/>
  <c r="T145" i="10"/>
  <c r="U145" i="10"/>
  <c r="V145" i="10"/>
  <c r="W145" i="10"/>
  <c r="X145" i="10"/>
  <c r="Y145" i="10"/>
  <c r="G146" i="10"/>
  <c r="H146" i="10"/>
  <c r="I146" i="10"/>
  <c r="J146" i="10"/>
  <c r="K146" i="10"/>
  <c r="L146" i="10"/>
  <c r="M146" i="10"/>
  <c r="N146" i="10"/>
  <c r="O146" i="10"/>
  <c r="P146" i="10"/>
  <c r="Q146" i="10"/>
  <c r="R146" i="10"/>
  <c r="S146" i="10"/>
  <c r="T146" i="10"/>
  <c r="U146" i="10"/>
  <c r="V146" i="10"/>
  <c r="W146" i="10"/>
  <c r="X146" i="10"/>
  <c r="Y146" i="10"/>
  <c r="G147" i="10"/>
  <c r="H147" i="10"/>
  <c r="I147" i="10"/>
  <c r="J147" i="10"/>
  <c r="K147" i="10"/>
  <c r="L147" i="10"/>
  <c r="M147" i="10"/>
  <c r="N147" i="10"/>
  <c r="O147" i="10"/>
  <c r="P147" i="10"/>
  <c r="Q147" i="10"/>
  <c r="R147" i="10"/>
  <c r="S147" i="10"/>
  <c r="T147" i="10"/>
  <c r="U147" i="10"/>
  <c r="V147" i="10"/>
  <c r="W147" i="10"/>
  <c r="X147" i="10"/>
  <c r="Y147" i="10"/>
  <c r="G148" i="10"/>
  <c r="H148" i="10"/>
  <c r="I148" i="10"/>
  <c r="J148" i="10"/>
  <c r="K148" i="10"/>
  <c r="L148" i="10"/>
  <c r="M148" i="10"/>
  <c r="N148" i="10"/>
  <c r="O148" i="10"/>
  <c r="P148" i="10"/>
  <c r="Q148" i="10"/>
  <c r="R148" i="10"/>
  <c r="S148" i="10"/>
  <c r="T148" i="10"/>
  <c r="U148" i="10"/>
  <c r="V148" i="10"/>
  <c r="W148" i="10"/>
  <c r="X148" i="10"/>
  <c r="Y148" i="10"/>
  <c r="G149" i="10"/>
  <c r="H149" i="10"/>
  <c r="I149" i="10"/>
  <c r="J149" i="10"/>
  <c r="K149" i="10"/>
  <c r="L149" i="10"/>
  <c r="M149" i="10"/>
  <c r="N149" i="10"/>
  <c r="O149" i="10"/>
  <c r="P149" i="10"/>
  <c r="Q149" i="10"/>
  <c r="R149" i="10"/>
  <c r="S149" i="10"/>
  <c r="T149" i="10"/>
  <c r="U149" i="10"/>
  <c r="V149" i="10"/>
  <c r="W149" i="10"/>
  <c r="X149" i="10"/>
  <c r="Y149" i="10"/>
  <c r="R11" i="7"/>
  <c r="Q11" i="7"/>
  <c r="P11" i="7"/>
  <c r="O11" i="7"/>
  <c r="N11" i="7"/>
  <c r="H11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11" i="7"/>
  <c r="I11" i="7"/>
  <c r="D11" i="7"/>
  <c r="F11" i="7"/>
  <c r="E11" i="7"/>
  <c r="A11" i="7"/>
  <c r="R10" i="7"/>
  <c r="Q10" i="7"/>
  <c r="P10" i="7"/>
  <c r="O10" i="7"/>
  <c r="N10" i="7"/>
  <c r="H10" i="7"/>
  <c r="J10" i="7"/>
  <c r="I10" i="7"/>
  <c r="D10" i="7"/>
  <c r="F10" i="7"/>
  <c r="E10" i="7"/>
  <c r="A10" i="7"/>
  <c r="R9" i="7"/>
  <c r="Q9" i="7"/>
  <c r="P9" i="7"/>
  <c r="O9" i="7"/>
  <c r="N9" i="7"/>
  <c r="H9" i="7"/>
  <c r="J9" i="7"/>
  <c r="I9" i="7"/>
  <c r="D9" i="7"/>
  <c r="F9" i="7"/>
  <c r="E9" i="7"/>
  <c r="A9" i="7"/>
  <c r="R8" i="7"/>
  <c r="Q8" i="7"/>
  <c r="P8" i="7"/>
  <c r="O8" i="7"/>
  <c r="N8" i="7"/>
  <c r="H8" i="7"/>
  <c r="J8" i="7"/>
  <c r="I8" i="7"/>
  <c r="D8" i="7"/>
  <c r="F8" i="7"/>
  <c r="E8" i="7"/>
  <c r="A8" i="7"/>
  <c r="R7" i="7"/>
  <c r="Q7" i="7"/>
  <c r="P7" i="7"/>
  <c r="O7" i="7"/>
  <c r="N7" i="7"/>
  <c r="H7" i="7"/>
  <c r="J7" i="7"/>
  <c r="I7" i="7"/>
  <c r="D7" i="7"/>
  <c r="F7" i="7"/>
  <c r="E7" i="7"/>
  <c r="A7" i="7"/>
  <c r="AD13" i="1"/>
  <c r="AG13" i="1"/>
  <c r="AE13" i="1"/>
  <c r="AC13" i="1"/>
  <c r="E131" i="9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E97" i="9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E96" i="9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E94" i="9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E76" i="9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E59" i="9"/>
  <c r="V8" i="1"/>
  <c r="Q8" i="1"/>
  <c r="P8" i="1"/>
  <c r="O8" i="1"/>
  <c r="N8" i="1"/>
  <c r="M8" i="1"/>
  <c r="H8" i="1"/>
  <c r="J8" i="1"/>
  <c r="I8" i="1"/>
  <c r="D8" i="1"/>
  <c r="F8" i="1"/>
  <c r="E8" i="1"/>
  <c r="A8" i="1"/>
  <c r="H9" i="2"/>
  <c r="E9" i="2"/>
  <c r="D9" i="2"/>
  <c r="H2" i="1"/>
  <c r="H3" i="1"/>
  <c r="H4" i="1"/>
  <c r="H5" i="1"/>
  <c r="H6" i="1"/>
  <c r="H7" i="1"/>
  <c r="H14" i="1"/>
  <c r="H15" i="1"/>
  <c r="H16" i="1"/>
  <c r="H17" i="1"/>
  <c r="H18" i="1"/>
  <c r="H19" i="1"/>
  <c r="B9" i="2"/>
  <c r="H8" i="2"/>
  <c r="E8" i="2"/>
  <c r="D8" i="2"/>
  <c r="B8" i="2"/>
  <c r="H7" i="2"/>
  <c r="E7" i="2"/>
  <c r="D7" i="2"/>
  <c r="B7" i="2"/>
  <c r="H6" i="2"/>
  <c r="E6" i="2"/>
  <c r="D6" i="2"/>
  <c r="B6" i="2"/>
  <c r="O15" i="21"/>
  <c r="B15" i="21"/>
  <c r="I15" i="21"/>
  <c r="J15" i="21"/>
  <c r="G15" i="21"/>
  <c r="F15" i="21"/>
  <c r="D15" i="21"/>
  <c r="C15" i="21"/>
  <c r="O14" i="21"/>
  <c r="B14" i="21"/>
  <c r="I14" i="21"/>
  <c r="J14" i="21"/>
  <c r="G14" i="21"/>
  <c r="F14" i="21"/>
  <c r="D14" i="21"/>
  <c r="C14" i="21"/>
  <c r="O13" i="21"/>
  <c r="B13" i="21"/>
  <c r="I13" i="21"/>
  <c r="J13" i="21"/>
  <c r="G13" i="21"/>
  <c r="F13" i="21"/>
  <c r="D13" i="21"/>
  <c r="C13" i="21"/>
  <c r="O12" i="21"/>
  <c r="B12" i="21"/>
  <c r="I12" i="21"/>
  <c r="J12" i="21"/>
  <c r="G12" i="21"/>
  <c r="F12" i="21"/>
  <c r="D12" i="21"/>
  <c r="C12" i="21"/>
  <c r="O11" i="21"/>
  <c r="B11" i="21"/>
  <c r="I11" i="21"/>
  <c r="J11" i="21"/>
  <c r="G11" i="21"/>
  <c r="F11" i="21"/>
  <c r="D11" i="21"/>
  <c r="C11" i="21"/>
  <c r="O10" i="21"/>
  <c r="B10" i="21"/>
  <c r="I10" i="21"/>
  <c r="J10" i="21"/>
  <c r="G10" i="21"/>
  <c r="F10" i="21"/>
  <c r="D10" i="21"/>
  <c r="C10" i="21"/>
  <c r="O9" i="21"/>
  <c r="B9" i="21"/>
  <c r="I9" i="21"/>
  <c r="J9" i="21"/>
  <c r="G9" i="21"/>
  <c r="F9" i="21"/>
  <c r="D9" i="21"/>
  <c r="C9" i="21"/>
  <c r="O22" i="21"/>
  <c r="B22" i="21"/>
  <c r="I22" i="21"/>
  <c r="J22" i="21"/>
  <c r="G22" i="21"/>
  <c r="F22" i="21"/>
  <c r="D22" i="21"/>
  <c r="C22" i="21"/>
  <c r="O21" i="21"/>
  <c r="B21" i="21"/>
  <c r="I21" i="21"/>
  <c r="J21" i="21"/>
  <c r="G21" i="21"/>
  <c r="F21" i="21"/>
  <c r="D21" i="21"/>
  <c r="C21" i="21"/>
  <c r="J65" i="11"/>
  <c r="J64" i="11"/>
  <c r="J63" i="11"/>
  <c r="J62" i="11"/>
  <c r="O88" i="9"/>
  <c r="N88" i="9"/>
  <c r="M88" i="9"/>
  <c r="L88" i="9"/>
  <c r="K88" i="9"/>
  <c r="J88" i="9"/>
  <c r="I88" i="9"/>
  <c r="H88" i="9"/>
  <c r="G88" i="9"/>
  <c r="E88" i="9"/>
  <c r="D88" i="9"/>
  <c r="A88" i="9"/>
  <c r="O182" i="9"/>
  <c r="N182" i="9"/>
  <c r="M182" i="9"/>
  <c r="L182" i="9"/>
  <c r="K182" i="9"/>
  <c r="J182" i="9"/>
  <c r="I182" i="9"/>
  <c r="H182" i="9"/>
  <c r="G182" i="9"/>
  <c r="E182" i="9"/>
  <c r="D182" i="9"/>
  <c r="A182" i="9"/>
  <c r="O181" i="9"/>
  <c r="N181" i="9"/>
  <c r="M181" i="9"/>
  <c r="L181" i="9"/>
  <c r="K181" i="9"/>
  <c r="J181" i="9"/>
  <c r="I181" i="9"/>
  <c r="H181" i="9"/>
  <c r="G181" i="9"/>
  <c r="E181" i="9"/>
  <c r="D181" i="9"/>
  <c r="A181" i="9"/>
  <c r="O180" i="9"/>
  <c r="N180" i="9"/>
  <c r="M180" i="9"/>
  <c r="L180" i="9"/>
  <c r="K180" i="9"/>
  <c r="J180" i="9"/>
  <c r="I180" i="9"/>
  <c r="H180" i="9"/>
  <c r="G180" i="9"/>
  <c r="E180" i="9"/>
  <c r="D180" i="9"/>
  <c r="A180" i="9"/>
  <c r="O179" i="9"/>
  <c r="N179" i="9"/>
  <c r="M179" i="9"/>
  <c r="L179" i="9"/>
  <c r="K179" i="9"/>
  <c r="J179" i="9"/>
  <c r="I179" i="9"/>
  <c r="H179" i="9"/>
  <c r="G179" i="9"/>
  <c r="E179" i="9"/>
  <c r="D179" i="9"/>
  <c r="A179" i="9"/>
  <c r="O178" i="9"/>
  <c r="N178" i="9"/>
  <c r="M178" i="9"/>
  <c r="L178" i="9"/>
  <c r="K178" i="9"/>
  <c r="J178" i="9"/>
  <c r="I178" i="9"/>
  <c r="H178" i="9"/>
  <c r="G178" i="9"/>
  <c r="E178" i="9"/>
  <c r="D178" i="9"/>
  <c r="A178" i="9"/>
  <c r="O177" i="9"/>
  <c r="N177" i="9"/>
  <c r="M177" i="9"/>
  <c r="L177" i="9"/>
  <c r="K177" i="9"/>
  <c r="J177" i="9"/>
  <c r="I177" i="9"/>
  <c r="H177" i="9"/>
  <c r="G177" i="9"/>
  <c r="E177" i="9"/>
  <c r="D177" i="9"/>
  <c r="A177" i="9"/>
  <c r="O176" i="9"/>
  <c r="N176" i="9"/>
  <c r="M176" i="9"/>
  <c r="L176" i="9"/>
  <c r="K176" i="9"/>
  <c r="J176" i="9"/>
  <c r="I176" i="9"/>
  <c r="H176" i="9"/>
  <c r="G176" i="9"/>
  <c r="E176" i="9"/>
  <c r="D176" i="9"/>
  <c r="A176" i="9"/>
  <c r="O175" i="9"/>
  <c r="N175" i="9"/>
  <c r="M175" i="9"/>
  <c r="L175" i="9"/>
  <c r="K175" i="9"/>
  <c r="J175" i="9"/>
  <c r="I175" i="9"/>
  <c r="H175" i="9"/>
  <c r="G175" i="9"/>
  <c r="E175" i="9"/>
  <c r="D175" i="9"/>
  <c r="A175" i="9"/>
  <c r="O163" i="9"/>
  <c r="N163" i="9"/>
  <c r="M163" i="9"/>
  <c r="L163" i="9"/>
  <c r="K163" i="9"/>
  <c r="J163" i="9"/>
  <c r="I163" i="9"/>
  <c r="H163" i="9"/>
  <c r="G163" i="9"/>
  <c r="E163" i="9"/>
  <c r="D163" i="9"/>
  <c r="A163" i="9"/>
  <c r="J61" i="11"/>
  <c r="J60" i="11"/>
  <c r="J59" i="11"/>
  <c r="O18" i="21"/>
  <c r="B18" i="21"/>
  <c r="I18" i="21"/>
  <c r="J18" i="21"/>
  <c r="G18" i="21"/>
  <c r="F18" i="21"/>
  <c r="D18" i="21"/>
  <c r="C18" i="21"/>
  <c r="O3" i="21"/>
  <c r="O4" i="21"/>
  <c r="O5" i="21"/>
  <c r="O6" i="21"/>
  <c r="O7" i="21"/>
  <c r="O8" i="21"/>
  <c r="O16" i="21"/>
  <c r="O17" i="21"/>
  <c r="O19" i="21"/>
  <c r="O20" i="21"/>
  <c r="O2" i="21"/>
  <c r="B4" i="21"/>
  <c r="I4" i="21"/>
  <c r="J4" i="21"/>
  <c r="G4" i="21"/>
  <c r="F4" i="21"/>
  <c r="D4" i="21"/>
  <c r="C4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7" i="21"/>
  <c r="I17" i="21"/>
  <c r="J17" i="21"/>
  <c r="G17" i="21"/>
  <c r="F17" i="21"/>
  <c r="D17" i="21"/>
  <c r="C17" i="21"/>
  <c r="L40" i="19"/>
  <c r="K40" i="19"/>
  <c r="B40" i="19"/>
  <c r="G40" i="19"/>
  <c r="F40" i="19"/>
  <c r="D40" i="19"/>
  <c r="C40" i="19"/>
  <c r="L39" i="19"/>
  <c r="K39" i="19"/>
  <c r="B39" i="19"/>
  <c r="G39" i="19"/>
  <c r="F39" i="19"/>
  <c r="D39" i="19"/>
  <c r="C39" i="19"/>
  <c r="L38" i="19"/>
  <c r="K38" i="19"/>
  <c r="B38" i="19"/>
  <c r="G38" i="19"/>
  <c r="F38" i="19"/>
  <c r="D38" i="19"/>
  <c r="C38" i="19"/>
  <c r="L37" i="19"/>
  <c r="K37" i="19"/>
  <c r="B37" i="19"/>
  <c r="G37" i="19"/>
  <c r="F37" i="19"/>
  <c r="D37" i="19"/>
  <c r="C37" i="19"/>
  <c r="L36" i="19"/>
  <c r="K36" i="19"/>
  <c r="B36" i="19"/>
  <c r="G36" i="19"/>
  <c r="F36" i="19"/>
  <c r="D36" i="19"/>
  <c r="C36" i="19"/>
  <c r="L35" i="19"/>
  <c r="K35" i="19"/>
  <c r="B35" i="19"/>
  <c r="G35" i="19"/>
  <c r="F35" i="19"/>
  <c r="D35" i="19"/>
  <c r="C35" i="19"/>
  <c r="L34" i="19"/>
  <c r="K34" i="19"/>
  <c r="B34" i="19"/>
  <c r="G34" i="19"/>
  <c r="F34" i="19"/>
  <c r="D34" i="19"/>
  <c r="C34" i="19"/>
  <c r="L33" i="19"/>
  <c r="K33" i="19"/>
  <c r="B33" i="19"/>
  <c r="G33" i="19"/>
  <c r="F33" i="19"/>
  <c r="D33" i="19"/>
  <c r="C33" i="19"/>
  <c r="L32" i="19"/>
  <c r="K32" i="19"/>
  <c r="B32" i="19"/>
  <c r="G32" i="19"/>
  <c r="F32" i="19"/>
  <c r="D32" i="19"/>
  <c r="C32" i="19"/>
  <c r="L31" i="19"/>
  <c r="K31" i="19"/>
  <c r="B31" i="19"/>
  <c r="G31" i="19"/>
  <c r="F31" i="19"/>
  <c r="D31" i="19"/>
  <c r="C31" i="19"/>
  <c r="L30" i="19"/>
  <c r="K30" i="19"/>
  <c r="B30" i="19"/>
  <c r="G30" i="19"/>
  <c r="F30" i="19"/>
  <c r="D30" i="19"/>
  <c r="C30" i="19"/>
  <c r="L29" i="19"/>
  <c r="K29" i="19"/>
  <c r="B29" i="19"/>
  <c r="G29" i="19"/>
  <c r="F29" i="19"/>
  <c r="D29" i="19"/>
  <c r="C29" i="19"/>
  <c r="L28" i="19"/>
  <c r="K28" i="19"/>
  <c r="B28" i="19"/>
  <c r="G28" i="19"/>
  <c r="F28" i="19"/>
  <c r="D28" i="19"/>
  <c r="C28" i="19"/>
  <c r="L27" i="19"/>
  <c r="K27" i="19"/>
  <c r="B27" i="19"/>
  <c r="G27" i="19"/>
  <c r="F27" i="19"/>
  <c r="D27" i="19"/>
  <c r="C27" i="19"/>
  <c r="L26" i="19"/>
  <c r="K26" i="19"/>
  <c r="B26" i="19"/>
  <c r="G26" i="19"/>
  <c r="F26" i="19"/>
  <c r="D26" i="19"/>
  <c r="C26" i="19"/>
  <c r="L25" i="19"/>
  <c r="K25" i="19"/>
  <c r="B25" i="19"/>
  <c r="G25" i="19"/>
  <c r="F25" i="19"/>
  <c r="D25" i="19"/>
  <c r="C25" i="19"/>
  <c r="L24" i="19"/>
  <c r="K24" i="19"/>
  <c r="B24" i="19"/>
  <c r="G24" i="19"/>
  <c r="F24" i="19"/>
  <c r="D24" i="19"/>
  <c r="C24" i="19"/>
  <c r="L23" i="19"/>
  <c r="K23" i="19"/>
  <c r="B23" i="19"/>
  <c r="G23" i="19"/>
  <c r="F23" i="19"/>
  <c r="D23" i="19"/>
  <c r="C23" i="19"/>
  <c r="L22" i="19"/>
  <c r="K22" i="19"/>
  <c r="B22" i="19"/>
  <c r="G22" i="19"/>
  <c r="F22" i="19"/>
  <c r="D22" i="19"/>
  <c r="C22" i="19"/>
  <c r="L21" i="19"/>
  <c r="K21" i="19"/>
  <c r="B21" i="19"/>
  <c r="G21" i="19"/>
  <c r="F21" i="19"/>
  <c r="D21" i="19"/>
  <c r="C21" i="19"/>
  <c r="L20" i="19"/>
  <c r="K20" i="19"/>
  <c r="B20" i="19"/>
  <c r="G20" i="19"/>
  <c r="F20" i="19"/>
  <c r="D20" i="19"/>
  <c r="C20" i="19"/>
  <c r="L19" i="19"/>
  <c r="K19" i="19"/>
  <c r="B19" i="19"/>
  <c r="G19" i="19"/>
  <c r="F19" i="19"/>
  <c r="D19" i="19"/>
  <c r="C19" i="19"/>
  <c r="L18" i="19"/>
  <c r="K18" i="19"/>
  <c r="B18" i="19"/>
  <c r="G18" i="19"/>
  <c r="F18" i="19"/>
  <c r="D18" i="19"/>
  <c r="C18" i="19"/>
  <c r="L17" i="19"/>
  <c r="K17" i="19"/>
  <c r="B17" i="19"/>
  <c r="G17" i="19"/>
  <c r="F17" i="19"/>
  <c r="D17" i="19"/>
  <c r="C17" i="19"/>
  <c r="L16" i="19"/>
  <c r="K16" i="19"/>
  <c r="B16" i="19"/>
  <c r="G16" i="19"/>
  <c r="F16" i="19"/>
  <c r="D16" i="19"/>
  <c r="C16" i="19"/>
  <c r="L15" i="19"/>
  <c r="K15" i="19"/>
  <c r="B15" i="19"/>
  <c r="G15" i="19"/>
  <c r="F15" i="19"/>
  <c r="D15" i="19"/>
  <c r="C15" i="19"/>
  <c r="H5" i="2"/>
  <c r="E5" i="2"/>
  <c r="D5" i="2"/>
  <c r="B5" i="2"/>
  <c r="H4" i="2"/>
  <c r="E4" i="2"/>
  <c r="D4" i="2"/>
  <c r="B4" i="2"/>
  <c r="H3" i="2"/>
  <c r="E3" i="2"/>
  <c r="D3" i="2"/>
  <c r="B3" i="2"/>
  <c r="H2" i="2"/>
  <c r="E2" i="2"/>
  <c r="D2" i="2"/>
  <c r="B2" i="2"/>
  <c r="O162" i="9"/>
  <c r="N162" i="9"/>
  <c r="M162" i="9"/>
  <c r="L162" i="9"/>
  <c r="K162" i="9"/>
  <c r="J162" i="9"/>
  <c r="I162" i="9"/>
  <c r="H162" i="9"/>
  <c r="G162" i="9"/>
  <c r="E162" i="9"/>
  <c r="D162" i="9"/>
  <c r="A162" i="9"/>
  <c r="O161" i="9"/>
  <c r="N161" i="9"/>
  <c r="M161" i="9"/>
  <c r="L161" i="9"/>
  <c r="K161" i="9"/>
  <c r="J161" i="9"/>
  <c r="I161" i="9"/>
  <c r="H161" i="9"/>
  <c r="G161" i="9"/>
  <c r="E161" i="9"/>
  <c r="D161" i="9"/>
  <c r="A161" i="9"/>
  <c r="O160" i="9"/>
  <c r="N160" i="9"/>
  <c r="M160" i="9"/>
  <c r="L160" i="9"/>
  <c r="K160" i="9"/>
  <c r="J160" i="9"/>
  <c r="I160" i="9"/>
  <c r="H160" i="9"/>
  <c r="G160" i="9"/>
  <c r="E160" i="9"/>
  <c r="D160" i="9"/>
  <c r="A160" i="9"/>
  <c r="O159" i="9"/>
  <c r="N159" i="9"/>
  <c r="M159" i="9"/>
  <c r="L159" i="9"/>
  <c r="K159" i="9"/>
  <c r="J159" i="9"/>
  <c r="I159" i="9"/>
  <c r="H159" i="9"/>
  <c r="G159" i="9"/>
  <c r="E159" i="9"/>
  <c r="D159" i="9"/>
  <c r="A159" i="9"/>
  <c r="O158" i="9"/>
  <c r="N158" i="9"/>
  <c r="M158" i="9"/>
  <c r="L158" i="9"/>
  <c r="K158" i="9"/>
  <c r="J158" i="9"/>
  <c r="I158" i="9"/>
  <c r="H158" i="9"/>
  <c r="G158" i="9"/>
  <c r="E158" i="9"/>
  <c r="D158" i="9"/>
  <c r="A158" i="9"/>
  <c r="O146" i="9"/>
  <c r="N146" i="9"/>
  <c r="M146" i="9"/>
  <c r="L146" i="9"/>
  <c r="K146" i="9"/>
  <c r="J146" i="9"/>
  <c r="I146" i="9"/>
  <c r="H146" i="9"/>
  <c r="G146" i="9"/>
  <c r="E146" i="9"/>
  <c r="D146" i="9"/>
  <c r="A146" i="9"/>
  <c r="O145" i="9"/>
  <c r="N145" i="9"/>
  <c r="M145" i="9"/>
  <c r="L145" i="9"/>
  <c r="K145" i="9"/>
  <c r="J145" i="9"/>
  <c r="I145" i="9"/>
  <c r="H145" i="9"/>
  <c r="G145" i="9"/>
  <c r="E145" i="9"/>
  <c r="D145" i="9"/>
  <c r="A145" i="9"/>
  <c r="O144" i="9"/>
  <c r="N144" i="9"/>
  <c r="M144" i="9"/>
  <c r="L144" i="9"/>
  <c r="K144" i="9"/>
  <c r="J144" i="9"/>
  <c r="I144" i="9"/>
  <c r="H144" i="9"/>
  <c r="G144" i="9"/>
  <c r="E144" i="9"/>
  <c r="D144" i="9"/>
  <c r="A144" i="9"/>
  <c r="O143" i="9"/>
  <c r="N143" i="9"/>
  <c r="M143" i="9"/>
  <c r="L143" i="9"/>
  <c r="K143" i="9"/>
  <c r="J143" i="9"/>
  <c r="I143" i="9"/>
  <c r="H143" i="9"/>
  <c r="G143" i="9"/>
  <c r="E143" i="9"/>
  <c r="D143" i="9"/>
  <c r="A143" i="9"/>
  <c r="O142" i="9"/>
  <c r="N142" i="9"/>
  <c r="M142" i="9"/>
  <c r="L142" i="9"/>
  <c r="K142" i="9"/>
  <c r="J142" i="9"/>
  <c r="I142" i="9"/>
  <c r="H142" i="9"/>
  <c r="G142" i="9"/>
  <c r="E142" i="9"/>
  <c r="D142" i="9"/>
  <c r="A142" i="9"/>
  <c r="O131" i="9"/>
  <c r="N131" i="9"/>
  <c r="M131" i="9"/>
  <c r="L131" i="9"/>
  <c r="K131" i="9"/>
  <c r="J131" i="9"/>
  <c r="I131" i="9"/>
  <c r="H131" i="9"/>
  <c r="G131" i="9"/>
  <c r="D131" i="9"/>
  <c r="A131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J28" i="11"/>
  <c r="O127" i="9"/>
  <c r="N127" i="9"/>
  <c r="M127" i="9"/>
  <c r="L127" i="9"/>
  <c r="K127" i="9"/>
  <c r="J127" i="9"/>
  <c r="I127" i="9"/>
  <c r="H127" i="9"/>
  <c r="G127" i="9"/>
  <c r="E127" i="9"/>
  <c r="D127" i="9"/>
  <c r="A127" i="9"/>
  <c r="J27" i="11"/>
  <c r="O126" i="9"/>
  <c r="N126" i="9"/>
  <c r="M126" i="9"/>
  <c r="L126" i="9"/>
  <c r="K126" i="9"/>
  <c r="J126" i="9"/>
  <c r="I126" i="9"/>
  <c r="H126" i="9"/>
  <c r="G126" i="9"/>
  <c r="E126" i="9"/>
  <c r="D126" i="9"/>
  <c r="A126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E109" i="9"/>
  <c r="D109" i="9"/>
  <c r="A109" i="9"/>
  <c r="O97" i="9"/>
  <c r="N97" i="9"/>
  <c r="M97" i="9"/>
  <c r="L97" i="9"/>
  <c r="K97" i="9"/>
  <c r="J97" i="9"/>
  <c r="I97" i="9"/>
  <c r="H97" i="9"/>
  <c r="G97" i="9"/>
  <c r="D97" i="9"/>
  <c r="A97" i="9"/>
  <c r="O96" i="9"/>
  <c r="N96" i="9"/>
  <c r="M96" i="9"/>
  <c r="L96" i="9"/>
  <c r="K96" i="9"/>
  <c r="J96" i="9"/>
  <c r="I96" i="9"/>
  <c r="H96" i="9"/>
  <c r="G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76" i="9"/>
  <c r="N76" i="9"/>
  <c r="M76" i="9"/>
  <c r="L76" i="9"/>
  <c r="K76" i="9"/>
  <c r="J76" i="9"/>
  <c r="I76" i="9"/>
  <c r="H76" i="9"/>
  <c r="G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J4" i="11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O59" i="9"/>
  <c r="N59" i="9"/>
  <c r="M59" i="9"/>
  <c r="L59" i="9"/>
  <c r="K59" i="9"/>
  <c r="J59" i="9"/>
  <c r="I59" i="9"/>
  <c r="H59" i="9"/>
  <c r="G59" i="9"/>
  <c r="D59" i="9"/>
  <c r="A59" i="9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57" i="9"/>
  <c r="H57" i="9"/>
  <c r="I57" i="9"/>
  <c r="J57" i="9"/>
  <c r="K57" i="9"/>
  <c r="L57" i="9"/>
  <c r="M57" i="9"/>
  <c r="N57" i="9"/>
  <c r="G58" i="9"/>
  <c r="H58" i="9"/>
  <c r="I58" i="9"/>
  <c r="J58" i="9"/>
  <c r="K58" i="9"/>
  <c r="L58" i="9"/>
  <c r="M58" i="9"/>
  <c r="N58" i="9"/>
  <c r="J3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R6" i="7"/>
  <c r="Q6" i="7"/>
  <c r="P6" i="7"/>
  <c r="O6" i="7"/>
  <c r="N6" i="7"/>
  <c r="H6" i="7"/>
  <c r="J6" i="7"/>
  <c r="I6" i="7"/>
  <c r="D6" i="7"/>
  <c r="F6" i="7"/>
  <c r="E6" i="7"/>
  <c r="A6" i="7"/>
  <c r="R5" i="7"/>
  <c r="Q5" i="7"/>
  <c r="P5" i="7"/>
  <c r="O5" i="7"/>
  <c r="N5" i="7"/>
  <c r="H5" i="7"/>
  <c r="J5" i="7"/>
  <c r="I5" i="7"/>
  <c r="D5" i="7"/>
  <c r="F5" i="7"/>
  <c r="E5" i="7"/>
  <c r="A5" i="7"/>
  <c r="R4" i="7"/>
  <c r="Q4" i="7"/>
  <c r="P4" i="7"/>
  <c r="O4" i="7"/>
  <c r="N4" i="7"/>
  <c r="H4" i="7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R2" i="7"/>
  <c r="Q2" i="7"/>
  <c r="P2" i="7"/>
  <c r="O2" i="7"/>
  <c r="N2" i="7"/>
  <c r="H2" i="7"/>
  <c r="J2" i="7"/>
  <c r="I2" i="7"/>
  <c r="D2" i="7"/>
  <c r="F2" i="7"/>
  <c r="E2" i="7"/>
  <c r="A2" i="7"/>
  <c r="AD7" i="1"/>
  <c r="AG7" i="1"/>
  <c r="AE7" i="1"/>
  <c r="AC7" i="1"/>
  <c r="E31" i="9"/>
  <c r="E26" i="9"/>
  <c r="V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E17" i="9"/>
  <c r="E16" i="9"/>
  <c r="V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E14" i="9"/>
  <c r="V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J4" i="1"/>
  <c r="I4" i="1"/>
  <c r="D4" i="1"/>
  <c r="F4" i="1"/>
  <c r="E4" i="1"/>
  <c r="A4" i="1"/>
  <c r="AB3" i="1"/>
  <c r="AD3" i="1"/>
  <c r="AG3" i="1"/>
  <c r="AE3" i="1"/>
  <c r="AC3" i="1"/>
  <c r="E8" i="9"/>
  <c r="V3" i="1"/>
  <c r="Q3" i="1"/>
  <c r="P3" i="1"/>
  <c r="O3" i="1"/>
  <c r="N3" i="1"/>
  <c r="M3" i="1"/>
  <c r="J3" i="1"/>
  <c r="I3" i="1"/>
  <c r="D3" i="1"/>
  <c r="F3" i="1"/>
  <c r="E3" i="1"/>
  <c r="A3" i="1"/>
  <c r="AB2" i="1"/>
  <c r="AD2" i="1"/>
  <c r="AG2" i="1"/>
  <c r="AE2" i="1"/>
  <c r="AC2" i="1"/>
  <c r="E2" i="9"/>
  <c r="V2" i="1"/>
  <c r="Q2" i="1"/>
  <c r="P2" i="1"/>
  <c r="O2" i="1"/>
  <c r="N2" i="1"/>
  <c r="M2" i="1"/>
  <c r="J2" i="1"/>
  <c r="I2" i="1"/>
  <c r="D2" i="1"/>
  <c r="F2" i="1"/>
  <c r="E2" i="1"/>
  <c r="A2" i="1"/>
  <c r="O58" i="9"/>
  <c r="E58" i="9"/>
  <c r="D58" i="9"/>
  <c r="A58" i="9"/>
  <c r="O57" i="9"/>
  <c r="E57" i="9"/>
  <c r="D57" i="9"/>
  <c r="A57" i="9"/>
  <c r="O56" i="9"/>
  <c r="E56" i="9"/>
  <c r="D56" i="9"/>
  <c r="A56" i="9"/>
  <c r="O55" i="9"/>
  <c r="E55" i="9"/>
  <c r="D55" i="9"/>
  <c r="A55" i="9"/>
  <c r="O54" i="9"/>
  <c r="E54" i="9"/>
  <c r="D54" i="9"/>
  <c r="A54" i="9"/>
  <c r="O53" i="9"/>
  <c r="E53" i="9"/>
  <c r="D53" i="9"/>
  <c r="A53" i="9"/>
  <c r="O52" i="9"/>
  <c r="E52" i="9"/>
  <c r="D52" i="9"/>
  <c r="A52" i="9"/>
  <c r="O51" i="9"/>
  <c r="E51" i="9"/>
  <c r="D51" i="9"/>
  <c r="A51" i="9"/>
  <c r="O50" i="9"/>
  <c r="E50" i="9"/>
  <c r="D50" i="9"/>
  <c r="A50" i="9"/>
  <c r="O49" i="9"/>
  <c r="E49" i="9"/>
  <c r="D49" i="9"/>
  <c r="A49" i="9"/>
  <c r="O48" i="9"/>
  <c r="E48" i="9"/>
  <c r="D48" i="9"/>
  <c r="A48" i="9"/>
  <c r="O47" i="9"/>
  <c r="E47" i="9"/>
  <c r="D47" i="9"/>
  <c r="A47" i="9"/>
  <c r="O46" i="9"/>
  <c r="E46" i="9"/>
  <c r="D46" i="9"/>
  <c r="A46" i="9"/>
  <c r="O45" i="9"/>
  <c r="E45" i="9"/>
  <c r="D45" i="9"/>
  <c r="A45" i="9"/>
  <c r="O44" i="9"/>
  <c r="E44" i="9"/>
  <c r="D44" i="9"/>
  <c r="A44" i="9"/>
  <c r="O43" i="9"/>
  <c r="E43" i="9"/>
  <c r="D43" i="9"/>
  <c r="A43" i="9"/>
  <c r="O42" i="9"/>
  <c r="E42" i="9"/>
  <c r="D42" i="9"/>
  <c r="A42" i="9"/>
  <c r="O38" i="9"/>
  <c r="E38" i="9"/>
  <c r="D38" i="9"/>
  <c r="A38" i="9"/>
  <c r="O37" i="9"/>
  <c r="E37" i="9"/>
  <c r="D37" i="9"/>
  <c r="A37" i="9"/>
  <c r="O36" i="9"/>
  <c r="E36" i="9"/>
  <c r="D36" i="9"/>
  <c r="A36" i="9"/>
  <c r="O35" i="9"/>
  <c r="E35" i="9"/>
  <c r="D35" i="9"/>
  <c r="A35" i="9"/>
  <c r="O41" i="9"/>
  <c r="E41" i="9"/>
  <c r="D41" i="9"/>
  <c r="A41" i="9"/>
  <c r="O40" i="9"/>
  <c r="E40" i="9"/>
  <c r="D40" i="9"/>
  <c r="A40" i="9"/>
  <c r="O39" i="9"/>
  <c r="E39" i="9"/>
  <c r="D39" i="9"/>
  <c r="A39" i="9"/>
  <c r="O32" i="9"/>
  <c r="E32" i="9"/>
  <c r="D32" i="9"/>
  <c r="A32" i="9"/>
  <c r="O31" i="9"/>
  <c r="D31" i="9"/>
  <c r="A31" i="9"/>
  <c r="O30" i="9"/>
  <c r="E30" i="9"/>
  <c r="D30" i="9"/>
  <c r="A30" i="9"/>
  <c r="O29" i="9"/>
  <c r="E29" i="9"/>
  <c r="D29" i="9"/>
  <c r="A29" i="9"/>
  <c r="O28" i="9"/>
  <c r="E28" i="9"/>
  <c r="D28" i="9"/>
  <c r="A28" i="9"/>
  <c r="O27" i="9"/>
  <c r="E27" i="9"/>
  <c r="D27" i="9"/>
  <c r="A27" i="9"/>
  <c r="O24" i="9"/>
  <c r="E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20" i="9"/>
  <c r="E20" i="9"/>
  <c r="D20" i="9"/>
  <c r="A20" i="9"/>
  <c r="O19" i="9"/>
  <c r="E19" i="9"/>
  <c r="D19" i="9"/>
  <c r="A19" i="9"/>
  <c r="O18" i="9"/>
  <c r="E18" i="9"/>
  <c r="D18" i="9"/>
  <c r="A18" i="9"/>
  <c r="O16" i="9"/>
  <c r="D16" i="9"/>
  <c r="A16" i="9"/>
  <c r="O15" i="9"/>
  <c r="E15" i="9"/>
  <c r="D15" i="9"/>
  <c r="A15" i="9"/>
  <c r="O14" i="9"/>
  <c r="D14" i="9"/>
  <c r="A14" i="9"/>
  <c r="O13" i="9"/>
  <c r="E13" i="9"/>
  <c r="D13" i="9"/>
  <c r="A13" i="9"/>
  <c r="O12" i="9"/>
  <c r="E12" i="9"/>
  <c r="D12" i="9"/>
  <c r="A12" i="9"/>
  <c r="O11" i="9"/>
  <c r="E11" i="9"/>
  <c r="D11" i="9"/>
  <c r="A11" i="9"/>
  <c r="O10" i="9"/>
  <c r="E10" i="9"/>
  <c r="D10" i="9"/>
  <c r="A10" i="9"/>
  <c r="O9" i="9"/>
  <c r="E9" i="9"/>
  <c r="D9" i="9"/>
  <c r="A9" i="9"/>
  <c r="O8" i="9"/>
  <c r="D8" i="9"/>
  <c r="A8" i="9"/>
  <c r="O7" i="9"/>
  <c r="E7" i="9"/>
  <c r="D7" i="9"/>
  <c r="A7" i="9"/>
  <c r="O6" i="9"/>
  <c r="E6" i="9"/>
  <c r="D6" i="9"/>
  <c r="A6" i="9"/>
  <c r="O5" i="9"/>
  <c r="E5" i="9"/>
  <c r="D5" i="9"/>
  <c r="A5" i="9"/>
  <c r="O4" i="9"/>
  <c r="E4" i="9"/>
  <c r="D4" i="9"/>
  <c r="A4" i="9"/>
  <c r="O3" i="9"/>
  <c r="E3" i="9"/>
  <c r="D3" i="9"/>
  <c r="A3" i="9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O34" i="9"/>
  <c r="E34" i="9"/>
  <c r="D34" i="9"/>
  <c r="A34" i="9"/>
  <c r="O33" i="9"/>
  <c r="E33" i="9"/>
  <c r="D33" i="9"/>
  <c r="A33" i="9"/>
  <c r="O26" i="9"/>
  <c r="D26" i="9"/>
  <c r="A26" i="9"/>
  <c r="O25" i="9"/>
  <c r="E25" i="9"/>
  <c r="D25" i="9"/>
  <c r="A25" i="9"/>
  <c r="O17" i="9"/>
  <c r="D17" i="9"/>
  <c r="A17" i="9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R16" i="7"/>
  <c r="Q16" i="7"/>
  <c r="P16" i="7"/>
  <c r="O16" i="7"/>
  <c r="N16" i="7"/>
  <c r="H16" i="7"/>
  <c r="J16" i="7"/>
  <c r="I16" i="7"/>
  <c r="D16" i="7"/>
  <c r="F16" i="7"/>
  <c r="E16" i="7"/>
  <c r="A16" i="7"/>
  <c r="R13" i="7"/>
  <c r="Q13" i="7"/>
  <c r="P13" i="7"/>
  <c r="O13" i="7"/>
  <c r="N13" i="7"/>
  <c r="H13" i="7"/>
  <c r="J13" i="7"/>
  <c r="I13" i="7"/>
  <c r="D13" i="7"/>
  <c r="F13" i="7"/>
  <c r="E13" i="7"/>
  <c r="A13" i="7"/>
  <c r="R15" i="7"/>
  <c r="Q15" i="7"/>
  <c r="P15" i="7"/>
  <c r="O15" i="7"/>
  <c r="N15" i="7"/>
  <c r="H15" i="7"/>
  <c r="J15" i="7"/>
  <c r="I15" i="7"/>
  <c r="D15" i="7"/>
  <c r="F15" i="7"/>
  <c r="E15" i="7"/>
  <c r="A15" i="7"/>
  <c r="R14" i="7"/>
  <c r="Q14" i="7"/>
  <c r="P14" i="7"/>
  <c r="O14" i="7"/>
  <c r="N14" i="7"/>
  <c r="H14" i="7"/>
  <c r="J14" i="7"/>
  <c r="I14" i="7"/>
  <c r="D14" i="7"/>
  <c r="F14" i="7"/>
  <c r="E14" i="7"/>
  <c r="A14" i="7"/>
  <c r="R12" i="7"/>
  <c r="Q12" i="7"/>
  <c r="P12" i="7"/>
  <c r="O12" i="7"/>
  <c r="N12" i="7"/>
  <c r="H12" i="7"/>
  <c r="J12" i="7"/>
  <c r="I12" i="7"/>
  <c r="D12" i="7"/>
  <c r="F12" i="7"/>
  <c r="E12" i="7"/>
  <c r="A12" i="7"/>
  <c r="AD19" i="1"/>
  <c r="AG19" i="1"/>
  <c r="AE19" i="1"/>
  <c r="AC19" i="1"/>
  <c r="V19" i="1"/>
  <c r="Q19" i="1"/>
  <c r="P19" i="1"/>
  <c r="O19" i="1"/>
  <c r="N19" i="1"/>
  <c r="M19" i="1"/>
  <c r="J19" i="1"/>
  <c r="I19" i="1"/>
  <c r="D19" i="1"/>
  <c r="F19" i="1"/>
  <c r="E19" i="1"/>
  <c r="A19" i="1"/>
  <c r="AB18" i="1"/>
  <c r="AD18" i="1"/>
  <c r="AG18" i="1"/>
  <c r="AE18" i="1"/>
  <c r="AC18" i="1"/>
  <c r="V18" i="1"/>
  <c r="Q18" i="1"/>
  <c r="P18" i="1"/>
  <c r="O18" i="1"/>
  <c r="N18" i="1"/>
  <c r="M18" i="1"/>
  <c r="J18" i="1"/>
  <c r="I18" i="1"/>
  <c r="D18" i="1"/>
  <c r="F18" i="1"/>
  <c r="E18" i="1"/>
  <c r="A18" i="1"/>
  <c r="AB17" i="1"/>
  <c r="AD17" i="1"/>
  <c r="AG17" i="1"/>
  <c r="AE17" i="1"/>
  <c r="AC17" i="1"/>
  <c r="V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V16" i="1"/>
  <c r="Q16" i="1"/>
  <c r="P16" i="1"/>
  <c r="O16" i="1"/>
  <c r="N16" i="1"/>
  <c r="M16" i="1"/>
  <c r="J16" i="1"/>
  <c r="I16" i="1"/>
  <c r="D16" i="1"/>
  <c r="F16" i="1"/>
  <c r="E16" i="1"/>
  <c r="A16" i="1"/>
  <c r="V14" i="1"/>
  <c r="H13" i="2"/>
  <c r="E13" i="2"/>
  <c r="D13" i="2"/>
  <c r="B13" i="2"/>
  <c r="H12" i="2"/>
  <c r="E12" i="2"/>
  <c r="D12" i="2"/>
  <c r="B12" i="2"/>
  <c r="H11" i="2"/>
  <c r="E11" i="2"/>
  <c r="D11" i="2"/>
  <c r="B11" i="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C12" i="16"/>
  <c r="B16" i="21"/>
  <c r="I16" i="21"/>
  <c r="J16" i="21"/>
  <c r="G16" i="21"/>
  <c r="F16" i="21"/>
  <c r="D16" i="21"/>
  <c r="C16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AB15" i="1"/>
  <c r="AE15" i="1"/>
  <c r="AD15" i="1"/>
  <c r="AC15" i="1"/>
  <c r="AB14" i="1"/>
  <c r="AE14" i="1"/>
  <c r="AD14" i="1"/>
  <c r="AC14" i="1"/>
  <c r="V15" i="1"/>
  <c r="Q15" i="1"/>
  <c r="P15" i="1"/>
  <c r="O15" i="1"/>
  <c r="N15" i="1"/>
  <c r="M15" i="1"/>
  <c r="Q14" i="1"/>
  <c r="P14" i="1"/>
  <c r="O14" i="1"/>
  <c r="N14" i="1"/>
  <c r="M14" i="1"/>
  <c r="AG14" i="1"/>
  <c r="E8" i="16"/>
  <c r="E7" i="16"/>
  <c r="E6" i="16"/>
  <c r="E5" i="16"/>
  <c r="E4" i="16"/>
  <c r="E3" i="16"/>
  <c r="E2" i="16"/>
  <c r="A15" i="1"/>
  <c r="A14" i="1"/>
  <c r="AG15" i="1"/>
  <c r="A2" i="9"/>
  <c r="J15" i="1"/>
  <c r="I15" i="1"/>
  <c r="D15" i="1"/>
  <c r="F15" i="1"/>
  <c r="E15" i="1"/>
  <c r="J14" i="1"/>
  <c r="I14" i="1"/>
  <c r="D10" i="2"/>
  <c r="E10" i="2"/>
  <c r="H10" i="2"/>
  <c r="D14" i="1"/>
  <c r="E14" i="1"/>
  <c r="F14" i="1"/>
  <c r="B10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<sst xmlns="http://schemas.openxmlformats.org/spreadsheetml/2006/main" count="1866" uniqueCount="517">
  <si>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</si>
  <si>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</si>
  <si>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</si>
  <si>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</si>
  <si>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</si>
  <si>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</si>
  <si>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</si>
  <si>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</si>
  <si>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</si>
  <si>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</si>
  <si>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</si>
  <si>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</si>
  <si>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</si>
  <si>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</si>
  <si>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</si>
  <si>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</si>
  <si>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</si>
  <si>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</si>
  <si>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</si>
  <si>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</si>
  <si>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</si>
  <si>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</si>
  <si>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</si>
  <si>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</si>
  <si>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</si>
  <si>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</si>
  <si>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</si>
  <si>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</si>
  <si>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</si>
  <si>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</si>
  <si>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</si>
  <si>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</si>
  <si>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</si>
  <si>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</si>
  <si>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</si>
  <si>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</si>
  <si>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</si>
  <si>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</si>
  <si>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</si>
  <si>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</si>
  <si>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</si>
  <si>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</si>
  <si>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</si>
  <si>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</si>
  <si>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</si>
  <si>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</si>
  <si>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</si>
  <si>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</si>
  <si>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</si>
  <si>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</si>
  <si>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</si>
  <si>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</si>
  <si>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</si>
  <si>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</si>
  <si>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</si>
  <si>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</si>
  <si>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</si>
  <si>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</si>
  <si>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</si>
  <si>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</si>
  <si>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</si>
  <si>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</si>
  <si>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</si>
  <si>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</si>
  <si>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</si>
  <si>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</si>
  <si>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</si>
  <si>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</si>
  <si>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</si>
  <si>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</si>
  <si>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</si>
  <si>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</si>
  <si>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</si>
  <si>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</si>
  <si>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</si>
  <si>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</si>
  <si>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</si>
  <si>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</si>
  <si>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</si>
  <si>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</si>
  <si>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</si>
  <si>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</si>
  <si>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</si>
  <si>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</si>
  <si>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</si>
  <si>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</si>
  <si>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</si>
  <si>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</si>
  <si>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</si>
  <si>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</si>
  <si>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</si>
  <si>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</si>
  <si>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</si>
  <si>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</si>
  <si>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</si>
  <si>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</si>
  <si>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</si>
  <si>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</si>
  <si>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</si>
  <si>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</si>
  <si>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</si>
  <si>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</si>
  <si>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</si>
  <si>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</si>
  <si>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</si>
  <si>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</si>
  <si>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</si>
  <si>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</si>
  <si>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</si>
  <si>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</si>
  <si>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</si>
  <si>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</si>
  <si>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</si>
  <si>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</si>
  <si>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</si>
  <si>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</si>
  <si>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</si>
  <si>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</si>
  <si>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</si>
  <si>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</si>
  <si>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</si>
  <si>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</si>
  <si>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</si>
  <si>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</si>
  <si>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</si>
  <si>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</si>
  <si>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</si>
  <si>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</si>
  <si>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</si>
  <si>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</si>
  <si>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</si>
  <si>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</si>
  <si>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</si>
  <si>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</si>
  <si>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</si>
  <si>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</si>
  <si>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</si>
  <si>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</si>
  <si>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</si>
  <si>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</si>
  <si>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</si>
  <si>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</si>
  <si>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</si>
  <si>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</si>
  <si>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</si>
  <si>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</si>
  <si>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</si>
  <si>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</si>
  <si>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</si>
  <si>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</si>
  <si>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</si>
  <si>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</si>
  <si>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</si>
  <si>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</si>
  <si>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</si>
  <si>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</si>
  <si>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</si>
  <si>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</si>
  <si>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</si>
  <si>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</si>
  <si>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</si>
  <si>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</si>
  <si>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</si>
  <si>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</si>
  <si>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</si>
  <si>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</si>
  <si>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</si>
  <si>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</si>
  <si>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</si>
  <si>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</si>
  <si>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</si>
  <si>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</si>
  <si>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</si>
  <si>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</si>
  <si>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</si>
  <si>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</si>
  <si>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</si>
  <si>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</si>
  <si>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</si>
  <si>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</si>
  <si>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</si>
  <si>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</si>
  <si>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</si>
  <si>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</si>
  <si>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</si>
  <si>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</si>
  <si>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</si>
  <si>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</si>
  <si>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</si>
  <si>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</si>
  <si>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</si>
  <si>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</si>
  <si>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</si>
  <si>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</si>
  <si>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</si>
  <si>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</si>
  <si>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</si>
  <si>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</si>
  <si>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</si>
  <si>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</si>
  <si>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</si>
  <si>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</si>
  <si>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</si>
  <si>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</si>
  <si>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</si>
  <si>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</si>
  <si>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</si>
  <si>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</si>
  <si>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</si>
  <si>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</si>
  <si>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</si>
  <si>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</si>
  <si>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</si>
  <si>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</si>
  <si>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null</t>
    <phoneticPr fontId="5"/>
  </si>
  <si>
    <t>link</t>
    <phoneticPr fontId="5"/>
  </si>
  <si>
    <t>unit</t>
    <phoneticPr fontId="5"/>
  </si>
  <si>
    <t>null</t>
    <phoneticPr fontId="5"/>
  </si>
  <si>
    <t>アーサー1ゲージ目</t>
    <rPh sb="8" eb="9">
      <t>メ</t>
    </rPh>
    <phoneticPr fontId="5"/>
  </si>
  <si>
    <t>アーサー2ゲージ目</t>
    <rPh sb="8" eb="9">
      <t>メ</t>
    </rPh>
    <phoneticPr fontId="5"/>
  </si>
  <si>
    <t>アーサー3ゲージ目</t>
    <rPh sb="8" eb="9">
      <t>メ</t>
    </rPh>
    <phoneticPr fontId="5"/>
  </si>
  <si>
    <t>パーシ2ゲージ目</t>
    <rPh sb="7" eb="8">
      <t>メ</t>
    </rPh>
    <phoneticPr fontId="5"/>
  </si>
  <si>
    <t>パーシ1ゲージ目</t>
    <rPh sb="7" eb="8">
      <t>メ</t>
    </rPh>
    <phoneticPr fontId="5"/>
  </si>
  <si>
    <t>トト攻撃頻度4</t>
    <rPh sb="2" eb="6">
      <t>コウゲキヒンド</t>
    </rPh>
    <phoneticPr fontId="5"/>
  </si>
  <si>
    <t>トト攻撃頻度2</t>
    <rPh sb="2" eb="6">
      <t>コウゲキヒンド</t>
    </rPh>
    <phoneticPr fontId="5"/>
  </si>
  <si>
    <t>ガウェイン</t>
    <phoneticPr fontId="5"/>
  </si>
  <si>
    <t>[effect:rush, count:3, val:0.4]</t>
    <phoneticPr fontId="5"/>
  </si>
  <si>
    <t>ja</t>
    <phoneticPr fontId="5"/>
  </si>
  <si>
    <t>トリニティバレット</t>
    <phoneticPr fontId="5"/>
  </si>
  <si>
    <t>3回連続攻撃</t>
    <phoneticPr fontId="5"/>
  </si>
  <si>
    <t>LB藤井</t>
    <rPh sb="2" eb="4">
      <t>フジイ</t>
    </rPh>
    <phoneticPr fontId="5"/>
  </si>
  <si>
    <t>[effect:damage_anti_color, target:unit_all, color:blue, val1:0.25, val2:0.75]</t>
    <phoneticPr fontId="5"/>
  </si>
  <si>
    <t>フェイタルスプレッド</t>
    <phoneticPr fontId="5"/>
  </si>
  <si>
    <t>青属性以外のユニットに大ダメージ</t>
    <rPh sb="0" eb="1">
      <t>アオ</t>
    </rPh>
    <rPh sb="1" eb="3">
      <t>ゾクセイ</t>
    </rPh>
    <rPh sb="3" eb="5">
      <t>イガイ</t>
    </rPh>
    <rPh sb="11" eb="12">
      <t>ダイ</t>
    </rPh>
    <phoneticPr fontId="5"/>
  </si>
  <si>
    <t>[effect:freq_turn, target:myself, turn:-1, val:1, animation:enemy_freq_turn]</t>
    <phoneticPr fontId="5"/>
  </si>
  <si>
    <t>確かに彼は歪んでしまった</t>
    <rPh sb="0" eb="1">
      <t>タシ</t>
    </rPh>
    <rPh sb="3" eb="4">
      <t>カレ</t>
    </rPh>
    <rPh sb="5" eb="6">
      <t>ユガ</t>
    </rPh>
    <phoneticPr fontId="5"/>
  </si>
  <si>
    <t>それでも今のALICEには、彼が必要なのだよ</t>
    <rPh sb="4" eb="5">
      <t>イマ</t>
    </rPh>
    <rPh sb="14" eb="15">
      <t>カレ</t>
    </rPh>
    <rPh sb="16" eb="18">
      <t>ヒツヨウ</t>
    </rPh>
    <phoneticPr fontId="5"/>
  </si>
  <si>
    <t>この手は使いたくなかったが…</t>
    <rPh sb="2" eb="3">
      <t>テ</t>
    </rPh>
    <rPh sb="4" eb="5">
      <t>ツカ</t>
    </rPh>
    <phoneticPr fontId="5"/>
  </si>
  <si>
    <t>いかせてもらおうか！</t>
    <phoneticPr fontId="5"/>
  </si>
  <si>
    <t>銃弾の嵐が戦場を埋め尽くす！</t>
    <rPh sb="0" eb="2">
      <t>ジュウダン</t>
    </rPh>
    <rPh sb="3" eb="4">
      <t>アラシ</t>
    </rPh>
    <rPh sb="5" eb="7">
      <t>センジョウ</t>
    </rPh>
    <rPh sb="8" eb="9">
      <t>ウ</t>
    </rPh>
    <rPh sb="10" eb="11">
      <t>ツ</t>
    </rPh>
    <phoneticPr fontId="5"/>
  </si>
  <si>
    <t>[effect:break_attack, val:0.07, lowest_val:1, count:8, block:block_heart, target:unit_all]</t>
    <phoneticPr fontId="5"/>
  </si>
  <si>
    <t>カーペットボミング</t>
    <phoneticPr fontId="5"/>
  </si>
  <si>
    <t>[effect:freq_turn, target:myself, turn:1, val:1, animation:enemy_freq_turn],[effect:rush, count:1, val:1.0]</t>
    <phoneticPr fontId="5"/>
  </si>
  <si>
    <t>アクセルカノン</t>
    <phoneticPr fontId="5"/>
  </si>
  <si>
    <t>次の攻撃頻度が1にUP＋攻撃</t>
    <rPh sb="0" eb="1">
      <t>ツギ</t>
    </rPh>
    <rPh sb="2" eb="6">
      <t>コウゲキヒンド</t>
    </rPh>
    <rPh sb="12" eb="14">
      <t>コウゲキ</t>
    </rPh>
    <phoneticPr fontId="5"/>
  </si>
  <si>
    <t>[effect:degrade_unit, target:unit_all, turn:3, status:action, val:1.0,animation:enemy_tap_down],[effect:spread, val:0.25]</t>
    <phoneticPr fontId="5"/>
  </si>
  <si>
    <t>ウェポンクラッシュ</t>
    <phoneticPr fontId="5"/>
  </si>
  <si>
    <t>3ターンタップ回数を1減少＋全体攻撃</t>
    <rPh sb="7" eb="9">
      <t>カイスウ</t>
    </rPh>
    <rPh sb="11" eb="13">
      <t>ゲンショウ</t>
    </rPh>
    <rPh sb="14" eb="16">
      <t>ゼンタイ</t>
    </rPh>
    <rPh sb="16" eb="18">
      <t>コウゲキ</t>
    </rPh>
    <phoneticPr fontId="5"/>
  </si>
  <si>
    <t>[effect:spread, val:0.4]</t>
    <phoneticPr fontId="5"/>
  </si>
  <si>
    <t>弱い者いじめはダメ…</t>
    <rPh sb="0" eb="1">
      <t>ヨワ</t>
    </rPh>
    <rPh sb="2" eb="3">
      <t>モノ</t>
    </rPh>
    <phoneticPr fontId="5"/>
  </si>
  <si>
    <t>全体攻撃</t>
    <rPh sb="0" eb="4">
      <t>ゼンタイコウゲキ</t>
    </rPh>
    <phoneticPr fontId="5"/>
  </si>
  <si>
    <t>[effect:spread, val:0.6]</t>
    <phoneticPr fontId="5"/>
  </si>
  <si>
    <t>もう…許さないよ…！</t>
    <rPh sb="3" eb="4">
      <t>ユル</t>
    </rPh>
    <phoneticPr fontId="5"/>
  </si>
  <si>
    <t>強力な全体攻撃</t>
    <rPh sb="0" eb="2">
      <t>キョウリョク</t>
    </rPh>
    <rPh sb="3" eb="5">
      <t>ゼンタイ</t>
    </rPh>
    <rPh sb="5" eb="7">
      <t>コウゲキ</t>
    </rPh>
    <phoneticPr fontId="5"/>
  </si>
  <si>
    <t>[effect:charge, status:attack, val:3.0]</t>
    <phoneticPr fontId="5"/>
  </si>
  <si>
    <t>砲弾装填！</t>
    <rPh sb="0" eb="2">
      <t>ホウダン</t>
    </rPh>
    <rPh sb="2" eb="4">
      <t>ソウテン</t>
    </rPh>
    <phoneticPr fontId="5"/>
  </si>
  <si>
    <t>次のターン強力な攻撃</t>
    <phoneticPr fontId="5"/>
  </si>
  <si>
    <t>[effect:rush, count:1, val:1.3]</t>
    <phoneticPr fontId="5"/>
  </si>
  <si>
    <t>ja</t>
    <phoneticPr fontId="5"/>
  </si>
  <si>
    <t>外敵排除！</t>
    <rPh sb="0" eb="2">
      <t>ガイテキ</t>
    </rPh>
    <rPh sb="2" eb="4">
      <t>ハイジョ</t>
    </rPh>
    <phoneticPr fontId="5"/>
  </si>
  <si>
    <t>[effect:critical, val:1.5]</t>
    <phoneticPr fontId="5"/>
  </si>
  <si>
    <t>ja</t>
    <phoneticPr fontId="5"/>
  </si>
  <si>
    <t>バーストショット</t>
    <phoneticPr fontId="5"/>
  </si>
  <si>
    <t>[effect:sleep, target:unit_one, turn:3, rate:1, animation:sleep01]</t>
    <phoneticPr fontId="5"/>
  </si>
  <si>
    <t>ステイシス</t>
    <phoneticPr fontId="5"/>
  </si>
  <si>
    <t>ユニット1体に3ターンスリープ</t>
    <phoneticPr fontId="5"/>
  </si>
  <si>
    <t>[effect:dis_panel, target:block_red, turn:5, animation:enemy_dis_red],[effect:rush, count:1, val:1.0]</t>
    <phoneticPr fontId="5"/>
  </si>
  <si>
    <t>ja</t>
    <phoneticPr fontId="5"/>
  </si>
  <si>
    <t>紅を穿つ閃光</t>
    <rPh sb="0" eb="1">
      <t>クレナイ</t>
    </rPh>
    <rPh sb="2" eb="3">
      <t>ウガ</t>
    </rPh>
    <rPh sb="4" eb="5">
      <t>センコウ</t>
    </rPh>
    <rPh sb="5" eb="6">
      <t>ヒカリ</t>
    </rPh>
    <phoneticPr fontId="5"/>
  </si>
  <si>
    <t>5ターン赤パネルが使えない！＋攻撃</t>
    <rPh sb="4" eb="5">
      <t>アカ</t>
    </rPh>
    <rPh sb="9" eb="10">
      <t>ツカ</t>
    </rPh>
    <rPh sb="15" eb="17">
      <t>コウゲキ</t>
    </rPh>
    <phoneticPr fontId="5"/>
  </si>
  <si>
    <t>[effect:dis_panel, target:block_yellow, turn:5, animation:enemy_dis_yellow],[effect:rush, count:1, val:1.0]</t>
    <phoneticPr fontId="5"/>
  </si>
  <si>
    <t>琥を穿つ衝撃</t>
    <rPh sb="0" eb="1">
      <t>コハク</t>
    </rPh>
    <rPh sb="2" eb="3">
      <t>ウガ</t>
    </rPh>
    <rPh sb="4" eb="6">
      <t>ショウゲキ</t>
    </rPh>
    <phoneticPr fontId="5"/>
  </si>
  <si>
    <t>5ターン黄パネルが使えない！＋攻撃</t>
    <rPh sb="4" eb="5">
      <t>キイロ</t>
    </rPh>
    <rPh sb="9" eb="10">
      <t>ツカ</t>
    </rPh>
    <rPh sb="15" eb="17">
      <t>コウゲキ</t>
    </rPh>
    <phoneticPr fontId="5"/>
  </si>
  <si>
    <t>[effect:dis_panel, target:block_green, turn:5, animation:enemy_dis_green],[effect:rush, count:1, val:1.0]</t>
    <phoneticPr fontId="5"/>
  </si>
  <si>
    <t>翠を穿つ波動</t>
    <rPh sb="0" eb="1">
      <t>ヒスイ</t>
    </rPh>
    <rPh sb="2" eb="3">
      <t>ウガ</t>
    </rPh>
    <rPh sb="4" eb="6">
      <t>ハドウ</t>
    </rPh>
    <phoneticPr fontId="5"/>
  </si>
  <si>
    <t>5ターン緑パネルが使えない！＋攻撃</t>
    <rPh sb="4" eb="5">
      <t>ミドリ</t>
    </rPh>
    <rPh sb="9" eb="10">
      <t>ツカ</t>
    </rPh>
    <rPh sb="15" eb="17">
      <t>コウゲキ</t>
    </rPh>
    <phoneticPr fontId="5"/>
  </si>
  <si>
    <t>調子に乗らないで…！</t>
    <rPh sb="0" eb="2">
      <t>チョウシ</t>
    </rPh>
    <rPh sb="3" eb="4">
      <t>ノ</t>
    </rPh>
    <phoneticPr fontId="5"/>
  </si>
  <si>
    <t>フィーバーゲージを0にする</t>
    <phoneticPr fontId="5"/>
  </si>
  <si>
    <t>[effect:rush, count:6, val:0.25]</t>
    <phoneticPr fontId="5"/>
  </si>
  <si>
    <t>ja</t>
    <phoneticPr fontId="5"/>
  </si>
  <si>
    <t>ガトリングショット</t>
    <phoneticPr fontId="5"/>
  </si>
  <si>
    <t>6回連続攻撃</t>
    <rPh sb="1" eb="2">
      <t>カイ</t>
    </rPh>
    <rPh sb="2" eb="4">
      <t>レンゾク</t>
    </rPh>
    <rPh sb="4" eb="6">
      <t>タンタイコウゲキ</t>
    </rPh>
    <phoneticPr fontId="5"/>
  </si>
  <si>
    <t>[effect:spread, val:0.3],[effect:heal, target:enemy_one, val:0.1, animation:enemy_heal]</t>
    <phoneticPr fontId="5"/>
  </si>
  <si>
    <t>ライフスティール</t>
    <phoneticPr fontId="5"/>
  </si>
  <si>
    <t>全体攻撃＋小回復</t>
    <rPh sb="0" eb="2">
      <t>ゼンタイ</t>
    </rPh>
    <rPh sb="2" eb="4">
      <t>コウゲキ</t>
    </rPh>
    <rPh sb="5" eb="8">
      <t>ショウカイフク</t>
    </rPh>
    <phoneticPr fontId="5"/>
  </si>
  <si>
    <t>ja</t>
    <phoneticPr fontId="5"/>
  </si>
  <si>
    <t>コールドロック</t>
    <phoneticPr fontId="5"/>
  </si>
  <si>
    <t>[effect:break_attack_fix, val:1250, lowest_val:666, count:-1, block:jammer, target:unit_one]</t>
    <phoneticPr fontId="5"/>
  </si>
  <si>
    <t>引導を渡してあげる！</t>
    <rPh sb="0" eb="2">
      <t>インドウ</t>
    </rPh>
    <rPh sb="3" eb="4">
      <t>ワタ</t>
    </rPh>
    <phoneticPr fontId="5"/>
  </si>
  <si>
    <t>[effect:tolerance, target:myself, turn:-1, tolerance_effect:hungup, count:-1, animation:enemy_tolerance]</t>
    <phoneticPr fontId="5"/>
  </si>
  <si>
    <t>みんな、下がってくれ！</t>
    <rPh sb="4" eb="5">
      <t>サ</t>
    </rPh>
    <phoneticPr fontId="5"/>
  </si>
  <si>
    <t>ここは俺が前に出る！</t>
    <rPh sb="3" eb="4">
      <t>オレ</t>
    </rPh>
    <rPh sb="5" eb="6">
      <t>マエ</t>
    </rPh>
    <rPh sb="7" eb="8">
      <t>デ</t>
    </rPh>
    <phoneticPr fontId="5"/>
  </si>
  <si>
    <t>[effect:rush, count:3, val:0.36]</t>
    <phoneticPr fontId="5"/>
  </si>
  <si>
    <t>エクスシュレッドIII</t>
    <phoneticPr fontId="5"/>
  </si>
  <si>
    <t>3回連続攻撃</t>
    <rPh sb="1" eb="2">
      <t>カイ</t>
    </rPh>
    <rPh sb="2" eb="4">
      <t>レンゾク</t>
    </rPh>
    <rPh sb="4" eb="6">
      <t>コウゲキ</t>
    </rPh>
    <phoneticPr fontId="5"/>
  </si>
  <si>
    <t>[effect:rush, count:4, val:0.34]</t>
    <phoneticPr fontId="5"/>
  </si>
  <si>
    <t>エクスシュレッドIV</t>
    <phoneticPr fontId="5"/>
  </si>
  <si>
    <t>4回連続攻撃</t>
    <rPh sb="1" eb="2">
      <t>カイ</t>
    </rPh>
    <rPh sb="2" eb="4">
      <t>レンゾク</t>
    </rPh>
    <rPh sb="4" eb="6">
      <t>コウゲキ</t>
    </rPh>
    <phoneticPr fontId="5"/>
  </si>
  <si>
    <t>[effect:rush, count:5, val:0.32]</t>
    <phoneticPr fontId="5"/>
  </si>
  <si>
    <t>ja</t>
    <phoneticPr fontId="5"/>
  </si>
  <si>
    <t>エクスシュレッドV</t>
    <phoneticPr fontId="5"/>
  </si>
  <si>
    <t>5回連続攻撃</t>
    <rPh sb="1" eb="2">
      <t>カイ</t>
    </rPh>
    <rPh sb="2" eb="4">
      <t>レンゾク</t>
    </rPh>
    <rPh sb="4" eb="6">
      <t>コウゲキ</t>
    </rPh>
    <phoneticPr fontId="5"/>
  </si>
  <si>
    <t>[effect:rush, count:6, val:0.3]</t>
    <phoneticPr fontId="5"/>
  </si>
  <si>
    <t>ja</t>
    <phoneticPr fontId="5"/>
  </si>
  <si>
    <t>エクスシュレッドVI</t>
    <phoneticPr fontId="5"/>
  </si>
  <si>
    <t>6回連続攻撃</t>
    <rPh sb="1" eb="2">
      <t>カイ</t>
    </rPh>
    <rPh sb="2" eb="4">
      <t>レンゾク</t>
    </rPh>
    <rPh sb="4" eb="6">
      <t>コウゲキ</t>
    </rPh>
    <phoneticPr fontId="5"/>
  </si>
  <si>
    <t>[effect:spread, val:0.3]</t>
    <phoneticPr fontId="5"/>
  </si>
  <si>
    <t>ja</t>
    <phoneticPr fontId="5"/>
  </si>
  <si>
    <t>スパイラルソード</t>
    <phoneticPr fontId="5"/>
  </si>
  <si>
    <t>[effect:enhance_enemy, target:myself, turn:5, status:attack, val:0.3, animation:enemy_enhance_attack]</t>
    <phoneticPr fontId="5"/>
  </si>
  <si>
    <t>レイディアント</t>
    <phoneticPr fontId="5"/>
  </si>
  <si>
    <t>5ターン攻撃力UP</t>
    <rPh sb="4" eb="6">
      <t>コウゲキ</t>
    </rPh>
    <rPh sb="6" eb="7">
      <t>リョク</t>
    </rPh>
    <phoneticPr fontId="5"/>
  </si>
  <si>
    <t>[effect:break_enchance_enemy, val:0.03, lowest_val:0.06, count:8, status:attack, turn:-1, block:block_heart, target:myself, calc:mul, animation:enemy_enhance_attack],[effect:tolerance, target:myself, turn:-1, tolerance_effect:hungup, count:-1, animation:enemy_tolerance]</t>
    <phoneticPr fontId="5"/>
  </si>
  <si>
    <t>君の力は本物らしいな</t>
    <rPh sb="0" eb="1">
      <t>キミ</t>
    </rPh>
    <rPh sb="2" eb="3">
      <t>チカラ</t>
    </rPh>
    <rPh sb="4" eb="6">
      <t>ホンモノ</t>
    </rPh>
    <phoneticPr fontId="5"/>
  </si>
  <si>
    <t>だが、その力も正義のための礎となる！</t>
    <rPh sb="5" eb="6">
      <t>チカラ</t>
    </rPh>
    <rPh sb="7" eb="9">
      <t>セイギ</t>
    </rPh>
    <rPh sb="13" eb="14">
      <t>イシズエ</t>
    </rPh>
    <phoneticPr fontId="5"/>
  </si>
  <si>
    <t>パーシ、援護を頼む！</t>
    <rPh sb="4" eb="6">
      <t>エンゴ</t>
    </rPh>
    <rPh sb="7" eb="8">
      <t>タノ</t>
    </rPh>
    <phoneticPr fontId="5"/>
  </si>
  <si>
    <t>お邪魔パネル6つ出現</t>
    <phoneticPr fontId="5"/>
  </si>
  <si>
    <t>[effect:rush, count:6, val:0.28]</t>
    <phoneticPr fontId="5"/>
  </si>
  <si>
    <t>エクスシュレッドVI</t>
    <phoneticPr fontId="5"/>
  </si>
  <si>
    <t>6回連続攻撃</t>
    <rPh sb="1" eb="2">
      <t>カイ</t>
    </rPh>
    <rPh sb="2" eb="6">
      <t>レンゾクコウゲキ</t>
    </rPh>
    <phoneticPr fontId="5"/>
  </si>
  <si>
    <t>[effect:rush, count:7, val:0.26]</t>
    <phoneticPr fontId="5"/>
  </si>
  <si>
    <t>ja</t>
    <phoneticPr fontId="5"/>
  </si>
  <si>
    <t>エクスシュレッドVII</t>
    <phoneticPr fontId="5"/>
  </si>
  <si>
    <t>7回連続攻撃</t>
    <rPh sb="1" eb="2">
      <t>カイ</t>
    </rPh>
    <rPh sb="2" eb="4">
      <t>レンゾク</t>
    </rPh>
    <rPh sb="4" eb="6">
      <t>コウゲキ</t>
    </rPh>
    <phoneticPr fontId="5"/>
  </si>
  <si>
    <t>[effect:rush, count:8, val:0.24]</t>
    <phoneticPr fontId="5"/>
  </si>
  <si>
    <t>エクスシュレッドVIII</t>
    <phoneticPr fontId="5"/>
  </si>
  <si>
    <t>8回連続攻撃</t>
    <rPh sb="1" eb="2">
      <t>カイ</t>
    </rPh>
    <rPh sb="2" eb="6">
      <t>レンゾクコウゲキ</t>
    </rPh>
    <phoneticPr fontId="5"/>
  </si>
  <si>
    <t>[effect:change_block, new_block:time_bomb, target:block_red, count:6, val:0.15, min_time_count:2, max_time_count:2, animation:change_block]</t>
    <phoneticPr fontId="5"/>
  </si>
  <si>
    <t>オールレンジスライサー</t>
    <phoneticPr fontId="5"/>
  </si>
  <si>
    <t>赤パネルを6つ時限式ダメージパネルに変換</t>
    <rPh sb="0" eb="1">
      <t>アカ</t>
    </rPh>
    <rPh sb="7" eb="10">
      <t>ジゲンシキ</t>
    </rPh>
    <rPh sb="18" eb="20">
      <t>ヘンカン</t>
    </rPh>
    <phoneticPr fontId="5"/>
  </si>
  <si>
    <t>[effect:change_block, new_block:time_bomb, target:block_red, count:4, val:0.25, min_time_count:3, max_time_count:3, animation:change_block]</t>
    <phoneticPr fontId="5"/>
  </si>
  <si>
    <t>赤パネルを4つ時限式ダメージパネルに変換</t>
    <phoneticPr fontId="5"/>
  </si>
  <si>
    <t>[effect:freq_turn, target:myself, turn:2, val:1, animation:enemy_freq_turn]</t>
    <phoneticPr fontId="5"/>
  </si>
  <si>
    <t>アサルトスタンス</t>
    <phoneticPr fontId="5"/>
  </si>
  <si>
    <t>2ターン攻撃頻度が1ターンにUP</t>
    <phoneticPr fontId="5"/>
  </si>
  <si>
    <t>[effect:tolerance, target:myself, turn:-1, tolerance_effect:all, count:-1, animation:enemy_tolerance],[effect:fix_speed,target:myself,turn:2]</t>
    <phoneticPr fontId="5"/>
  </si>
  <si>
    <t>俺の正義を見せてやる！</t>
    <rPh sb="0" eb="1">
      <t>オレ</t>
    </rPh>
    <rPh sb="2" eb="4">
      <t>セイギ</t>
    </rPh>
    <rPh sb="5" eb="6">
      <t>ミ</t>
    </rPh>
    <phoneticPr fontId="5"/>
  </si>
  <si>
    <t>HPが多いと強力なスキルを連発する</t>
    <rPh sb="3" eb="4">
      <t>オオ</t>
    </rPh>
    <rPh sb="6" eb="8">
      <t>キョウリョク</t>
    </rPh>
    <rPh sb="13" eb="15">
      <t>レンパツ</t>
    </rPh>
    <phoneticPr fontId="5"/>
  </si>
  <si>
    <t>[effect:spread, val:0.8]</t>
    <phoneticPr fontId="5"/>
  </si>
  <si>
    <t>ジャスティス</t>
    <phoneticPr fontId="5"/>
  </si>
  <si>
    <t>HPが多いほど強力な全体攻撃</t>
    <rPh sb="3" eb="4">
      <t>オオ</t>
    </rPh>
    <rPh sb="7" eb="9">
      <t>キョウリョク</t>
    </rPh>
    <rPh sb="10" eb="12">
      <t>ゼンタイ</t>
    </rPh>
    <rPh sb="12" eb="14">
      <t>ダイコウゲキ</t>
    </rPh>
    <phoneticPr fontId="5"/>
  </si>
  <si>
    <t>[effect:rush, count:9, val:0.2]</t>
    <phoneticPr fontId="5"/>
  </si>
  <si>
    <t>エクスシュレッドIX</t>
    <phoneticPr fontId="5"/>
  </si>
  <si>
    <t>9回連続攻撃</t>
    <rPh sb="1" eb="2">
      <t>カイ</t>
    </rPh>
    <rPh sb="2" eb="4">
      <t>レンゾク</t>
    </rPh>
    <rPh sb="4" eb="6">
      <t>コウゲキ</t>
    </rPh>
    <phoneticPr fontId="5"/>
  </si>
  <si>
    <t>[effect:break_attack, val:0.3, lowest_val:1, count:-1, block:crash, target:unit_all]</t>
    <phoneticPr fontId="5"/>
  </si>
  <si>
    <t>ソードオブマジック</t>
    <phoneticPr fontId="5"/>
  </si>
  <si>
    <t>[effect:break_heal_ratio, val:0.15, lowest_val:1, count:-1, block:crash, target:myself, animation:enemy_heal]</t>
    <phoneticPr fontId="5"/>
  </si>
  <si>
    <t>シースオブマジック</t>
    <phoneticPr fontId="5"/>
  </si>
  <si>
    <t>[effect:nothing]</t>
  </si>
  <si>
    <t>俺はまだ生きているぞ…！</t>
    <rPh sb="0" eb="1">
      <t>オレ</t>
    </rPh>
    <rPh sb="4" eb="5">
      <t>イ</t>
    </rPh>
    <phoneticPr fontId="5"/>
  </si>
  <si>
    <t>HPが減るほど強力なスキルを連発する</t>
    <rPh sb="3" eb="4">
      <t>ヘ</t>
    </rPh>
    <rPh sb="7" eb="9">
      <t>キョウリョク</t>
    </rPh>
    <rPh sb="14" eb="16">
      <t>レンパツ</t>
    </rPh>
    <phoneticPr fontId="5"/>
  </si>
  <si>
    <t>ディストピア</t>
    <phoneticPr fontId="5"/>
  </si>
  <si>
    <t>HPが少ないほど強力な全体攻撃</t>
    <rPh sb="3" eb="4">
      <t>スク</t>
    </rPh>
    <rPh sb="8" eb="10">
      <t>キョウリョク</t>
    </rPh>
    <rPh sb="11" eb="13">
      <t>ゼンタイ</t>
    </rPh>
    <rPh sb="13" eb="15">
      <t>ダイコウゲキ</t>
    </rPh>
    <phoneticPr fontId="5"/>
  </si>
  <si>
    <t>ディストピア</t>
    <phoneticPr fontId="5"/>
  </si>
  <si>
    <t>[effect:nothing]</t>
    <phoneticPr fontId="5"/>
  </si>
  <si>
    <t>ja</t>
    <phoneticPr fontId="5"/>
  </si>
  <si>
    <t>彼に会いに来たのかね</t>
    <rPh sb="0" eb="1">
      <t>カレ</t>
    </rPh>
    <rPh sb="2" eb="3">
      <t>ア</t>
    </rPh>
    <rPh sb="5" eb="6">
      <t>キ</t>
    </rPh>
    <phoneticPr fontId="5"/>
  </si>
  <si>
    <t>悪いが、お引取りいただこう</t>
    <rPh sb="0" eb="1">
      <t>ワル</t>
    </rPh>
    <rPh sb="5" eb="7">
      <t>ヒキト</t>
    </rPh>
    <phoneticPr fontId="5"/>
  </si>
  <si>
    <t>[effect:fix_speed,target:myself,turn:3]</t>
    <phoneticPr fontId="5"/>
  </si>
  <si>
    <t>…おじさんがやられた？</t>
    <phoneticPr fontId="5"/>
  </si>
  <si>
    <t>本気で戦うしかないみたいだね…</t>
    <rPh sb="0" eb="2">
      <t>ホンキ</t>
    </rPh>
    <rPh sb="3" eb="4">
      <t>タタカ</t>
    </rPh>
    <phoneticPr fontId="5"/>
  </si>
  <si>
    <t>燃料投下！</t>
    <rPh sb="0" eb="4">
      <t>ネンリョウトウカ</t>
    </rPh>
    <phoneticPr fontId="5"/>
  </si>
  <si>
    <t>ハート出現</t>
    <rPh sb="3" eb="5">
      <t>シュツゲン</t>
    </rPh>
    <phoneticPr fontId="5"/>
  </si>
  <si>
    <t>[effect:fix_speed,target:myself,turn:1]</t>
    <phoneticPr fontId="5"/>
  </si>
  <si>
    <t>止まりなさい！</t>
    <rPh sb="0" eb="1">
      <t>ト</t>
    </rPh>
    <phoneticPr fontId="5"/>
  </si>
  <si>
    <t>あなたの相手はこの私よ…！</t>
    <rPh sb="4" eb="6">
      <t>アイテ</t>
    </rPh>
    <rPh sb="9" eb="10">
      <t>ワタシ</t>
    </rPh>
    <phoneticPr fontId="5"/>
  </si>
  <si>
    <t>[effect:enhance_enemy, target:myself, turn:-1, status:attack, val:0.4, animation:enemy_enhance_attack]</t>
    <phoneticPr fontId="5"/>
  </si>
  <si>
    <t>魔銃解放…！</t>
    <rPh sb="0" eb="1">
      <t>マ</t>
    </rPh>
    <rPh sb="1" eb="2">
      <t>ジュウ</t>
    </rPh>
    <rPh sb="2" eb="4">
      <t>カイホウ</t>
    </rPh>
    <phoneticPr fontId="5"/>
  </si>
  <si>
    <t>解除されるまで攻撃力UP</t>
    <phoneticPr fontId="5"/>
  </si>
  <si>
    <t>フリーズショット</t>
    <phoneticPr fontId="5"/>
  </si>
  <si>
    <t>お邪魔パネル出現＋攻撃</t>
    <rPh sb="1" eb="3">
      <t>ジャマ</t>
    </rPh>
    <rPh sb="6" eb="8">
      <t>シュツゲン</t>
    </rPh>
    <rPh sb="9" eb="11">
      <t>コウゲキ</t>
    </rPh>
    <phoneticPr fontId="5"/>
  </si>
  <si>
    <t>老、力を貸してくれ！</t>
    <rPh sb="0" eb="1">
      <t>ロウ</t>
    </rPh>
    <rPh sb="2" eb="3">
      <t>チカラ</t>
    </rPh>
    <rPh sb="4" eb="5">
      <t>カ</t>
    </rPh>
    <phoneticPr fontId="5"/>
  </si>
  <si>
    <t>[effect:break_attack, val:0.08, lowest_val:1, count:8, block:block_heart, target:unit_all]</t>
    <phoneticPr fontId="5"/>
  </si>
  <si>
    <t>ja</t>
    <phoneticPr fontId="5"/>
  </si>
  <si>
    <t>トリス、畳み掛けるぞ！</t>
    <rPh sb="4" eb="5">
      <t>タタ</t>
    </rPh>
    <rPh sb="6" eb="7">
      <t>カ</t>
    </rPh>
    <phoneticPr fontId="5"/>
  </si>
  <si>
    <t>[effect:hungup, target:unit_one, turn:3, rate:1, animation:hungup01]</t>
    <phoneticPr fontId="5"/>
  </si>
  <si>
    <t>レストレイン</t>
    <phoneticPr fontId="5"/>
  </si>
  <si>
    <t>ユニット1体に3ターンスキルバインド</t>
    <phoneticPr fontId="5"/>
  </si>
  <si>
    <t>null</t>
    <phoneticPr fontId="5"/>
  </si>
  <si>
    <t>null</t>
    <phoneticPr fontId="5"/>
  </si>
  <si>
    <t>null</t>
    <phoneticPr fontId="5"/>
  </si>
  <si>
    <t>トリス</t>
    <phoneticPr fontId="5"/>
  </si>
  <si>
    <t>null</t>
    <phoneticPr fontId="5"/>
  </si>
  <si>
    <t>ガウェインはHPが減ると攻撃が加速します
その後の難易度は一気に上昇しますので
余裕があるうちに対策を整えましょう</t>
    <phoneticPr fontId="5"/>
  </si>
  <si>
    <t>トリスタンのハート破壊攻撃は強力ですが
発動のタイミングに癖があるようです
次の手を見極めて攻略の糸口を掴みましょう</t>
    <phoneticPr fontId="5"/>
  </si>
  <si>
    <t>トトの攻撃はゲージを削りきると阻止できます
ただし完全に撃破してしまうと
トリスタンが反撃してくるので要注意です</t>
    <phoneticPr fontId="5"/>
  </si>
  <si>
    <t>パーシヴァルは多彩な妨害をしてきます
特にお邪魔パネルが増えると辛くなるので
なるべく短期決戦に持ち込みましょう</t>
    <phoneticPr fontId="5"/>
  </si>
  <si>
    <t>アーサーのスキル「エクスシュレッド」は
少しずつ攻撃回数が増えていきます
終盤は不意の大ダメージに警戒しましょう</t>
    <phoneticPr fontId="5"/>
  </si>
  <si>
    <t>アーサーは仲間達の力を借りて
特徴的なスキルを繰り出してきます
ここまでの経験を活かして戦いましょう</t>
    <phoneticPr fontId="5"/>
  </si>
  <si>
    <t>アーサーはCパネルを利用して
強力な攻撃や大回復をすることがあります
Cパネルを盤面に残す時は要注意です</t>
    <phoneticPr fontId="5"/>
  </si>
  <si>
    <t>[effect:freq_turn, target:enemy_all, turn:3, val:1, animation:enemy_freq_turn]</t>
    <phoneticPr fontId="5"/>
  </si>
  <si>
    <t>僕だってできるはず…</t>
    <rPh sb="0" eb="1">
      <t>ボク</t>
    </rPh>
    <phoneticPr fontId="5"/>
  </si>
  <si>
    <t>ボルテックカノン</t>
    <phoneticPr fontId="5"/>
  </si>
  <si>
    <t>3ターン自身の攻撃力UP＋攻撃</t>
    <rPh sb="4" eb="6">
      <t>ジシンノ</t>
    </rPh>
    <rPh sb="7" eb="10">
      <t>コウゲキリョク</t>
    </rPh>
    <rPh sb="13" eb="15">
      <t>コウゲキ</t>
    </rPh>
    <phoneticPr fontId="5"/>
  </si>
  <si>
    <t>ハートパネル吸収攻撃（最大8個まで）</t>
    <rPh sb="6" eb="8">
      <t>キュウシュウ</t>
    </rPh>
    <rPh sb="8" eb="10">
      <t>コウゲキ</t>
    </rPh>
    <rPh sb="11" eb="13">
      <t>サイダイ</t>
    </rPh>
    <rPh sb="14" eb="15">
      <t>コ</t>
    </rPh>
    <phoneticPr fontId="5"/>
  </si>
  <si>
    <t>クリティカル！</t>
    <phoneticPr fontId="5"/>
  </si>
  <si>
    <t>ターゲットバースト</t>
    <phoneticPr fontId="5"/>
  </si>
  <si>
    <t>お邪魔パネル4個生成</t>
    <rPh sb="7" eb="8">
      <t>コ</t>
    </rPh>
    <rPh sb="8" eb="10">
      <t>セイセイ</t>
    </rPh>
    <phoneticPr fontId="5"/>
  </si>
  <si>
    <t>強力なお邪魔パネル吸収攻撃</t>
    <rPh sb="0" eb="2">
      <t>キョウリョクナ</t>
    </rPh>
    <rPh sb="4" eb="6">
      <t>ジャマ</t>
    </rPh>
    <rPh sb="9" eb="11">
      <t>キュウシュウ</t>
    </rPh>
    <rPh sb="11" eb="13">
      <t>コウゲキ</t>
    </rPh>
    <phoneticPr fontId="5"/>
  </si>
  <si>
    <t>[effect:enhance_enemy, target:myself, turn:3, status:attack, val:0.3, animation:enemy_enhance_attack],[effect:rush, count:1, val:1.0]</t>
    <phoneticPr fontId="5"/>
  </si>
  <si>
    <t>5ターンパネルの色が分からなくなる！</t>
    <phoneticPr fontId="5"/>
  </si>
  <si>
    <t>[effect:dark, target:unit_all, turn:5, animation:enemy_dark]</t>
    <phoneticPr fontId="5"/>
  </si>
  <si>
    <t>[effect:spread, val:0.2],[effect:rush, count:6, val:0.25]</t>
    <phoneticPr fontId="5"/>
  </si>
  <si>
    <t>お邪魔パネル10個生成</t>
    <rPh sb="8" eb="9">
      <t>コ</t>
    </rPh>
    <rPh sb="9" eb="11">
      <t>セイセイ</t>
    </rPh>
    <phoneticPr fontId="5"/>
  </si>
  <si>
    <t>エクスシュレッドＸ</t>
    <phoneticPr fontId="5"/>
  </si>
  <si>
    <t>10回連続攻撃</t>
    <rPh sb="2" eb="3">
      <t>カイ</t>
    </rPh>
    <rPh sb="3" eb="5">
      <t>レンゾク</t>
    </rPh>
    <rPh sb="5" eb="7">
      <t>コウゲキ</t>
    </rPh>
    <phoneticPr fontId="5"/>
  </si>
  <si>
    <t>[effect:rush, count:10, val:0.2]</t>
    <phoneticPr fontId="5"/>
  </si>
  <si>
    <t>Cパネル吸収攻撃</t>
    <rPh sb="4" eb="6">
      <t>キュウシュウ</t>
    </rPh>
    <rPh sb="6" eb="8">
      <t>コウゲキ</t>
    </rPh>
    <phoneticPr fontId="5"/>
  </si>
  <si>
    <t>Cパネル吸収回復</t>
    <rPh sb="4" eb="6">
      <t>キュウシュウ</t>
    </rPh>
    <rPh sb="6" eb="8">
      <t>カイフク</t>
    </rPh>
    <phoneticPr fontId="5"/>
  </si>
  <si>
    <t>[effect:damage_anti_abnormal, target:unit_all, target_effect01:sleep, target_effect02:hungup, val1:0.6, val2:0.3]</t>
    <phoneticPr fontId="5"/>
  </si>
  <si>
    <t>コールドハート</t>
    <phoneticPr fontId="5"/>
  </si>
  <si>
    <t>クリティカル！</t>
    <phoneticPr fontId="5"/>
  </si>
  <si>
    <t>4ターン赤・緑・黄パネルが使えない！＋攻撃</t>
    <rPh sb="4" eb="5">
      <t>アカ</t>
    </rPh>
    <rPh sb="6" eb="7">
      <t>ミドリ</t>
    </rPh>
    <rPh sb="8" eb="9">
      <t>キイロ</t>
    </rPh>
    <rPh sb="13" eb="14">
      <t>ツカ</t>
    </rPh>
    <rPh sb="19" eb="21">
      <t>コウゲキ</t>
    </rPh>
    <phoneticPr fontId="5"/>
  </si>
  <si>
    <t>[effect:dis_panel, target:block_red, turn:4],[effect:dis_panel, target:block_green, turn:4],[effect:dis_panel, target:block_yellow, turn:4],[effect:rush, count:1, val:1.2]</t>
    <phoneticPr fontId="5"/>
  </si>
  <si>
    <t>トゥルー・ジャスティス</t>
    <phoneticPr fontId="5"/>
  </si>
  <si>
    <t>これが俺たちの正義だ！！</t>
    <rPh sb="3" eb="4">
      <t>オレタチ</t>
    </rPh>
    <rPh sb="7" eb="9">
      <t>セイギ</t>
    </rPh>
    <phoneticPr fontId="5"/>
  </si>
  <si>
    <t>[effect:damage_fix_absolute, target:unit_all, val:50000]</t>
    <phoneticPr fontId="5"/>
  </si>
  <si>
    <t>3ターン暗闇＋次のターン強力な攻撃</t>
    <rPh sb="4" eb="6">
      <t>クラヤミ</t>
    </rPh>
    <rPh sb="7" eb="8">
      <t>ツギ</t>
    </rPh>
    <rPh sb="12" eb="14">
      <t>キョウリョク</t>
    </rPh>
    <rPh sb="15" eb="17">
      <t>コウゲキ</t>
    </rPh>
    <phoneticPr fontId="5"/>
  </si>
  <si>
    <t>[effect:dark, target:unit_all, turn:3, animation:enemy_dark]</t>
    <phoneticPr fontId="5"/>
  </si>
  <si>
    <t>3ターン暗闇＋強力な連続攻撃！</t>
    <rPh sb="4" eb="6">
      <t>クラヤミ</t>
    </rPh>
    <rPh sb="7" eb="9">
      <t>キョウリョクナ</t>
    </rPh>
    <rPh sb="10" eb="14">
      <t>レンゾクコウゲキ</t>
    </rPh>
    <phoneticPr fontId="5"/>
  </si>
  <si>
    <t>[effect:dark, target:unit_all, turn:3, animation:enemy_dark],[effect:spread, val:0.2],[effect:rush, count:6, val:0.2]</t>
    <phoneticPr fontId="5"/>
  </si>
  <si>
    <t>状態異常のユニットに大ダメージ</t>
    <rPh sb="0" eb="4">
      <t>ジョウタイイジョウ</t>
    </rPh>
    <rPh sb="10" eb="11">
      <t>ダイ</t>
    </rPh>
    <phoneticPr fontId="5"/>
  </si>
  <si>
    <t>ハートを5個お邪魔パネルに変換</t>
    <rPh sb="5" eb="6">
      <t>コ</t>
    </rPh>
    <rPh sb="13" eb="15">
      <t>ヘンカn</t>
    </rPh>
    <phoneticPr fontId="5"/>
  </si>
  <si>
    <t>[effect:change_block, new_block:jammer, target:block_heart, count:5, val:0, animation:change_block]</t>
    <phoneticPr fontId="5"/>
  </si>
  <si>
    <t>トト！一緒に仕掛けるよっ！</t>
    <rPh sb="3" eb="5">
      <t>イッショニ</t>
    </rPh>
    <rPh sb="6" eb="8">
      <t>シカケル</t>
    </rPh>
    <phoneticPr fontId="5"/>
  </si>
  <si>
    <t>[effect:enemy_message, val1:1.5, val2:2.5],[effect:break_enchance_enemy, val:0.05, lowest_val:0.1, count:8, status:attack, turn:-1, block:block_heart, target:myself, calc:mul, animation:enemy_enhance_attack],[effect:tolerance, target:myself, turn:-1, tolerance_effect:hungup, count:-1, animation:enemy_tolerance]</t>
    <phoneticPr fontId="5"/>
  </si>
  <si>
    <t>【！】HPが多いと即死攻撃発動【！】</t>
    <rPh sb="6" eb="7">
      <t>オオ</t>
    </rPh>
    <rPh sb="9" eb="13">
      <t>ソクシコウゲキ</t>
    </rPh>
    <rPh sb="13" eb="15">
      <t>ハツドウ</t>
    </rPh>
    <phoneticPr fontId="5"/>
  </si>
  <si>
    <t>ALICEを救うのは聖人じゃない！</t>
    <rPh sb="6" eb="7">
      <t>スクウ</t>
    </rPh>
    <rPh sb="10" eb="12">
      <t>セイジn</t>
    </rPh>
    <phoneticPr fontId="5"/>
  </si>
  <si>
    <t>地に伏し泥に塗れ　それでも立ち上がった者なんだ！</t>
    <rPh sb="0" eb="1">
      <t>チニフシ</t>
    </rPh>
    <rPh sb="4" eb="5">
      <t>ドロニマミレ</t>
    </rPh>
    <rPh sb="6" eb="7">
      <t>マミレ</t>
    </rPh>
    <rPh sb="13" eb="14">
      <t>タチアガッタ</t>
    </rPh>
    <rPh sb="19" eb="20">
      <t>モノ</t>
    </rPh>
    <phoneticPr fontId="5"/>
  </si>
  <si>
    <t>攻撃頻度が1にUP
HPが減るほど強力なスキルを連発する</t>
    <rPh sb="0" eb="4">
      <t>コウゲキヒンド</t>
    </rPh>
    <rPh sb="13" eb="14">
      <t>ヘ</t>
    </rPh>
    <rPh sb="17" eb="19">
      <t>キョウリョク</t>
    </rPh>
    <rPh sb="24" eb="26">
      <t>レンパツ</t>
    </rPh>
    <phoneticPr fontId="5"/>
  </si>
  <si>
    <t>[effect:freq_turn, target:myself, turn:-1, val:1, animation:enemy_freq_turn]</t>
    <phoneticPr fontId="5"/>
  </si>
  <si>
    <t>アーサーは「エクスシュレッド」など
攻撃回数の多いスキルを多用してきます
防御力UPやカウンターで弾き返しましょう</t>
    <rPh sb="18" eb="22">
      <t>コウゲキカイスウ</t>
    </rPh>
    <rPh sb="23" eb="24">
      <t>オオイ</t>
    </rPh>
    <rPh sb="29" eb="31">
      <t>タヨウ</t>
    </rPh>
    <rPh sb="38" eb="40">
      <t>ボウギョリョク</t>
    </rPh>
    <rPh sb="40" eb="41">
      <t>チカラ</t>
    </rPh>
    <rPh sb="50" eb="51">
      <t>ハジキカエシ</t>
    </rPh>
    <phoneticPr fontId="5"/>
  </si>
  <si>
    <t>パーシヴァルは多彩なスキルを駆使します
状態異常キラーやお邪魔パネル吸収攻撃が
特に強力なので十分に警戒しましょう</t>
    <rPh sb="14" eb="16">
      <t>クシ</t>
    </rPh>
    <rPh sb="21" eb="25">
      <t>ジョウタイイジョウ</t>
    </rPh>
    <rPh sb="35" eb="37">
      <t>キュウシュウ</t>
    </rPh>
    <rPh sb="37" eb="39">
      <t>コウゲキ</t>
    </rPh>
    <rPh sb="41" eb="42">
      <t>トクニ</t>
    </rPh>
    <rPh sb="43" eb="45">
      <t>キョウリョクナノデ</t>
    </rPh>
    <rPh sb="48" eb="50">
      <t>ジュウブンニ</t>
    </rPh>
    <rPh sb="51" eb="53">
      <t>ケイカイ</t>
    </rPh>
    <phoneticPr fontId="5"/>
  </si>
  <si>
    <t>トトの攻撃はゲージを削りきると阻止できます
ただし完全に撃破してしまうと
トリスタンが反撃してくるので要注意です</t>
    <phoneticPr fontId="5"/>
  </si>
  <si>
    <t>ランスロット…なぜ戻った？</t>
    <rPh sb="9" eb="10">
      <t>モドッタ</t>
    </rPh>
    <phoneticPr fontId="5"/>
  </si>
  <si>
    <t>今のお前は危険だ　ガレス</t>
    <rPh sb="0" eb="1">
      <t>イマノ</t>
    </rPh>
    <rPh sb="5" eb="7">
      <t>キケン</t>
    </rPh>
    <phoneticPr fontId="5"/>
  </si>
  <si>
    <t>お前にはお前のやるべき事があるだろう</t>
    <rPh sb="11" eb="12">
      <t>コトガ</t>
    </rPh>
    <phoneticPr fontId="5"/>
  </si>
  <si>
    <t>フェイタルコンクエスト</t>
    <phoneticPr fontId="5"/>
  </si>
  <si>
    <t>[effect:damage_anti_color, target:unit_all, color:blue, val1:0.25, val2:1.0]</t>
    <phoneticPr fontId="5"/>
  </si>
  <si>
    <t>青属性以外のユニットに特大ダメージ</t>
    <rPh sb="0" eb="1">
      <t>アオ</t>
    </rPh>
    <rPh sb="1" eb="3">
      <t>ゾクセイ</t>
    </rPh>
    <rPh sb="3" eb="5">
      <t>イガイ</t>
    </rPh>
    <rPh sb="11" eb="12">
      <t>トクダイ</t>
    </rPh>
    <rPh sb="12" eb="13">
      <t>トクダイ</t>
    </rPh>
    <phoneticPr fontId="5"/>
  </si>
  <si>
    <t>お前の目的は何だ　ライオネル</t>
    <rPh sb="3" eb="5">
      <t>モクテキ</t>
    </rPh>
    <rPh sb="6" eb="7">
      <t>ナンダ</t>
    </rPh>
    <phoneticPr fontId="5"/>
  </si>
  <si>
    <t>力を手にいれる事だけか？そうではないだろう…？</t>
    <rPh sb="0" eb="1">
      <t>チカラヲ</t>
    </rPh>
    <rPh sb="2" eb="3">
      <t>テニイレル</t>
    </rPh>
    <rPh sb="7" eb="8">
      <t>コト</t>
    </rPh>
    <phoneticPr fontId="5"/>
  </si>
  <si>
    <t>お前の覚悟を見せてみろ</t>
    <phoneticPr fontId="5"/>
  </si>
  <si>
    <t>（……誰？）</t>
    <rPh sb="3" eb="4">
      <t>ダレ</t>
    </rPh>
    <phoneticPr fontId="5"/>
  </si>
  <si>
    <t>悪いがここを通すわけにはいかないな</t>
    <rPh sb="0" eb="1">
      <t>ワルイガ</t>
    </rPh>
    <rPh sb="6" eb="7">
      <t>トオシテ</t>
    </rPh>
    <phoneticPr fontId="5"/>
  </si>
  <si>
    <t>よくわからないけど敵かな…トト、いくよっ！</t>
    <rPh sb="9" eb="10">
      <t>テキ</t>
    </rPh>
    <phoneticPr fontId="5"/>
  </si>
  <si>
    <t>姉さん…手加減しないでね</t>
    <rPh sb="0" eb="1">
      <t>ネエサン</t>
    </rPh>
    <rPh sb="4" eb="7">
      <t>テカゲn</t>
    </rPh>
    <phoneticPr fontId="5"/>
  </si>
  <si>
    <t>モルド…どうしてなの？</t>
    <phoneticPr fontId="5"/>
  </si>
  <si>
    <t>どうして友達と戦わなきゃいけないのよ…！</t>
    <rPh sb="4" eb="6">
      <t>トモダチ</t>
    </rPh>
    <rPh sb="7" eb="8">
      <t>タタカワナキャ</t>
    </rPh>
    <phoneticPr fontId="5"/>
  </si>
  <si>
    <t>私達は間違ってなんかない！</t>
    <rPh sb="0" eb="1">
      <t>ワタシタチ</t>
    </rPh>
    <rPh sb="1" eb="2">
      <t>タチ</t>
    </rPh>
    <rPh sb="3" eb="5">
      <t>マチガッテ</t>
    </rPh>
    <phoneticPr fontId="5"/>
  </si>
  <si>
    <t>ランス…私はあなたが怖い</t>
    <rPh sb="4" eb="5">
      <t>ワタシハ</t>
    </rPh>
    <rPh sb="10" eb="11">
      <t>コワイ</t>
    </rPh>
    <phoneticPr fontId="5"/>
  </si>
  <si>
    <t>あなたの放つ光が…彼を変えてしまうようで…</t>
    <rPh sb="4" eb="5">
      <t>ハナツ</t>
    </rPh>
    <rPh sb="6" eb="7">
      <t>ヒカリハ</t>
    </rPh>
    <rPh sb="9" eb="10">
      <t>カレ</t>
    </rPh>
    <rPh sb="11" eb="12">
      <t>カエテシマウ</t>
    </rPh>
    <phoneticPr fontId="5"/>
  </si>
  <si>
    <t>モルドも私が…正気に戻してあげる！</t>
    <rPh sb="4" eb="5">
      <t>ワタシガ</t>
    </rPh>
    <rPh sb="7" eb="9">
      <t>ショウキニモドシテ</t>
    </rPh>
    <phoneticPr fontId="5"/>
  </si>
  <si>
    <t>彼に合わせる顔はないでしょう</t>
    <rPh sb="0" eb="1">
      <t>カレニ</t>
    </rPh>
    <rPh sb="2" eb="3">
      <t>アワセル</t>
    </rPh>
    <rPh sb="6" eb="7">
      <t>カオ</t>
    </rPh>
    <phoneticPr fontId="5"/>
  </si>
  <si>
    <t>私は居場所を失いたくないの</t>
    <rPh sb="0" eb="1">
      <t>ワタシタチ</t>
    </rPh>
    <rPh sb="2" eb="3">
      <t>イル</t>
    </rPh>
    <rPh sb="3" eb="5">
      <t>バショヲ</t>
    </rPh>
    <rPh sb="6" eb="7">
      <t>ウシナイタクナイ</t>
    </rPh>
    <phoneticPr fontId="5"/>
  </si>
  <si>
    <t>彼が知ったら悲しむはずよ</t>
    <rPh sb="0" eb="1">
      <t>カレガ</t>
    </rPh>
    <rPh sb="2" eb="3">
      <t>シッタラ</t>
    </rPh>
    <rPh sb="6" eb="7">
      <t>カナシム</t>
    </rPh>
    <phoneticPr fontId="5"/>
  </si>
  <si>
    <t>だからここで…あなたを止める！</t>
    <rPh sb="11" eb="12">
      <t>トメテ</t>
    </rPh>
    <phoneticPr fontId="5"/>
  </si>
  <si>
    <t>あなた…ライオネルなの？</t>
    <phoneticPr fontId="5"/>
  </si>
  <si>
    <t>一体どうしてそんな姿に…！</t>
    <rPh sb="0" eb="2">
      <t>イッタイ</t>
    </rPh>
    <rPh sb="9" eb="10">
      <t>スガタニ</t>
    </rPh>
    <phoneticPr fontId="5"/>
  </si>
  <si>
    <t>語るべきことは何もないだろう…来いッ！！</t>
    <rPh sb="0" eb="1">
      <t>カタルベキ</t>
    </rPh>
    <rPh sb="7" eb="8">
      <t>ナニモナイ</t>
    </rPh>
    <rPh sb="15" eb="16">
      <t>コイ</t>
    </rPh>
    <phoneticPr fontId="5"/>
  </si>
  <si>
    <t>久しぶりだなモルドレッド</t>
    <rPh sb="0" eb="1">
      <t>ヒサシブリ</t>
    </rPh>
    <phoneticPr fontId="5"/>
  </si>
  <si>
    <t>ありがとう　ガレス</t>
    <phoneticPr fontId="5"/>
  </si>
  <si>
    <t>一人で勝手に出て行って</t>
    <rPh sb="0" eb="2">
      <t>ヒトリデ</t>
    </rPh>
    <rPh sb="3" eb="5">
      <t>カッテニ</t>
    </rPh>
    <rPh sb="6" eb="7">
      <t>デテイッテ</t>
    </rPh>
    <phoneticPr fontId="5"/>
  </si>
  <si>
    <t>今さら戻ってくるなんてどういうつもり？</t>
    <rPh sb="0" eb="1">
      <t>イマサラ</t>
    </rPh>
    <rPh sb="3" eb="4">
      <t>モドッテクル</t>
    </rPh>
    <phoneticPr fontId="5"/>
  </si>
  <si>
    <t>…気持ちは理解できるがな</t>
    <rPh sb="1" eb="3">
      <t>キモチハ</t>
    </rPh>
    <rPh sb="5" eb="7">
      <t>リカイ</t>
    </rPh>
    <phoneticPr fontId="5"/>
  </si>
  <si>
    <t>その道は俺の正義に反する</t>
    <rPh sb="2" eb="3">
      <t>ミチハ</t>
    </rPh>
    <rPh sb="4" eb="5">
      <t>オレノ</t>
    </rPh>
    <rPh sb="6" eb="8">
      <t>セイギ</t>
    </rPh>
    <rPh sb="9" eb="10">
      <t>ハンスル</t>
    </rPh>
    <phoneticPr fontId="5"/>
  </si>
  <si>
    <t>気に入らないもの全てを排除するつもりか！？</t>
    <rPh sb="0" eb="1">
      <t>キニイラナイ</t>
    </rPh>
    <rPh sb="8" eb="9">
      <t>スベテ</t>
    </rPh>
    <rPh sb="11" eb="13">
      <t>ハイジョ</t>
    </rPh>
    <phoneticPr fontId="5"/>
  </si>
  <si>
    <t>それでもガレス　お前は少々やり過ぎだ</t>
    <rPh sb="11" eb="12">
      <t>ショウショウ</t>
    </rPh>
    <phoneticPr fontId="5"/>
  </si>
  <si>
    <t>ALICEには大勢の人が居る！</t>
    <rPh sb="7" eb="9">
      <t>オオゼイ</t>
    </rPh>
    <rPh sb="10" eb="11">
      <t>ヒトガ</t>
    </rPh>
    <rPh sb="12" eb="13">
      <t>イル</t>
    </rPh>
    <phoneticPr fontId="5"/>
  </si>
  <si>
    <t>ここで止めてやるしかないようだな…！
【！】HPが多いと即死攻撃発動【！】</t>
    <rPh sb="3" eb="4">
      <t>トメテヤル</t>
    </rPh>
    <phoneticPr fontId="5"/>
  </si>
  <si>
    <t>アーサーはずっと頑張ってるよ</t>
    <rPh sb="8" eb="10">
      <t>ガンバッテル</t>
    </rPh>
    <phoneticPr fontId="5"/>
  </si>
  <si>
    <t>悪いことは言わないから…立ち去りなさい</t>
    <rPh sb="0" eb="1">
      <t>ワルイ</t>
    </rPh>
    <rPh sb="5" eb="6">
      <t>イワナイ</t>
    </rPh>
    <rPh sb="12" eb="13">
      <t>タチサリ</t>
    </rPh>
    <phoneticPr fontId="5"/>
  </si>
  <si>
    <t>離れていても　お前の事は信じていたのだが</t>
    <rPh sb="0" eb="1">
      <t>ハナレテ</t>
    </rPh>
    <rPh sb="10" eb="11">
      <t>コトハ</t>
    </rPh>
    <rPh sb="12" eb="13">
      <t>シンジテ</t>
    </rPh>
    <phoneticPr fontId="5"/>
  </si>
  <si>
    <t>邪な力を身に宿したのか　なぜそんな事を…</t>
    <rPh sb="0" eb="1">
      <t>ヨコシマナチカラ</t>
    </rPh>
    <rPh sb="4" eb="5">
      <t>ミニ</t>
    </rPh>
    <rPh sb="6" eb="7">
      <t>ヤドシタ</t>
    </rPh>
    <rPh sb="17" eb="18">
      <t>コトヲ</t>
    </rPh>
    <phoneticPr fontId="5"/>
  </si>
  <si>
    <t>ライオネル…その姿は？</t>
    <phoneticPr fontId="5"/>
  </si>
  <si>
    <t>分かるように教えてやる</t>
    <rPh sb="0" eb="1">
      <t>ワカルヨウニ</t>
    </rPh>
    <rPh sb="6" eb="7">
      <t>オシエテ</t>
    </rPh>
    <phoneticPr fontId="5"/>
  </si>
  <si>
    <t>好きにはさせないっ！</t>
    <rPh sb="0" eb="1">
      <t>スキニハ</t>
    </rPh>
    <phoneticPr fontId="5"/>
  </si>
  <si>
    <t>まだだ…まだ意地は通す！</t>
    <rPh sb="6" eb="8">
      <t>イジハトオス</t>
    </rPh>
    <phoneticPr fontId="5"/>
  </si>
  <si>
    <t>俺の正義は、俺だけのものじゃない…！
【！】HPが多いと即死攻撃発動【！】</t>
    <rPh sb="0" eb="1">
      <t>オレノ</t>
    </rPh>
    <rPh sb="2" eb="4">
      <t>セイギ</t>
    </rPh>
    <rPh sb="6" eb="7">
      <t>オレダケ</t>
    </rPh>
    <phoneticPr fontId="5"/>
  </si>
  <si>
    <t>いかんな　昔からの悪い癖だ</t>
    <rPh sb="5" eb="6">
      <t>ムカシ</t>
    </rPh>
    <rPh sb="9" eb="10">
      <t>ワルイ</t>
    </rPh>
    <rPh sb="11" eb="12">
      <t>クセダ</t>
    </rPh>
    <phoneticPr fontId="5"/>
  </si>
  <si>
    <t>俺たちの正義を見せてやる！</t>
    <rPh sb="0" eb="1">
      <t>オレタチ</t>
    </rPh>
    <rPh sb="4" eb="6">
      <t>セイギ</t>
    </rPh>
    <rPh sb="7" eb="8">
      <t>ミセテ</t>
    </rPh>
    <phoneticPr fontId="5"/>
  </si>
  <si>
    <t>その力を手放せ　ライオネル！</t>
    <rPh sb="4" eb="6">
      <t>テバナセ</t>
    </rPh>
    <phoneticPr fontId="5"/>
  </si>
  <si>
    <t>[effect:enemy_message, val1:1.4, val2:2.2],[effect:fix_speed,target:myself,turn:1]</t>
    <phoneticPr fontId="5"/>
  </si>
  <si>
    <t>[effect:enemy_message, val1:1.4, val2:2.2],[effect:tolerance, target:myself, turn:-1, tolerance_effect:hungup, count:-1, animation:enemy_tolerance]</t>
    <phoneticPr fontId="5"/>
  </si>
  <si>
    <t>[effect:enemy_message, val1:1.4, val2:2.2],[effect:break_enchance_enemy, val:0.05, lowest_val:0.1, count:8, status:attack, turn:-1, block:block_heart, target:myself, calc:mul, animation:enemy_enhance_attack],[effect:tolerance, target:myself, turn:-1, tolerance_effect:hungup, count:-1, animation:en_tolerance]</t>
    <phoneticPr fontId="5"/>
  </si>
  <si>
    <t>[effect:enemy_message, val1:1.4, val2:2.6],[effect:tolerance, target:myself, turn:-1, tolerance_effect:all, count:-1, animation:enemy_tolerance],[effect:fix_speed,target:myself,turn:2]</t>
    <phoneticPr fontId="5"/>
  </si>
  <si>
    <t>[effect:enemy_message, val1:1.4, val2:2.2],[effect:freq_turn, target:enemy_all, turn:3, val:1, animation:enemy_freq_turn]</t>
    <phoneticPr fontId="5"/>
  </si>
  <si>
    <t>[effect:enemy_message, val2:2.2],[effect:freq_turn, target:enemy_all, turn:3, val:1, animation:enemy_freq_turn]</t>
    <phoneticPr fontId="5"/>
  </si>
  <si>
    <t>[effect:enemy_message, val1:1.4, val2:2.2],[effect:nothing]</t>
    <phoneticPr fontId="5"/>
  </si>
  <si>
    <t>[effect:break_attack_fix, val:500, lowest_val:1000, count:-1, block:jammer, target:unit_all]</t>
    <phoneticPr fontId="5"/>
  </si>
  <si>
    <t>[effect:enemy_message, val1:1.8, val2:2.4, dead_type:suicide]</t>
    <phoneticPr fontId="5"/>
  </si>
  <si>
    <t>場合によっちゃ道を譲るぞ　モルドレッド！！</t>
    <rPh sb="0" eb="2">
      <t>バアイ</t>
    </rPh>
    <rPh sb="7" eb="8">
      <t>ミチヲ</t>
    </rPh>
    <rPh sb="9" eb="10">
      <t>ユズッテ</t>
    </rPh>
    <phoneticPr fontId="5"/>
  </si>
  <si>
    <t>それを否定するなら　兄さんとだって僕は戦う…！</t>
    <rPh sb="3" eb="5">
      <t>ヒテイ</t>
    </rPh>
    <rPh sb="10" eb="11">
      <t>ニイサン</t>
    </rPh>
    <rPh sb="17" eb="18">
      <t>ボクハ</t>
    </rPh>
    <rPh sb="19" eb="20">
      <t>タタカウ</t>
    </rPh>
    <phoneticPr fontId="5"/>
  </si>
  <si>
    <t>キミのおかげで…僕はもう迷わずに戦える！</t>
    <rPh sb="8" eb="9">
      <t>ボクハ</t>
    </rPh>
    <rPh sb="12" eb="13">
      <t>マヨワズ</t>
    </rPh>
    <rPh sb="16" eb="17">
      <t>タタカエル</t>
    </rPh>
    <phoneticPr fontId="5"/>
  </si>
  <si>
    <t>僕も全力で戦うよ…アーサーの力になる為に！</t>
    <rPh sb="0" eb="1">
      <t>ボクハ</t>
    </rPh>
    <rPh sb="2" eb="4">
      <t>ゼンリョク</t>
    </rPh>
    <rPh sb="5" eb="6">
      <t>タタカウ</t>
    </rPh>
    <rPh sb="14" eb="15">
      <t>チカラニ</t>
    </rPh>
    <rPh sb="18" eb="19">
      <t>タメ</t>
    </rPh>
    <phoneticPr fontId="5"/>
  </si>
  <si>
    <t>身に余る力は　その身を滅ぼすだけだぞ！</t>
    <rPh sb="0" eb="1">
      <t>ミニアマル</t>
    </rPh>
    <rPh sb="4" eb="5">
      <t>チカラ</t>
    </rPh>
    <rPh sb="9" eb="10">
      <t>ミヲホロボス</t>
    </rPh>
    <phoneticPr fontId="5"/>
  </si>
  <si>
    <t>異なる正義が対立する時</t>
    <rPh sb="0" eb="1">
      <t>コトナル</t>
    </rPh>
    <rPh sb="3" eb="5">
      <t>セイギ</t>
    </rPh>
    <rPh sb="6" eb="8">
      <t>タイリツ</t>
    </rPh>
    <rPh sb="10" eb="11">
      <t>トキ</t>
    </rPh>
    <phoneticPr fontId="5"/>
  </si>
  <si>
    <t>…ランスロット</t>
    <phoneticPr fontId="5"/>
  </si>
  <si>
    <t>その瞬間こそ　正義は最も輝きを放つ！</t>
    <rPh sb="2" eb="4">
      <t>シュンカン</t>
    </rPh>
    <rPh sb="7" eb="9">
      <t>セイギ</t>
    </rPh>
    <rPh sb="10" eb="11">
      <t>モットモ</t>
    </rPh>
    <rPh sb="12" eb="13">
      <t>カガヤキ</t>
    </rPh>
    <rPh sb="15" eb="16">
      <t>ハナツ</t>
    </rPh>
    <phoneticPr fontId="5"/>
  </si>
  <si>
    <t>どちらの正義が上を行くか</t>
    <rPh sb="4" eb="6">
      <t>セイギ</t>
    </rPh>
    <rPh sb="7" eb="8">
      <t>ウエヲ</t>
    </rPh>
    <rPh sb="9" eb="10">
      <t>イクカ</t>
    </rPh>
    <phoneticPr fontId="5"/>
  </si>
  <si>
    <t>強くなったな…モルド…</t>
    <rPh sb="0" eb="1">
      <t>ツヨクナッタ</t>
    </rPh>
    <phoneticPr fontId="5"/>
  </si>
  <si>
    <t>この一撃で…！</t>
    <rPh sb="2" eb="4">
      <t>イチゲキ</t>
    </rPh>
    <phoneticPr fontId="5"/>
  </si>
  <si>
    <t>これからの…円卓の騎士…は…</t>
    <rPh sb="6" eb="8">
      <t>エンタクノキシ</t>
    </rPh>
    <phoneticPr fontId="5"/>
  </si>
  <si>
    <t>力だけでは何も掴めないという事を！
【！】HPが多いと即死攻撃発動【！】</t>
    <rPh sb="0" eb="1">
      <t>チカラ</t>
    </rPh>
    <rPh sb="5" eb="6">
      <t>ナニモ</t>
    </rPh>
    <rPh sb="7" eb="8">
      <t>ツカメル</t>
    </rPh>
    <rPh sb="14" eb="15">
      <t>コトヲ</t>
    </rPh>
    <phoneticPr fontId="5"/>
  </si>
  <si>
    <t>違うな…今も信じている！</t>
    <rPh sb="0" eb="1">
      <t>チガウナ</t>
    </rPh>
    <rPh sb="4" eb="5">
      <t>イマモ</t>
    </rPh>
    <rPh sb="6" eb="7">
      <t>シンジテイル</t>
    </rPh>
    <phoneticPr fontId="5"/>
  </si>
  <si>
    <t>だからこそ…俺は全力をもってお前に応えよう！</t>
    <rPh sb="6" eb="7">
      <t>オレハ</t>
    </rPh>
    <rPh sb="8" eb="10">
      <t>ゼンリョク</t>
    </rPh>
    <rPh sb="17" eb="18">
      <t>コタエル</t>
    </rPh>
    <phoneticPr fontId="5"/>
  </si>
  <si>
    <t>この勝負、最後まで付き合ってもらうぞ！
【！】HPが多いと即死攻撃発動【！】</t>
    <rPh sb="2" eb="4">
      <t>ショウブ</t>
    </rPh>
    <rPh sb="5" eb="7">
      <t>サイゴマデ</t>
    </rPh>
    <rPh sb="9" eb="10">
      <t>ツキアッテ</t>
    </rPh>
    <phoneticPr fontId="5"/>
  </si>
  <si>
    <t>ペースを上げるぜ…ついてきな！</t>
    <rPh sb="4" eb="5">
      <t>アゲテ</t>
    </rPh>
    <phoneticPr fontId="5"/>
  </si>
  <si>
    <t>[effect:degrade_fever, val:1000, animation:fevergauge_down],[effect:fix_speed,target:myself,turn:1]</t>
    <phoneticPr fontId="5"/>
  </si>
  <si>
    <t>…いいえ　私が会わせはしない！</t>
    <rPh sb="5" eb="6">
      <t>ワタシガ</t>
    </rPh>
    <rPh sb="7" eb="8">
      <t>Outsource</t>
    </rPh>
    <phoneticPr fontId="5"/>
  </si>
  <si>
    <t>unit</t>
    <phoneticPr fontId="5"/>
  </si>
  <si>
    <t>unit</t>
    <phoneticPr fontId="5"/>
  </si>
  <si>
    <t>[effect:force_change_block, new_block:block_heart, target:block_all, ignore01:block_positive, ignore02:block_negative, ignore03:block_heart, count:8, val:0]</t>
    <phoneticPr fontId="5"/>
  </si>
  <si>
    <t>[effect:force_change_block, new_block:jammer, target:block_all, ignore01:block_positive, ignore02:block_negative, count:10, val:0]</t>
    <phoneticPr fontId="5"/>
  </si>
  <si>
    <t>[effect:force_change_block, new_block:jammer, target:block_all, ignore01:block_positive, ignore02:block_negative, count:1, val:0],[effect:rush, count:1, val:0.8]</t>
    <phoneticPr fontId="5"/>
  </si>
  <si>
    <t>[effect:force_change_block, new_block:jammer, target:block_all, ignore01:block_positive, ignore02:block_negative, count:4, val:0]</t>
    <phoneticPr fontId="5"/>
  </si>
  <si>
    <t>[effect:force_change_block, new_block:jammer, target:block_all, ignore01:block_positive, ignore02:block_negative, count:6, val:0]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</si>
</sst>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FF0000"/>
      <name val="ＭＳ Ｐゴシック"/>
      <family val="2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color rgb="FF0433FD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3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69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6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6" fillId="31" borderId="3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6" fillId="31" borderId="11" xfId="0" applyFont="1" applyFill="1" applyBorder="1" applyAlignment="1">
      <alignment vertical="center"/>
    </xf>
    <xf numFmtId="0" fontId="0" fillId="0" borderId="23" xfId="0" applyBorder="1"/>
    <xf numFmtId="0" fontId="27" fillId="0" borderId="23" xfId="0" applyFont="1" applyFill="1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  <xf numFmtId="0" fontId="51" fillId="0" borderId="7" xfId="0" applyFont="1" applyFill="1" applyBorder="1"/>
    <xf numFmtId="0" fontId="51" fillId="0" borderId="23" xfId="0" applyFont="1" applyFill="1" applyBorder="1"/>
    <xf numFmtId="0" fontId="4" fillId="13" borderId="6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horizontal="left" vertical="center"/>
    </xf>
    <xf numFmtId="0" fontId="52" fillId="0" borderId="7" xfId="0" applyFont="1" applyFill="1" applyBorder="1" applyAlignment="1">
      <alignment horizontal="left" vertical="center" wrapText="1"/>
    </xf>
    <xf numFmtId="0" fontId="12" fillId="7" borderId="25" xfId="0" applyFont="1" applyFill="1" applyBorder="1" applyAlignment="1">
      <alignment vertical="center"/>
    </xf>
    <xf numFmtId="176" fontId="4" fillId="0" borderId="26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6" fillId="0" borderId="23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8" fillId="0" borderId="28" xfId="0" applyFont="1" applyBorder="1" applyAlignment="1">
      <alignment vertical="center"/>
    </xf>
    <xf numFmtId="177" fontId="8" fillId="0" borderId="28" xfId="0" applyNumberFormat="1" applyFont="1" applyBorder="1" applyAlignment="1">
      <alignment vertical="center"/>
    </xf>
    <xf numFmtId="0" fontId="6" fillId="13" borderId="26" xfId="0" applyFont="1" applyFill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6" fillId="31" borderId="27" xfId="0" applyFont="1" applyFill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4" fillId="13" borderId="30" xfId="0" applyFont="1" applyFill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12" fillId="7" borderId="31" xfId="0" applyFont="1" applyFill="1" applyBorder="1" applyAlignment="1">
      <alignment vertical="center"/>
    </xf>
    <xf numFmtId="176" fontId="4" fillId="0" borderId="32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8" fillId="0" borderId="34" xfId="0" applyFont="1" applyBorder="1" applyAlignment="1">
      <alignment vertical="center"/>
    </xf>
    <xf numFmtId="177" fontId="8" fillId="0" borderId="34" xfId="0" applyNumberFormat="1" applyFont="1" applyBorder="1" applyAlignment="1">
      <alignment vertical="center"/>
    </xf>
    <xf numFmtId="0" fontId="6" fillId="31" borderId="32" xfId="0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6" fillId="31" borderId="33" xfId="0" applyFont="1" applyFill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4" fillId="13" borderId="23" xfId="0" applyFont="1" applyFill="1" applyBorder="1" applyAlignment="1">
      <alignment vertical="center"/>
    </xf>
    <xf numFmtId="0" fontId="6" fillId="31" borderId="36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52" fillId="0" borderId="23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0" borderId="23" xfId="0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vertical="center"/>
    </xf>
    <xf numFmtId="14" fontId="16" fillId="0" borderId="23" xfId="0" applyNumberFormat="1" applyFont="1" applyFill="1" applyBorder="1" applyAlignment="1">
      <alignment horizontal="left" vertical="center"/>
    </xf>
    <xf numFmtId="0" fontId="6" fillId="13" borderId="32" xfId="0" applyFont="1" applyFill="1" applyBorder="1" applyAlignment="1">
      <alignment vertical="center"/>
    </xf>
    <xf numFmtId="0" fontId="6" fillId="31" borderId="37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53" fillId="0" borderId="7" xfId="0" applyFont="1" applyFill="1" applyBorder="1" applyAlignment="1">
      <alignment horizontal="left" vertical="center" wrapText="1"/>
    </xf>
    <xf numFmtId="0" fontId="54" fillId="0" borderId="7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vertical="center"/>
    </xf>
    <xf numFmtId="0" fontId="16" fillId="0" borderId="38" xfId="0" applyFont="1" applyFill="1" applyBorder="1" applyAlignment="1">
      <alignment vertical="center"/>
    </xf>
    <xf numFmtId="0" fontId="16" fillId="0" borderId="39" xfId="0" applyFont="1" applyFill="1" applyBorder="1" applyAlignment="1">
      <alignment vertical="center"/>
    </xf>
    <xf numFmtId="0" fontId="4" fillId="15" borderId="7" xfId="0" applyFont="1" applyFill="1" applyBorder="1" applyAlignment="1">
      <alignment horizontal="right" vertical="center"/>
    </xf>
    <xf numFmtId="0" fontId="27" fillId="15" borderId="23" xfId="0" applyFont="1" applyFill="1" applyBorder="1"/>
  </cellXfs>
  <cellStyles count="69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赤字強調" xfId="431"/>
    <cellStyle name="青字強調" xfId="43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433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65523</v>
          </cell>
        </row>
        <row r="341">
          <cell r="A341">
            <v>65524</v>
          </cell>
        </row>
        <row r="342">
          <cell r="A342">
            <v>65525</v>
          </cell>
        </row>
        <row r="343">
          <cell r="A343">
            <v>65526</v>
          </cell>
        </row>
        <row r="344">
          <cell r="A344">
            <v>65527</v>
          </cell>
        </row>
        <row r="345">
          <cell r="A345">
            <v>65528</v>
          </cell>
        </row>
        <row r="346">
          <cell r="A346">
            <v>65529</v>
          </cell>
        </row>
        <row r="347">
          <cell r="A347">
            <v>65530</v>
          </cell>
        </row>
        <row r="348">
          <cell r="A348">
            <v>65531</v>
          </cell>
        </row>
        <row r="349">
          <cell r="A349">
            <v>65532</v>
          </cell>
        </row>
        <row r="350">
          <cell r="A350">
            <v>65533</v>
          </cell>
        </row>
        <row r="351">
          <cell r="A351">
            <v>65534</v>
          </cell>
        </row>
        <row r="352">
          <cell r="A352">
            <v>65535</v>
          </cell>
        </row>
        <row r="353">
          <cell r="A353">
            <v>60021</v>
          </cell>
        </row>
        <row r="354">
          <cell r="A354">
            <v>60022</v>
          </cell>
        </row>
        <row r="355">
          <cell r="A355">
            <v>60023</v>
          </cell>
        </row>
        <row r="356">
          <cell r="A35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65523_1</v>
          </cell>
        </row>
        <row r="976">
          <cell r="A976" t="str">
            <v>65524_1</v>
          </cell>
        </row>
        <row r="977">
          <cell r="A977" t="str">
            <v>65525_1</v>
          </cell>
        </row>
        <row r="978">
          <cell r="A978" t="str">
            <v>65526_1</v>
          </cell>
        </row>
        <row r="979">
          <cell r="A979" t="str">
            <v>65526_2</v>
          </cell>
        </row>
        <row r="980">
          <cell r="A980" t="str">
            <v>65527_1</v>
          </cell>
        </row>
        <row r="981">
          <cell r="A981" t="str">
            <v>65528_1</v>
          </cell>
        </row>
        <row r="982">
          <cell r="A982" t="str">
            <v>65529_1</v>
          </cell>
        </row>
        <row r="983">
          <cell r="A983" t="str">
            <v>65530_1</v>
          </cell>
        </row>
        <row r="984">
          <cell r="A984" t="str">
            <v>65531_1</v>
          </cell>
        </row>
        <row r="985">
          <cell r="A985" t="str">
            <v>65531_2</v>
          </cell>
        </row>
        <row r="986">
          <cell r="A986" t="str">
            <v>65532_1</v>
          </cell>
        </row>
        <row r="987">
          <cell r="A987" t="str">
            <v>65532_2</v>
          </cell>
        </row>
        <row r="988">
          <cell r="A988" t="str">
            <v>65533_1</v>
          </cell>
        </row>
        <row r="989">
          <cell r="A989" t="str">
            <v>65533_2</v>
          </cell>
        </row>
        <row r="990">
          <cell r="A990" t="str">
            <v>65534_1</v>
          </cell>
        </row>
        <row r="991">
          <cell r="A991" t="str">
            <v>65534_2</v>
          </cell>
        </row>
        <row r="992">
          <cell r="A992" t="str">
            <v>65535_1</v>
          </cell>
        </row>
        <row r="993">
          <cell r="A993" t="str">
            <v>65535_2</v>
          </cell>
        </row>
        <row r="994">
          <cell r="A994" t="str">
            <v>65535_3</v>
          </cell>
        </row>
        <row r="995">
          <cell r="A995" t="str">
            <v>65535_4</v>
          </cell>
        </row>
        <row r="996">
          <cell r="A996" t="str">
            <v>65535_5</v>
          </cell>
        </row>
        <row r="997">
          <cell r="A997" t="str">
            <v>65535_6</v>
          </cell>
        </row>
        <row r="998">
          <cell r="A998" t="str">
            <v>65535_7</v>
          </cell>
        </row>
        <row r="999">
          <cell r="A999" t="str">
            <v>65535_8</v>
          </cell>
        </row>
        <row r="1000">
          <cell r="A1000" t="str">
            <v>65535_9</v>
          </cell>
        </row>
        <row r="1001">
          <cell r="A100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1551</v>
          </cell>
        </row>
        <row r="1502">
          <cell r="A1502">
            <v>1552</v>
          </cell>
        </row>
        <row r="1503">
          <cell r="A1503">
            <v>1553</v>
          </cell>
        </row>
        <row r="1504">
          <cell r="A1504">
            <v>1554</v>
          </cell>
        </row>
        <row r="1505">
          <cell r="A1505">
            <v>1555</v>
          </cell>
        </row>
        <row r="1506">
          <cell r="A1506">
            <v>1556</v>
          </cell>
        </row>
        <row r="1507">
          <cell r="A1507">
            <v>1557</v>
          </cell>
        </row>
        <row r="1508">
          <cell r="A1508">
            <v>1558</v>
          </cell>
        </row>
        <row r="1509">
          <cell r="A1509">
            <v>1559</v>
          </cell>
        </row>
        <row r="1510">
          <cell r="A1510">
            <v>1560</v>
          </cell>
        </row>
        <row r="1511">
          <cell r="A1511">
            <v>1561</v>
          </cell>
        </row>
        <row r="1512">
          <cell r="A1512">
            <v>1562</v>
          </cell>
        </row>
        <row r="1513">
          <cell r="A1513">
            <v>1563</v>
          </cell>
        </row>
        <row r="1514">
          <cell r="A1514">
            <v>1564</v>
          </cell>
        </row>
        <row r="1515">
          <cell r="A1515">
            <v>1565</v>
          </cell>
        </row>
        <row r="1516">
          <cell r="A1516">
            <v>1566</v>
          </cell>
        </row>
        <row r="1517">
          <cell r="A1517">
            <v>1567</v>
          </cell>
        </row>
        <row r="1518">
          <cell r="A1518">
            <v>1568</v>
          </cell>
        </row>
        <row r="1519">
          <cell r="A1519">
            <v>1569</v>
          </cell>
        </row>
        <row r="1520">
          <cell r="A1520">
            <v>1570</v>
          </cell>
        </row>
        <row r="1521">
          <cell r="A1521">
            <v>1571</v>
          </cell>
        </row>
        <row r="1522">
          <cell r="A1522">
            <v>1572</v>
          </cell>
        </row>
        <row r="1523">
          <cell r="A1523">
            <v>1573</v>
          </cell>
        </row>
        <row r="1524">
          <cell r="A1524">
            <v>1574</v>
          </cell>
        </row>
        <row r="1525">
          <cell r="A1525">
            <v>1575</v>
          </cell>
        </row>
        <row r="1526">
          <cell r="A1526">
            <v>1576</v>
          </cell>
        </row>
        <row r="1527">
          <cell r="A1527">
            <v>1577</v>
          </cell>
        </row>
        <row r="1528">
          <cell r="A1528">
            <v>1578</v>
          </cell>
        </row>
        <row r="1529">
          <cell r="A1529">
            <v>1579</v>
          </cell>
        </row>
        <row r="1530">
          <cell r="A1530">
            <v>1580</v>
          </cell>
        </row>
        <row r="1531">
          <cell r="A1531">
            <v>1581</v>
          </cell>
        </row>
        <row r="1532">
          <cell r="A1532">
            <v>1582</v>
          </cell>
        </row>
        <row r="1533">
          <cell r="A1533">
            <v>1583</v>
          </cell>
        </row>
        <row r="1534">
          <cell r="A1534">
            <v>1584</v>
          </cell>
        </row>
        <row r="1535">
          <cell r="A1535">
            <v>1585</v>
          </cell>
        </row>
        <row r="1536">
          <cell r="A1536">
            <v>1586</v>
          </cell>
        </row>
        <row r="1537">
          <cell r="A1537">
            <v>1587</v>
          </cell>
        </row>
        <row r="1538">
          <cell r="A1538">
            <v>1588</v>
          </cell>
        </row>
        <row r="1539">
          <cell r="A1539">
            <v>5001</v>
          </cell>
        </row>
        <row r="1540">
          <cell r="A1540">
            <v>5002</v>
          </cell>
        </row>
        <row r="1541">
          <cell r="A1541">
            <v>5003</v>
          </cell>
        </row>
        <row r="1542">
          <cell r="A1542">
            <v>5004</v>
          </cell>
        </row>
        <row r="1543">
          <cell r="A1543">
            <v>5005</v>
          </cell>
        </row>
        <row r="1544">
          <cell r="A1544">
            <v>5006</v>
          </cell>
        </row>
        <row r="1545">
          <cell r="A1545">
            <v>5007</v>
          </cell>
        </row>
        <row r="1546">
          <cell r="A1546">
            <v>5008</v>
          </cell>
        </row>
        <row r="1547">
          <cell r="A1547">
            <v>6001</v>
          </cell>
        </row>
        <row r="1548">
          <cell r="A1548">
            <v>6002</v>
          </cell>
        </row>
        <row r="1549">
          <cell r="A1549">
            <v>6003</v>
          </cell>
        </row>
        <row r="1550">
          <cell r="A1550">
            <v>6004</v>
          </cell>
        </row>
        <row r="1551">
          <cell r="A1551">
            <v>6005</v>
          </cell>
        </row>
        <row r="1552">
          <cell r="A1552">
            <v>6006</v>
          </cell>
        </row>
        <row r="1553">
          <cell r="A1553">
            <v>6007</v>
          </cell>
        </row>
        <row r="1554">
          <cell r="A1554">
            <v>6008</v>
          </cell>
        </row>
        <row r="1555">
          <cell r="A1555">
            <v>6009</v>
          </cell>
        </row>
        <row r="1556">
          <cell r="A1556">
            <v>6010</v>
          </cell>
        </row>
        <row r="1557">
          <cell r="A1557">
            <v>6011</v>
          </cell>
        </row>
        <row r="1558">
          <cell r="A1558">
            <v>6012</v>
          </cell>
        </row>
        <row r="1559">
          <cell r="A1559">
            <v>6013</v>
          </cell>
        </row>
        <row r="1560">
          <cell r="A1560">
            <v>6014</v>
          </cell>
        </row>
        <row r="1561">
          <cell r="A1561">
            <v>6015</v>
          </cell>
        </row>
        <row r="1562">
          <cell r="A1562">
            <v>6016</v>
          </cell>
        </row>
        <row r="1563">
          <cell r="A1563">
            <v>6017</v>
          </cell>
        </row>
        <row r="1564">
          <cell r="A1564">
            <v>6018</v>
          </cell>
        </row>
        <row r="1565">
          <cell r="A1565">
            <v>6019</v>
          </cell>
        </row>
        <row r="1566">
          <cell r="A1566">
            <v>6020</v>
          </cell>
        </row>
        <row r="1567">
          <cell r="A1567">
            <v>8001</v>
          </cell>
        </row>
        <row r="1568">
          <cell r="A1568">
            <v>8002</v>
          </cell>
        </row>
        <row r="1569">
          <cell r="A1569">
            <v>8003</v>
          </cell>
        </row>
        <row r="1570">
          <cell r="A1570">
            <v>8004</v>
          </cell>
        </row>
        <row r="1571">
          <cell r="A1571">
            <v>8005</v>
          </cell>
        </row>
        <row r="1572">
          <cell r="A1572">
            <v>8006</v>
          </cell>
        </row>
        <row r="1573">
          <cell r="A1573">
            <v>8007</v>
          </cell>
        </row>
        <row r="1574">
          <cell r="A1574">
            <v>8008</v>
          </cell>
        </row>
        <row r="1575">
          <cell r="A1575">
            <v>8009</v>
          </cell>
        </row>
        <row r="1576">
          <cell r="A1576">
            <v>8010</v>
          </cell>
        </row>
        <row r="1577">
          <cell r="A1577">
            <v>8011</v>
          </cell>
        </row>
        <row r="1578">
          <cell r="A1578">
            <v>8012</v>
          </cell>
        </row>
        <row r="1579">
          <cell r="A1579">
            <v>8013</v>
          </cell>
        </row>
        <row r="1580">
          <cell r="A1580">
            <v>8014</v>
          </cell>
        </row>
        <row r="1581">
          <cell r="A1581">
            <v>8015</v>
          </cell>
        </row>
        <row r="1582">
          <cell r="A1582">
            <v>8016</v>
          </cell>
        </row>
        <row r="1583">
          <cell r="A1583">
            <v>8017</v>
          </cell>
        </row>
        <row r="1584">
          <cell r="A1584">
            <v>8018</v>
          </cell>
        </row>
        <row r="1585">
          <cell r="A1585">
            <v>8019</v>
          </cell>
        </row>
        <row r="1586">
          <cell r="A1586">
            <v>8020</v>
          </cell>
        </row>
        <row r="1587">
          <cell r="A1587">
            <v>8021</v>
          </cell>
        </row>
        <row r="1588">
          <cell r="A1588">
            <v>8022</v>
          </cell>
        </row>
        <row r="1589">
          <cell r="A1589">
            <v>8023</v>
          </cell>
        </row>
        <row r="1590">
          <cell r="A1590">
            <v>8024</v>
          </cell>
        </row>
        <row r="1591">
          <cell r="A1591">
            <v>8025</v>
          </cell>
        </row>
        <row r="1592">
          <cell r="A1592">
            <v>8026</v>
          </cell>
        </row>
        <row r="1593">
          <cell r="A1593">
            <v>8027</v>
          </cell>
        </row>
        <row r="1594">
          <cell r="A1594">
            <v>8028</v>
          </cell>
        </row>
        <row r="1595">
          <cell r="A1595">
            <v>8029</v>
          </cell>
        </row>
        <row r="1596">
          <cell r="A1596">
            <v>8030</v>
          </cell>
        </row>
        <row r="1597">
          <cell r="A1597">
            <v>8031</v>
          </cell>
        </row>
        <row r="1598">
          <cell r="A1598">
            <v>8032</v>
          </cell>
        </row>
        <row r="1599">
          <cell r="A1599">
            <v>8033</v>
          </cell>
        </row>
        <row r="1600">
          <cell r="A1600">
            <v>8034</v>
          </cell>
        </row>
        <row r="1601">
          <cell r="A1601">
            <v>8035</v>
          </cell>
        </row>
        <row r="1602">
          <cell r="A1602">
            <v>8036</v>
          </cell>
        </row>
        <row r="1603">
          <cell r="A1603">
            <v>8037</v>
          </cell>
        </row>
        <row r="1604">
          <cell r="A1604">
            <v>8038</v>
          </cell>
        </row>
        <row r="1605">
          <cell r="A1605">
            <v>8039</v>
          </cell>
        </row>
        <row r="1606">
          <cell r="A1606">
            <v>8040</v>
          </cell>
        </row>
        <row r="1607">
          <cell r="A1607">
            <v>8041</v>
          </cell>
        </row>
        <row r="1608">
          <cell r="A1608">
            <v>8042</v>
          </cell>
        </row>
        <row r="1609">
          <cell r="A1609">
            <v>8043</v>
          </cell>
        </row>
        <row r="1610">
          <cell r="A1610">
            <v>8044</v>
          </cell>
        </row>
        <row r="1611">
          <cell r="A1611">
            <v>8045</v>
          </cell>
        </row>
        <row r="1612">
          <cell r="A1612">
            <v>8046</v>
          </cell>
        </row>
        <row r="1613">
          <cell r="A1613">
            <v>8047</v>
          </cell>
        </row>
        <row r="1614">
          <cell r="A1614">
            <v>8048</v>
          </cell>
        </row>
        <row r="1615">
          <cell r="A1615">
            <v>8049</v>
          </cell>
        </row>
        <row r="1616">
          <cell r="A1616">
            <v>8050</v>
          </cell>
        </row>
        <row r="1617">
          <cell r="A1617">
            <v>8051</v>
          </cell>
        </row>
        <row r="1618">
          <cell r="A1618">
            <v>8052</v>
          </cell>
        </row>
        <row r="1619">
          <cell r="A1619">
            <v>8053</v>
          </cell>
        </row>
        <row r="1620">
          <cell r="A1620">
            <v>8054</v>
          </cell>
        </row>
        <row r="1621">
          <cell r="A1621">
            <v>8055</v>
          </cell>
        </row>
        <row r="1622">
          <cell r="A1622">
            <v>8056</v>
          </cell>
        </row>
        <row r="1623">
          <cell r="A1623">
            <v>8057</v>
          </cell>
        </row>
        <row r="1624">
          <cell r="A1624">
            <v>8058</v>
          </cell>
        </row>
        <row r="1625">
          <cell r="A1625">
            <v>8059</v>
          </cell>
        </row>
        <row r="1626">
          <cell r="A1626">
            <v>8060</v>
          </cell>
        </row>
        <row r="1627">
          <cell r="A1627">
            <v>8061</v>
          </cell>
        </row>
        <row r="1628">
          <cell r="A1628">
            <v>8062</v>
          </cell>
        </row>
        <row r="1629">
          <cell r="A1629">
            <v>8063</v>
          </cell>
        </row>
        <row r="1630">
          <cell r="A1630">
            <v>8064</v>
          </cell>
        </row>
        <row r="1631">
          <cell r="A1631">
            <v>8065</v>
          </cell>
        </row>
        <row r="1632">
          <cell r="A1632">
            <v>8066</v>
          </cell>
        </row>
        <row r="1633">
          <cell r="A1633">
            <v>8067</v>
          </cell>
        </row>
        <row r="1634">
          <cell r="A1634">
            <v>8068</v>
          </cell>
        </row>
        <row r="1635">
          <cell r="A1635">
            <v>8069</v>
          </cell>
        </row>
        <row r="1636">
          <cell r="A1636">
            <v>8070</v>
          </cell>
        </row>
        <row r="1637">
          <cell r="A1637">
            <v>8071</v>
          </cell>
        </row>
        <row r="1638">
          <cell r="A1638">
            <v>8072</v>
          </cell>
        </row>
        <row r="1639">
          <cell r="A1639">
            <v>8073</v>
          </cell>
        </row>
        <row r="1640">
          <cell r="A1640">
            <v>8074</v>
          </cell>
        </row>
        <row r="1641">
          <cell r="A1641">
            <v>8075</v>
          </cell>
        </row>
        <row r="1642">
          <cell r="A1642">
            <v>8076</v>
          </cell>
        </row>
        <row r="1643">
          <cell r="A1643">
            <v>8077</v>
          </cell>
        </row>
        <row r="1644">
          <cell r="A1644">
            <v>8078</v>
          </cell>
        </row>
        <row r="1645">
          <cell r="A1645">
            <v>8079</v>
          </cell>
        </row>
        <row r="1646">
          <cell r="A1646">
            <v>8080</v>
          </cell>
        </row>
        <row r="1647">
          <cell r="A1647">
            <v>8081</v>
          </cell>
        </row>
        <row r="1648">
          <cell r="A1648">
            <v>8082</v>
          </cell>
        </row>
        <row r="1649">
          <cell r="A1649">
            <v>8083</v>
          </cell>
        </row>
        <row r="1650">
          <cell r="A1650">
            <v>8084</v>
          </cell>
        </row>
        <row r="1651">
          <cell r="A1651">
            <v>8085</v>
          </cell>
        </row>
        <row r="1652">
          <cell r="A1652">
            <v>8086</v>
          </cell>
        </row>
        <row r="1653">
          <cell r="A1653">
            <v>8087</v>
          </cell>
        </row>
        <row r="1654">
          <cell r="A1654">
            <v>8088</v>
          </cell>
        </row>
        <row r="1655">
          <cell r="A1655">
            <v>8089</v>
          </cell>
        </row>
        <row r="1656">
          <cell r="A1656">
            <v>8090</v>
          </cell>
        </row>
        <row r="1657">
          <cell r="A1657">
            <v>8095</v>
          </cell>
        </row>
        <row r="1658">
          <cell r="A1658">
            <v>8096</v>
          </cell>
        </row>
        <row r="1659">
          <cell r="A1659">
            <v>8097</v>
          </cell>
        </row>
        <row r="1660">
          <cell r="A1660">
            <v>8098</v>
          </cell>
        </row>
        <row r="1661">
          <cell r="A1661">
            <v>8099</v>
          </cell>
        </row>
        <row r="1662">
          <cell r="A1662">
            <v>8100</v>
          </cell>
        </row>
        <row r="1663">
          <cell r="A1663">
            <v>8101</v>
          </cell>
        </row>
        <row r="1664">
          <cell r="A1664">
            <v>8102</v>
          </cell>
        </row>
        <row r="1665">
          <cell r="A1665">
            <v>8103</v>
          </cell>
        </row>
        <row r="1666">
          <cell r="A1666">
            <v>8104</v>
          </cell>
        </row>
        <row r="1667">
          <cell r="A1667">
            <v>8105</v>
          </cell>
        </row>
        <row r="1668">
          <cell r="A1668">
            <v>8106</v>
          </cell>
        </row>
        <row r="1669">
          <cell r="A1669">
            <v>9001</v>
          </cell>
        </row>
        <row r="1670">
          <cell r="A1670">
            <v>9002</v>
          </cell>
        </row>
        <row r="1671">
          <cell r="A1671">
            <v>9003</v>
          </cell>
        </row>
        <row r="1672">
          <cell r="A1672">
            <v>9004</v>
          </cell>
        </row>
        <row r="1673">
          <cell r="A1673">
            <v>9005</v>
          </cell>
        </row>
        <row r="1674">
          <cell r="A1674">
            <v>9006</v>
          </cell>
        </row>
        <row r="1675">
          <cell r="A1675">
            <v>9007</v>
          </cell>
        </row>
        <row r="1676">
          <cell r="A1676">
            <v>9008</v>
          </cell>
        </row>
        <row r="1677">
          <cell r="A1677">
            <v>10001</v>
          </cell>
        </row>
        <row r="1678">
          <cell r="A1678">
            <v>10002</v>
          </cell>
        </row>
        <row r="1679">
          <cell r="A1679">
            <v>10003</v>
          </cell>
        </row>
        <row r="1680">
          <cell r="A1680">
            <v>10004</v>
          </cell>
        </row>
        <row r="1681">
          <cell r="A1681">
            <v>10005</v>
          </cell>
        </row>
        <row r="1682">
          <cell r="A1682">
            <v>10006</v>
          </cell>
        </row>
        <row r="1683">
          <cell r="A1683">
            <v>10007</v>
          </cell>
        </row>
        <row r="1684">
          <cell r="A1684">
            <v>10008</v>
          </cell>
        </row>
        <row r="1685">
          <cell r="A1685">
            <v>10009</v>
          </cell>
        </row>
        <row r="1686">
          <cell r="A1686">
            <v>10010</v>
          </cell>
        </row>
        <row r="1687">
          <cell r="A1687">
            <v>10011</v>
          </cell>
        </row>
        <row r="1688">
          <cell r="A1688">
            <v>10012</v>
          </cell>
        </row>
        <row r="1689">
          <cell r="A1689">
            <v>10013</v>
          </cell>
        </row>
        <row r="1690">
          <cell r="A1690">
            <v>10014</v>
          </cell>
        </row>
        <row r="1691">
          <cell r="A1691">
            <v>10015</v>
          </cell>
        </row>
        <row r="1692">
          <cell r="A1692">
            <v>10016</v>
          </cell>
        </row>
        <row r="1693">
          <cell r="A1693">
            <v>10017</v>
          </cell>
        </row>
        <row r="1694">
          <cell r="A1694">
            <v>10018</v>
          </cell>
        </row>
        <row r="1695">
          <cell r="A1695">
            <v>10019</v>
          </cell>
        </row>
        <row r="1696">
          <cell r="A1696">
            <v>10020</v>
          </cell>
        </row>
        <row r="1697">
          <cell r="A1697">
            <v>10021</v>
          </cell>
        </row>
        <row r="1698">
          <cell r="A1698">
            <v>10022</v>
          </cell>
        </row>
        <row r="1699">
          <cell r="A1699">
            <v>10023</v>
          </cell>
        </row>
        <row r="1700">
          <cell r="A1700">
            <v>10024</v>
          </cell>
        </row>
        <row r="1701">
          <cell r="A1701">
            <v>10025</v>
          </cell>
        </row>
        <row r="1702">
          <cell r="A1702">
            <v>10026</v>
          </cell>
        </row>
        <row r="1703">
          <cell r="A1703">
            <v>10027</v>
          </cell>
        </row>
        <row r="1704">
          <cell r="A1704">
            <v>10028</v>
          </cell>
        </row>
        <row r="1705">
          <cell r="A1705">
            <v>10029</v>
          </cell>
        </row>
        <row r="1706">
          <cell r="A1706">
            <v>10030</v>
          </cell>
        </row>
        <row r="1707">
          <cell r="A1707">
            <v>10031</v>
          </cell>
        </row>
        <row r="1708">
          <cell r="A1708">
            <v>10032</v>
          </cell>
        </row>
        <row r="1709">
          <cell r="A1709">
            <v>10033</v>
          </cell>
        </row>
        <row r="1710">
          <cell r="A1710">
            <v>10034</v>
          </cell>
        </row>
        <row r="1711">
          <cell r="A1711">
            <v>10035</v>
          </cell>
        </row>
        <row r="1712">
          <cell r="A1712">
            <v>10036</v>
          </cell>
        </row>
        <row r="1713">
          <cell r="A1713">
            <v>10037</v>
          </cell>
        </row>
        <row r="1714">
          <cell r="A1714">
            <v>10038</v>
          </cell>
        </row>
        <row r="1715">
          <cell r="A1715">
            <v>10039</v>
          </cell>
        </row>
        <row r="1716">
          <cell r="A1716">
            <v>10040</v>
          </cell>
        </row>
        <row r="1717">
          <cell r="A1717">
            <v>10041</v>
          </cell>
        </row>
        <row r="1718">
          <cell r="A1718">
            <v>10042</v>
          </cell>
        </row>
        <row r="1719">
          <cell r="A1719">
            <v>10043</v>
          </cell>
        </row>
        <row r="1720">
          <cell r="A1720">
            <v>10044</v>
          </cell>
        </row>
        <row r="1721">
          <cell r="A1721">
            <v>10045</v>
          </cell>
        </row>
        <row r="1722">
          <cell r="A1722">
            <v>10046</v>
          </cell>
        </row>
        <row r="1723">
          <cell r="A1723">
            <v>10047</v>
          </cell>
        </row>
        <row r="1724">
          <cell r="A1724">
            <v>10048</v>
          </cell>
        </row>
        <row r="1725">
          <cell r="A1725">
            <v>10049</v>
          </cell>
        </row>
        <row r="1726">
          <cell r="A1726">
            <v>10050</v>
          </cell>
        </row>
        <row r="1727">
          <cell r="A1727">
            <v>10051</v>
          </cell>
        </row>
        <row r="1728">
          <cell r="A1728">
            <v>10052</v>
          </cell>
        </row>
        <row r="1729">
          <cell r="A1729">
            <v>10053</v>
          </cell>
        </row>
        <row r="1730">
          <cell r="A1730">
            <v>10054</v>
          </cell>
        </row>
        <row r="1731">
          <cell r="A1731">
            <v>10055</v>
          </cell>
        </row>
        <row r="1732">
          <cell r="A1732">
            <v>10056</v>
          </cell>
        </row>
        <row r="1733">
          <cell r="A1733">
            <v>10057</v>
          </cell>
        </row>
        <row r="1734">
          <cell r="A1734">
            <v>10058</v>
          </cell>
        </row>
        <row r="1735">
          <cell r="A1735">
            <v>10059</v>
          </cell>
        </row>
        <row r="1736">
          <cell r="A1736">
            <v>10060</v>
          </cell>
        </row>
        <row r="1737">
          <cell r="A1737">
            <v>10061</v>
          </cell>
        </row>
        <row r="1738">
          <cell r="A1738">
            <v>10062</v>
          </cell>
        </row>
        <row r="1739">
          <cell r="A1739">
            <v>10063</v>
          </cell>
        </row>
        <row r="1740">
          <cell r="A1740">
            <v>10064</v>
          </cell>
        </row>
        <row r="1741">
          <cell r="A1741">
            <v>10065</v>
          </cell>
        </row>
        <row r="1742">
          <cell r="A1742">
            <v>10066</v>
          </cell>
        </row>
        <row r="1743">
          <cell r="A1743">
            <v>10067</v>
          </cell>
        </row>
        <row r="1744">
          <cell r="A1744">
            <v>10068</v>
          </cell>
        </row>
        <row r="1745">
          <cell r="A1745">
            <v>10069</v>
          </cell>
        </row>
        <row r="1746">
          <cell r="A1746">
            <v>10070</v>
          </cell>
        </row>
        <row r="1747">
          <cell r="A1747">
            <v>10071</v>
          </cell>
        </row>
        <row r="1748">
          <cell r="A1748">
            <v>10072</v>
          </cell>
        </row>
        <row r="1749">
          <cell r="A1749">
            <v>10073</v>
          </cell>
        </row>
        <row r="1750">
          <cell r="A1750">
            <v>10074</v>
          </cell>
        </row>
        <row r="1751">
          <cell r="A1751">
            <v>10075</v>
          </cell>
        </row>
        <row r="1752">
          <cell r="A1752">
            <v>10076</v>
          </cell>
        </row>
        <row r="1753">
          <cell r="A1753">
            <v>10077</v>
          </cell>
        </row>
        <row r="1754">
          <cell r="A1754">
            <v>10078</v>
          </cell>
        </row>
        <row r="1755">
          <cell r="A1755">
            <v>10079</v>
          </cell>
        </row>
        <row r="1756">
          <cell r="A1756">
            <v>10080</v>
          </cell>
        </row>
        <row r="1757">
          <cell r="A1757">
            <v>10081</v>
          </cell>
        </row>
        <row r="1758">
          <cell r="A1758">
            <v>10082</v>
          </cell>
        </row>
        <row r="1759">
          <cell r="A1759">
            <v>10083</v>
          </cell>
        </row>
        <row r="1760">
          <cell r="A1760">
            <v>10084</v>
          </cell>
        </row>
        <row r="1761">
          <cell r="A1761">
            <v>10085</v>
          </cell>
        </row>
        <row r="1762">
          <cell r="A1762">
            <v>10086</v>
          </cell>
        </row>
        <row r="1763">
          <cell r="A1763">
            <v>10087</v>
          </cell>
        </row>
        <row r="1764">
          <cell r="A1764">
            <v>10088</v>
          </cell>
        </row>
        <row r="1765">
          <cell r="A1765">
            <v>10089</v>
          </cell>
        </row>
        <row r="1766">
          <cell r="A1766">
            <v>10090</v>
          </cell>
        </row>
        <row r="1767">
          <cell r="A1767">
            <v>10101</v>
          </cell>
        </row>
        <row r="1768">
          <cell r="A1768">
            <v>10102</v>
          </cell>
        </row>
        <row r="1769">
          <cell r="A176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G28" sqref="G2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213</v>
      </c>
      <c r="B2" s="57" t="s">
        <v>107</v>
      </c>
      <c r="C2" s="62">
        <v>41006</v>
      </c>
      <c r="D2" s="57" t="s">
        <v>108</v>
      </c>
      <c r="E2" s="56" t="str">
        <f>B2&amp;C2&amp;D2</f>
        <v>floors_41006.tmp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213</v>
      </c>
      <c r="B3" s="57" t="s">
        <v>110</v>
      </c>
      <c r="C3" s="62">
        <f>C$2</f>
        <v>41006</v>
      </c>
      <c r="D3" s="57" t="s">
        <v>108</v>
      </c>
      <c r="E3" s="56" t="str">
        <f>B3&amp;C3&amp;D3</f>
        <v>enemy_habitats_41006.tmp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213</v>
      </c>
      <c r="B4" s="57" t="s">
        <v>112</v>
      </c>
      <c r="C4" s="62">
        <f t="shared" ref="C4:C12" si="0">C$2</f>
        <v>41006</v>
      </c>
      <c r="D4" s="57" t="s">
        <v>108</v>
      </c>
      <c r="E4" s="56" t="str">
        <f>B4&amp;C4&amp;D4</f>
        <v>enemy_habitat_S_41006.tmp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213</v>
      </c>
      <c r="B5" s="57" t="s">
        <v>114</v>
      </c>
      <c r="C5" s="62">
        <f t="shared" si="0"/>
        <v>41006</v>
      </c>
      <c r="D5" s="57" t="s">
        <v>108</v>
      </c>
      <c r="E5" s="56" t="str">
        <f>B5&amp;C5&amp;D5</f>
        <v>enemy_skill_sets_41006.tmp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213</v>
      </c>
      <c r="B6" s="57" t="s">
        <v>116</v>
      </c>
      <c r="C6" s="62">
        <f t="shared" si="0"/>
        <v>41006</v>
      </c>
      <c r="D6" s="57" t="s">
        <v>117</v>
      </c>
      <c r="E6" s="56" t="str">
        <f t="shared" ref="E6:E10" si="1">B6&amp;C6&amp;D6</f>
        <v>enemy_skills_tmp_41006.tmp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213</v>
      </c>
      <c r="B7" s="57" t="s">
        <v>118</v>
      </c>
      <c r="C7" s="62">
        <f t="shared" si="0"/>
        <v>41006</v>
      </c>
      <c r="D7" s="57" t="s">
        <v>108</v>
      </c>
      <c r="E7" s="56" t="str">
        <f>B7&amp;C7&amp;D7</f>
        <v>enemy_skills_i18n_41006.tmp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213</v>
      </c>
      <c r="B8" s="57" t="s">
        <v>120</v>
      </c>
      <c r="C8" s="62">
        <f t="shared" si="0"/>
        <v>41006</v>
      </c>
      <c r="D8" s="57" t="s">
        <v>121</v>
      </c>
      <c r="E8" s="56" t="str">
        <f t="shared" si="1"/>
        <v>enemy_skill_triggers_41006.tmp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213</v>
      </c>
      <c r="B9" s="67" t="s">
        <v>177</v>
      </c>
      <c r="C9" s="62">
        <f t="shared" si="0"/>
        <v>41006</v>
      </c>
      <c r="D9" s="67" t="s">
        <v>171</v>
      </c>
      <c r="E9" s="68" t="str">
        <f t="shared" si="1"/>
        <v>stage_bug_bonuses_41006.tmp</v>
      </c>
      <c r="F9" s="67" t="s">
        <v>172</v>
      </c>
      <c r="G9" s="64" t="s">
        <v>150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</row>
    <row r="10" spans="1:30" s="75" customFormat="1" x14ac:dyDescent="0.15">
      <c r="A10" s="61" t="s">
        <v>213</v>
      </c>
      <c r="B10" s="67" t="s">
        <v>201</v>
      </c>
      <c r="C10" s="62">
        <f>C$2</f>
        <v>41006</v>
      </c>
      <c r="D10" s="67" t="s">
        <v>180</v>
      </c>
      <c r="E10" s="68" t="str">
        <f t="shared" si="1"/>
        <v>stage_hints_data_c_41006.tmp</v>
      </c>
      <c r="F10" s="67" t="s">
        <v>209</v>
      </c>
      <c r="G10" s="72" t="s">
        <v>181</v>
      </c>
      <c r="H10" s="72" t="s">
        <v>173</v>
      </c>
      <c r="I10" s="73" t="s">
        <v>182</v>
      </c>
      <c r="J10" s="66" t="s">
        <v>183</v>
      </c>
      <c r="K10" s="74" t="s">
        <v>184</v>
      </c>
    </row>
    <row r="11" spans="1:30" s="75" customFormat="1" x14ac:dyDescent="0.15">
      <c r="A11" s="61" t="s">
        <v>213</v>
      </c>
      <c r="B11" s="67" t="s">
        <v>202</v>
      </c>
      <c r="C11" s="62">
        <f t="shared" si="0"/>
        <v>41006</v>
      </c>
      <c r="D11" s="67" t="s">
        <v>171</v>
      </c>
      <c r="E11" s="68" t="str">
        <f t="shared" ref="E11:E12" si="2">B11&amp;C11&amp;D11</f>
        <v>stage_hints_data_f_41006.tmp</v>
      </c>
      <c r="F11" s="67" t="s">
        <v>211</v>
      </c>
      <c r="G11" s="72" t="s">
        <v>181</v>
      </c>
      <c r="H11" s="72" t="s">
        <v>173</v>
      </c>
      <c r="I11" s="73" t="s">
        <v>182</v>
      </c>
      <c r="J11" s="66" t="s">
        <v>183</v>
      </c>
      <c r="K11" s="74" t="s">
        <v>184</v>
      </c>
    </row>
    <row r="12" spans="1:30" s="75" customFormat="1" x14ac:dyDescent="0.15">
      <c r="A12" s="61" t="s">
        <v>213</v>
      </c>
      <c r="B12" s="67" t="s">
        <v>203</v>
      </c>
      <c r="C12" s="62">
        <f t="shared" si="0"/>
        <v>41006</v>
      </c>
      <c r="D12" s="67" t="s">
        <v>171</v>
      </c>
      <c r="E12" s="68" t="str">
        <f t="shared" si="2"/>
        <v>stage_hints_i18n_41006.tmp</v>
      </c>
      <c r="F12" s="67" t="s">
        <v>212</v>
      </c>
      <c r="G12" s="73" t="s">
        <v>204</v>
      </c>
      <c r="H12" s="95" t="s">
        <v>205</v>
      </c>
      <c r="I12" s="72" t="s">
        <v>206</v>
      </c>
      <c r="J12" s="96" t="s">
        <v>207</v>
      </c>
      <c r="K12" s="74" t="s">
        <v>208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G6" sqref="G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3" si="0">G2&amp;"-"&amp;I2</f>
        <v>41006_1-1</v>
      </c>
      <c r="B2" s="16" t="str">
        <f>IF(COUNTIF(enemy_habitats!$H:$H,A2),"OK","NG")</f>
        <v>OK</v>
      </c>
      <c r="C2" s="7">
        <v>41006</v>
      </c>
      <c r="D2" s="11" t="str">
        <f ca="1">VLOOKUP($C2,OFFSET([2]quests!$A$1,0,0,COUNTA([2]quests!$A:$A),MATCH(D$1,[2]quests!$1:$1,0)-MATCH($C$1,[2]quests!$1:$1,0)+1),MATCH(D$1,[2]quests!$1:$1,0)-MATCH($C$1,[2]quests!$1:$1,0)+1,FALSE)</f>
        <v>アーサー襲来！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</v>
      </c>
      <c r="F2" s="21">
        <v>1</v>
      </c>
      <c r="G2" s="23" t="str">
        <f t="shared" ref="G2:G13" si="1">C2&amp;"_"&amp;F2</f>
        <v>41006_1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【超絶級】アーサー襲来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41006_1-2</v>
      </c>
      <c r="B3" s="16" t="str">
        <f>IF(COUNTIF(enemy_habitats!$H:$H,A3),"OK","NG")</f>
        <v>OK</v>
      </c>
      <c r="C3" s="7">
        <v>41006</v>
      </c>
      <c r="D3" s="11" t="str">
        <f ca="1">VLOOKUP($C3,OFFSET([2]quests!$A$1,0,0,COUNTA([2]quests!$A:$A),MATCH(D$1,[2]quests!$1:$1,0)-MATCH($C$1,[2]quests!$1:$1,0)+1),MATCH(D$1,[2]quests!$1:$1,0)-MATCH($C$1,[2]quests!$1:$1,0)+1,FALSE)</f>
        <v>アーサー襲来！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</v>
      </c>
      <c r="F3" s="21">
        <v>1</v>
      </c>
      <c r="G3" s="23" t="str">
        <f t="shared" si="1"/>
        <v>41006_1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【超絶級】アーサー襲来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41006_1-3</v>
      </c>
      <c r="B4" s="16" t="str">
        <f>IF(COUNTIF(enemy_habitats!$H:$H,A4),"OK","NG")</f>
        <v>OK</v>
      </c>
      <c r="C4" s="7">
        <v>41006</v>
      </c>
      <c r="D4" s="11" t="str">
        <f ca="1">VLOOKUP($C4,OFFSET([2]quests!$A$1,0,0,COUNTA([2]quests!$A:$A),MATCH(D$1,[2]quests!$1:$1,0)-MATCH($C$1,[2]quests!$1:$1,0)+1),MATCH(D$1,[2]quests!$1:$1,0)-MATCH($C$1,[2]quests!$1:$1,0)+1,FALSE)</f>
        <v>アーサー襲来！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降臨1</v>
      </c>
      <c r="F4" s="21">
        <v>1</v>
      </c>
      <c r="G4" s="23" t="str">
        <f t="shared" si="1"/>
        <v>41006_1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【超絶級】アーサー襲来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41006_1-4</v>
      </c>
      <c r="B5" s="16" t="str">
        <f>IF(COUNTIF(enemy_habitats!$H:$H,A5),"OK","NG")</f>
        <v>OK</v>
      </c>
      <c r="C5" s="7">
        <v>41006</v>
      </c>
      <c r="D5" s="11" t="str">
        <f ca="1">VLOOKUP($C5,OFFSET([2]quests!$A$1,0,0,COUNTA([2]quests!$A:$A),MATCH(D$1,[2]quests!$1:$1,0)-MATCH($C$1,[2]quests!$1:$1,0)+1),MATCH(D$1,[2]quests!$1:$1,0)-MATCH($C$1,[2]quests!$1:$1,0)+1,FALSE)</f>
        <v>アーサー襲来！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降臨1</v>
      </c>
      <c r="F5" s="21">
        <v>1</v>
      </c>
      <c r="G5" s="23" t="str">
        <f t="shared" si="1"/>
        <v>41006_1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【超絶級】アーサー襲来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ref="A6:A9" si="2">G6&amp;"-"&amp;I6</f>
        <v>41006_2-1</v>
      </c>
      <c r="B6" s="16" t="str">
        <f>IF(COUNTIF(enemy_habitats!$H:$H,A6),"OK","NG")</f>
        <v>OK</v>
      </c>
      <c r="C6" s="7">
        <v>41006</v>
      </c>
      <c r="D6" s="11" t="str">
        <f ca="1">VLOOKUP($C6,OFFSET([2]quests!$A$1,0,0,COUNTA([2]quests!$A:$A),MATCH(D$1,[2]quests!$1:$1,0)-MATCH($C$1,[2]quests!$1:$1,0)+1),MATCH(D$1,[2]quests!$1:$1,0)-MATCH($C$1,[2]quests!$1:$1,0)+1,FALSE)</f>
        <v>アーサー襲来！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降臨1</v>
      </c>
      <c r="F6" s="21">
        <v>2</v>
      </c>
      <c r="G6" s="23" t="str">
        <f t="shared" ref="G6:G9" si="3">C6&amp;"_"&amp;F6</f>
        <v>41006_2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【ウィザード級】アーサー襲来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2"/>
        <v>41006_2-2</v>
      </c>
      <c r="B7" s="16" t="str">
        <f>IF(COUNTIF(enemy_habitats!$H:$H,A7),"OK","NG")</f>
        <v>OK</v>
      </c>
      <c r="C7" s="7">
        <v>41006</v>
      </c>
      <c r="D7" s="11" t="str">
        <f ca="1">VLOOKUP($C7,OFFSET([2]quests!$A$1,0,0,COUNTA([2]quests!$A:$A),MATCH(D$1,[2]quests!$1:$1,0)-MATCH($C$1,[2]quests!$1:$1,0)+1),MATCH(D$1,[2]quests!$1:$1,0)-MATCH($C$1,[2]quests!$1:$1,0)+1,FALSE)</f>
        <v>アーサー襲来！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降臨1</v>
      </c>
      <c r="F7" s="21">
        <v>2</v>
      </c>
      <c r="G7" s="23" t="str">
        <f t="shared" si="3"/>
        <v>41006_2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【ウィザード級】アーサー襲来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41006_2-3</v>
      </c>
      <c r="B8" s="16" t="str">
        <f>IF(COUNTIF(enemy_habitats!$H:$H,A8),"OK","NG")</f>
        <v>OK</v>
      </c>
      <c r="C8" s="7">
        <v>41006</v>
      </c>
      <c r="D8" s="11" t="str">
        <f ca="1">VLOOKUP($C8,OFFSET([2]quests!$A$1,0,0,COUNTA([2]quests!$A:$A),MATCH(D$1,[2]quests!$1:$1,0)-MATCH($C$1,[2]quests!$1:$1,0)+1),MATCH(D$1,[2]quests!$1:$1,0)-MATCH($C$1,[2]quests!$1:$1,0)+1,FALSE)</f>
        <v>アーサー襲来！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降臨1</v>
      </c>
      <c r="F8" s="21">
        <v>2</v>
      </c>
      <c r="G8" s="23" t="str">
        <f t="shared" si="3"/>
        <v>41006_2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【ウィザード級】アーサー襲来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41006_2-4</v>
      </c>
      <c r="B9" s="16" t="str">
        <f>IF(COUNTIF(enemy_habitats!$H:$H,A9),"OK","NG")</f>
        <v>OK</v>
      </c>
      <c r="C9" s="7">
        <v>41006</v>
      </c>
      <c r="D9" s="11" t="str">
        <f ca="1">VLOOKUP($C9,OFFSET([2]quests!$A$1,0,0,COUNTA([2]quests!$A:$A),MATCH(D$1,[2]quests!$1:$1,0)-MATCH($C$1,[2]quests!$1:$1,0)+1),MATCH(D$1,[2]quests!$1:$1,0)-MATCH($C$1,[2]quests!$1:$1,0)+1,FALSE)</f>
        <v>アーサー襲来！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降臨1</v>
      </c>
      <c r="F9" s="21">
        <v>2</v>
      </c>
      <c r="G9" s="23" t="str">
        <f t="shared" si="3"/>
        <v>41006_2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【ウィザード級】アーサー襲来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41006_3-1</v>
      </c>
      <c r="B10" s="16" t="str">
        <f>IF(COUNTIF(enemy_habitats!$H:$H,A10),"OK","NG")</f>
        <v>OK</v>
      </c>
      <c r="C10" s="7">
        <v>41006</v>
      </c>
      <c r="D10" s="11" t="str">
        <f ca="1">VLOOKUP($C10,OFFSET([2]quests!$A$1,0,0,COUNTA([2]quests!$A:$A),MATCH(D$1,[2]quests!$1:$1,0)-MATCH($C$1,[2]quests!$1:$1,0)+1),MATCH(D$1,[2]quests!$1:$1,0)-MATCH($C$1,[2]quests!$1:$1,0)+1,FALSE)</f>
        <v>アーサー襲来！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降臨1</v>
      </c>
      <c r="F10" s="21">
        <v>3</v>
      </c>
      <c r="G10" s="23" t="str">
        <f t="shared" si="1"/>
        <v>41006_3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【ノーコンテニュー】アーサー襲来</v>
      </c>
      <c r="I10" s="21">
        <v>1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41006_3-2</v>
      </c>
      <c r="B11" s="16" t="str">
        <f>IF(COUNTIF(enemy_habitats!$H:$H,A11),"OK","NG")</f>
        <v>OK</v>
      </c>
      <c r="C11" s="7">
        <v>41006</v>
      </c>
      <c r="D11" s="11" t="str">
        <f ca="1">VLOOKUP($C11,OFFSET([2]quests!$A$1,0,0,COUNTA([2]quests!$A:$A),MATCH(D$1,[2]quests!$1:$1,0)-MATCH($C$1,[2]quests!$1:$1,0)+1),MATCH(D$1,[2]quests!$1:$1,0)-MATCH($C$1,[2]quests!$1:$1,0)+1,FALSE)</f>
        <v>アーサー襲来！</v>
      </c>
      <c r="E11" s="18" t="str">
        <f ca="1">VLOOKUP($C11,OFFSET([2]quests!$A$1,0,0,COUNTA([2]quests!$A:$A),MATCH(E$1,[2]quests!$1:$1,0)-MATCH($C$1,[2]quests!$1:$1,0)+1),MATCH(E$1,[2]quests!$1:$1,0)-MATCH($C$1,[2]quests!$1:$1,0)+1,FALSE)</f>
        <v>降臨1</v>
      </c>
      <c r="F11" s="21">
        <v>3</v>
      </c>
      <c r="G11" s="23" t="str">
        <f t="shared" si="1"/>
        <v>41006_3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【ノーコンテニュー】アーサー襲来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41006_3-3</v>
      </c>
      <c r="B12" s="16" t="str">
        <f>IF(COUNTIF(enemy_habitats!$H:$H,A12),"OK","NG")</f>
        <v>OK</v>
      </c>
      <c r="C12" s="7">
        <v>41006</v>
      </c>
      <c r="D12" s="11" t="str">
        <f ca="1">VLOOKUP($C12,OFFSET([2]quests!$A$1,0,0,COUNTA([2]quests!$A:$A),MATCH(D$1,[2]quests!$1:$1,0)-MATCH($C$1,[2]quests!$1:$1,0)+1),MATCH(D$1,[2]quests!$1:$1,0)-MATCH($C$1,[2]quests!$1:$1,0)+1,FALSE)</f>
        <v>アーサー襲来！</v>
      </c>
      <c r="E12" s="18" t="str">
        <f ca="1">VLOOKUP($C12,OFFSET([2]quests!$A$1,0,0,COUNTA([2]quests!$A:$A),MATCH(E$1,[2]quests!$1:$1,0)-MATCH($C$1,[2]quests!$1:$1,0)+1),MATCH(E$1,[2]quests!$1:$1,0)-MATCH($C$1,[2]quests!$1:$1,0)+1,FALSE)</f>
        <v>降臨1</v>
      </c>
      <c r="F12" s="21">
        <v>3</v>
      </c>
      <c r="G12" s="23" t="str">
        <f t="shared" si="1"/>
        <v>41006_3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【ノーコンテニュー】アーサー襲来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41006_3-4</v>
      </c>
      <c r="B13" s="16" t="str">
        <f>IF(COUNTIF(enemy_habitats!$H:$H,A13),"OK","NG")</f>
        <v>OK</v>
      </c>
      <c r="C13" s="7">
        <v>41006</v>
      </c>
      <c r="D13" s="11" t="str">
        <f ca="1">VLOOKUP($C13,OFFSET([2]quests!$A$1,0,0,COUNTA([2]quests!$A:$A),MATCH(D$1,[2]quests!$1:$1,0)-MATCH($C$1,[2]quests!$1:$1,0)+1),MATCH(D$1,[2]quests!$1:$1,0)-MATCH($C$1,[2]quests!$1:$1,0)+1,FALSE)</f>
        <v>アーサー襲来！</v>
      </c>
      <c r="E13" s="18" t="str">
        <f ca="1">VLOOKUP($C13,OFFSET([2]quests!$A$1,0,0,COUNTA([2]quests!$A:$A),MATCH(E$1,[2]quests!$1:$1,0)-MATCH($C$1,[2]quests!$1:$1,0)+1),MATCH(E$1,[2]quests!$1:$1,0)-MATCH($C$1,[2]quests!$1:$1,0)+1,FALSE)</f>
        <v>降臨1</v>
      </c>
      <c r="F13" s="21">
        <v>3</v>
      </c>
      <c r="G13" s="23" t="str">
        <f t="shared" si="1"/>
        <v>41006_3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【ノーコンテニュー】アーサー襲来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9"/>
  <sheetViews>
    <sheetView showGridLines="0" zoomScale="90" zoomScaleNormal="90" zoomScalePageLayoutView="9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M24" sqref="M2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8.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179</v>
      </c>
    </row>
    <row r="2" spans="1:40" ht="21" customHeight="1" x14ac:dyDescent="0.15">
      <c r="A2" s="16" t="str">
        <f t="shared" ref="A2:A13" si="0">B2&amp;"_"&amp;C2&amp;"-"&amp;G2&amp;"/"&amp;L2&amp;"&lt;lv"&amp;R2&amp;"&gt;s"&amp;AA2</f>
        <v>41006_1-1/464&lt;lv50&gt;s2</v>
      </c>
      <c r="B2" s="22">
        <v>41006</v>
      </c>
      <c r="C2" s="21">
        <v>1</v>
      </c>
      <c r="D2" s="2" t="str">
        <f t="shared" ref="D2:D13" si="1">B2&amp;"_"&amp;C2</f>
        <v>41006_1</v>
      </c>
      <c r="E2" s="4" t="str">
        <f ca="1">VLOOKUP($B2,OFFSET([2]quests!$A$1,0,0,COUNTA([2]quests!$A:$A),MATCH(E$1,[2]quests!$1:$1,0)-MATCH($B$1,[2]quests!$1:$1,0)+1),MATCH(E$1,[2]quests!$1:$1,0)-MATCH($B$1,[2]quests!$1:$1,0)+1,FALSE)</f>
        <v>アーサー襲来！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【超絶級】アーサー襲来</v>
      </c>
      <c r="G2" s="21">
        <v>1</v>
      </c>
      <c r="H2" s="15" t="str">
        <f t="shared" ref="H2:H13" si="2">B2&amp;"_"&amp;C2&amp;"-"&amp;G2</f>
        <v>41006_1-1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464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円熟の弾導 ガウェイン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50</v>
      </c>
      <c r="S2" s="25">
        <v>2.6</v>
      </c>
      <c r="T2" s="25">
        <v>1.8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悪いが、お引取りいただこう</v>
      </c>
      <c r="W2" s="97">
        <v>41006001</v>
      </c>
      <c r="X2" s="6">
        <v>0</v>
      </c>
      <c r="Y2" s="6">
        <v>100</v>
      </c>
      <c r="Z2" s="6">
        <v>1</v>
      </c>
      <c r="AA2" s="99">
        <v>2</v>
      </c>
      <c r="AB2" s="24">
        <f t="shared" ref="AB2:AB6" si="3">L2</f>
        <v>464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円熟の弾導 ガウェイン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" s="7">
        <v>1</v>
      </c>
      <c r="AG2" s="24">
        <f t="shared" ref="AG2:AG13" ca="1" si="4">AD2</f>
        <v>5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si="0"/>
        <v>41006_1-2/470&lt;lv50&gt;s3</v>
      </c>
      <c r="B3" s="22">
        <v>41006</v>
      </c>
      <c r="C3" s="21">
        <v>1</v>
      </c>
      <c r="D3" s="2" t="str">
        <f t="shared" si="1"/>
        <v>41006_1</v>
      </c>
      <c r="E3" s="4" t="str">
        <f ca="1">VLOOKUP($B3,OFFSET([2]quests!$A$1,0,0,COUNTA([2]quests!$A:$A),MATCH(E$1,[2]quests!$1:$1,0)-MATCH($B$1,[2]quests!$1:$1,0)+1),MATCH(E$1,[2]quests!$1:$1,0)-MATCH($B$1,[2]quests!$1:$1,0)+1,FALSE)</f>
        <v>アーサー襲来！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【超絶級】アーサー襲来</v>
      </c>
      <c r="G3" s="21">
        <v>2</v>
      </c>
      <c r="H3" s="15" t="str">
        <f t="shared" si="2"/>
        <v>41006_1-2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380</v>
      </c>
      <c r="L3" s="20">
        <v>470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純心 トリスタン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50</v>
      </c>
      <c r="S3" s="25">
        <v>3.2</v>
      </c>
      <c r="T3" s="25">
        <v>0.6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本気で戦うしかないみたいだね…</v>
      </c>
      <c r="W3" s="98">
        <v>41006002</v>
      </c>
      <c r="X3" s="6">
        <v>0</v>
      </c>
      <c r="Y3" s="6">
        <v>100</v>
      </c>
      <c r="Z3" s="6">
        <v>1</v>
      </c>
      <c r="AA3" s="99">
        <v>3</v>
      </c>
      <c r="AB3" s="24">
        <f t="shared" si="3"/>
        <v>470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純心 トリスタン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7">
        <v>1</v>
      </c>
      <c r="AG3" s="24">
        <f t="shared" ca="1" si="4"/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si="0"/>
        <v>41006_1-2/367&lt;lv49&gt;s2</v>
      </c>
      <c r="B4" s="22">
        <v>41006</v>
      </c>
      <c r="C4" s="21">
        <v>1</v>
      </c>
      <c r="D4" s="2" t="str">
        <f t="shared" si="1"/>
        <v>41006_1</v>
      </c>
      <c r="E4" s="4" t="str">
        <f ca="1">VLOOKUP($B4,OFFSET([2]quests!$A$1,0,0,COUNTA([2]quests!$A:$A),MATCH(E$1,[2]quests!$1:$1,0)-MATCH($B$1,[2]quests!$1:$1,0)+1),MATCH(E$1,[2]quests!$1:$1,0)-MATCH($B$1,[2]quests!$1:$1,0)+1,FALSE)</f>
        <v>アーサー襲来！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【超絶級】アーサー襲来</v>
      </c>
      <c r="G4" s="21">
        <v>2</v>
      </c>
      <c r="H4" s="15" t="str">
        <f t="shared" si="2"/>
        <v>41006_1-2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20">
        <v>367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爆進の小兵 トト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49</v>
      </c>
      <c r="S4" s="25">
        <v>1.2</v>
      </c>
      <c r="T4" s="25">
        <v>0.8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4" s="98">
        <v>41006003</v>
      </c>
      <c r="X4" s="6">
        <v>0</v>
      </c>
      <c r="Y4" s="6">
        <v>100</v>
      </c>
      <c r="Z4" s="6">
        <v>2</v>
      </c>
      <c r="AA4" s="99">
        <v>2</v>
      </c>
      <c r="AB4" s="24">
        <f t="shared" si="3"/>
        <v>367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7">
        <v>1</v>
      </c>
      <c r="AG4" s="24">
        <f t="shared" ca="1" si="4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si="0"/>
        <v>41006_1-2/367&lt;lv50&gt;s4</v>
      </c>
      <c r="B5" s="22">
        <v>41006</v>
      </c>
      <c r="C5" s="21">
        <v>1</v>
      </c>
      <c r="D5" s="2" t="str">
        <f t="shared" si="1"/>
        <v>41006_1</v>
      </c>
      <c r="E5" s="4" t="str">
        <f ca="1">VLOOKUP($B5,OFFSET([2]quests!$A$1,0,0,COUNTA([2]quests!$A:$A),MATCH(E$1,[2]quests!$1:$1,0)-MATCH($B$1,[2]quests!$1:$1,0)+1),MATCH(E$1,[2]quests!$1:$1,0)-MATCH($B$1,[2]quests!$1:$1,0)+1,FALSE)</f>
        <v>アーサー襲来！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【超絶級】アーサー襲来</v>
      </c>
      <c r="G5" s="21">
        <v>2</v>
      </c>
      <c r="H5" s="15" t="str">
        <f t="shared" si="2"/>
        <v>41006_1-2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20">
        <v>367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爆進の小兵 トト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50</v>
      </c>
      <c r="S5" s="25">
        <v>1.2</v>
      </c>
      <c r="T5" s="25">
        <v>0.8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次のターン強力な攻撃</v>
      </c>
      <c r="W5" s="98">
        <v>41006004</v>
      </c>
      <c r="X5" s="6">
        <v>0</v>
      </c>
      <c r="Y5" s="6">
        <v>100</v>
      </c>
      <c r="Z5" s="6">
        <v>0</v>
      </c>
      <c r="AA5" s="99">
        <v>4</v>
      </c>
      <c r="AB5" s="24">
        <f t="shared" si="3"/>
        <v>367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7">
        <v>1</v>
      </c>
      <c r="AG5" s="24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41006_1-3/234&lt;lv50&gt;s1</v>
      </c>
      <c r="B6" s="22">
        <v>41006</v>
      </c>
      <c r="C6" s="21">
        <v>1</v>
      </c>
      <c r="D6" s="2" t="str">
        <f t="shared" si="1"/>
        <v>41006_1</v>
      </c>
      <c r="E6" s="4" t="str">
        <f ca="1">VLOOKUP($B6,OFFSET([2]quests!$A$1,0,0,COUNTA([2]quests!$A:$A),MATCH(E$1,[2]quests!$1:$1,0)-MATCH($B$1,[2]quests!$1:$1,0)+1),MATCH(E$1,[2]quests!$1:$1,0)-MATCH($B$1,[2]quests!$1:$1,0)+1,FALSE)</f>
        <v>アーサー襲来！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【超絶級】アーサー襲来</v>
      </c>
      <c r="G6" s="21">
        <v>3</v>
      </c>
      <c r="H6" s="15" t="str">
        <f t="shared" si="2"/>
        <v>41006_1-3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20">
        <v>234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精密なる照準 パーシヴァル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50</v>
      </c>
      <c r="S6" s="25">
        <v>2.2999999999999998</v>
      </c>
      <c r="T6" s="25">
        <v>1.1000000000000001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あなたの相手はこの私よ…！</v>
      </c>
      <c r="W6" s="98">
        <v>41006005</v>
      </c>
      <c r="X6" s="6">
        <v>0</v>
      </c>
      <c r="Y6" s="6">
        <v>100</v>
      </c>
      <c r="Z6" s="6">
        <v>1</v>
      </c>
      <c r="AA6" s="99">
        <v>1</v>
      </c>
      <c r="AB6" s="24">
        <f t="shared" si="3"/>
        <v>234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精密なる照準 パーシヴァル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5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4">
        <f t="shared" ca="1" si="4"/>
        <v>5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thickBot="1" x14ac:dyDescent="0.2">
      <c r="A7" s="111" t="str">
        <f t="shared" si="0"/>
        <v>41006_1-4/473&lt;lv50&gt;s2</v>
      </c>
      <c r="B7" s="112">
        <v>41006</v>
      </c>
      <c r="C7" s="113">
        <v>1</v>
      </c>
      <c r="D7" s="114" t="str">
        <f t="shared" si="1"/>
        <v>41006_1</v>
      </c>
      <c r="E7" s="115" t="str">
        <f ca="1">VLOOKUP($B7,OFFSET([2]quests!$A$1,0,0,COUNTA([2]quests!$A:$A),MATCH(E$1,[2]quests!$1:$1,0)-MATCH($B$1,[2]quests!$1:$1,0)+1),MATCH(E$1,[2]quests!$1:$1,0)-MATCH($B$1,[2]quests!$1:$1,0)+1,FALSE)</f>
        <v>アーサー襲来！</v>
      </c>
      <c r="F7" s="115" t="str">
        <f ca="1">VLOOKUP($D7,OFFSET([2]stages!$A$1,0,0,COUNTA([2]stages!$A:$A),MATCH(F$1,[2]stages!$2:$2,0)-MATCH($D$1,[2]stages!$2:$2,0)+1),MATCH(F$1,[2]stages!$2:$2,0)-MATCH($D$1,[2]stages!$2:$2,0)+1,FALSE)</f>
        <v>【超絶級】アーサー襲来</v>
      </c>
      <c r="G7" s="113">
        <v>4</v>
      </c>
      <c r="H7" s="114" t="str">
        <f t="shared" si="2"/>
        <v>41006_1-4</v>
      </c>
      <c r="I7" s="115">
        <f ca="1">VLOOKUP($H7,OFFSET(floors!$A$1,0,0,COUNTA(floors!$A:$A),MATCH(I$1,floors!$1:$1,0)-MATCH($H$1,floors!$1:$1,0)+1),MATCH(I$1,floors!$1:$1,0)-MATCH($H$1,floors!$1:$1,0)+1,FALSE)</f>
        <v>60</v>
      </c>
      <c r="J7" s="115">
        <f ca="1">VLOOKUP($H7,OFFSET(floors!$A$1,0,0,COUNTA(floors!$A:$A),MATCH(J$1,floors!$1:$1,0)-MATCH($H$1,floors!$1:$1,0)+1),MATCH(J$1,floors!$1:$1,0)-MATCH($H$1,floors!$1:$1,0)+1,FALSE)</f>
        <v>60</v>
      </c>
      <c r="K7" s="116">
        <v>5</v>
      </c>
      <c r="L7" s="117">
        <v>473</v>
      </c>
      <c r="M7" s="118" t="str">
        <f ca="1">VLOOKUP($L7,OFFSET([3]enemies!$A$1,0,0,COUNTA([3]enemies!$A:$A),MATCH(M$1,[3]enemies!$1:$1,0)-MATCH($L$1,[3]enemies!$1:$1,0)+1),MATCH(M$1,[3]enemies!$1:$1,0)-MATCH($L$1,[3]enemies!$1:$1,0)+1,FALSE)</f>
        <v>凶堅なる正義 アーサー</v>
      </c>
      <c r="N7" s="118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18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18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18">
        <f ca="1">VLOOKUP($L7,OFFSET([3]enemies!$A$1,0,0,COUNTA([3]enemies!$A:$A),MATCH(Q$1,[3]enemies!$1:$1,0)-MATCH($L$1,[3]enemies!$1:$1,0)+1),MATCH(Q$1,[3]enemies!$1:$1,0)-MATCH($L$1,[3]enemies!$1:$1,0)+1,FALSE)</f>
        <v>60</v>
      </c>
      <c r="R7" s="119">
        <v>50</v>
      </c>
      <c r="S7" s="120">
        <v>4</v>
      </c>
      <c r="T7" s="120">
        <v>1.6</v>
      </c>
      <c r="U7" s="119">
        <v>0</v>
      </c>
      <c r="V7" s="115" t="str">
        <f ca="1">VLOOKUP($W7,OFFSET(enemy_skill_sets!$B$1,0,0,COUNTA(enemy_skill_sets!$B:$B),MATCH(M$1,enemy_skill_sets!$1:$1,0)-MATCH($W$1,enemy_skill_sets!$1:$1,0)+2),MATCH(M$1,enemy_skill_sets!$1:$1,0)-MATCH($W$1,enemy_skill_sets!$1:$1,0)+2,FALSE)</f>
        <v>ここは俺が前に出る！</v>
      </c>
      <c r="W7" s="121">
        <v>41006007</v>
      </c>
      <c r="X7" s="122">
        <v>0</v>
      </c>
      <c r="Y7" s="122">
        <v>100</v>
      </c>
      <c r="Z7" s="122">
        <v>1</v>
      </c>
      <c r="AA7" s="123">
        <v>2</v>
      </c>
      <c r="AB7" s="146">
        <v>472</v>
      </c>
      <c r="AC7" s="115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アーサー</v>
      </c>
      <c r="AD7" s="115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115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7" s="125">
        <v>1</v>
      </c>
      <c r="AG7" s="124">
        <f t="shared" ca="1" si="4"/>
        <v>4</v>
      </c>
      <c r="AH7" s="126">
        <v>15</v>
      </c>
      <c r="AI7" s="125">
        <v>0</v>
      </c>
      <c r="AJ7" s="125">
        <v>0</v>
      </c>
      <c r="AK7" s="125">
        <v>0</v>
      </c>
      <c r="AL7" s="125">
        <v>0</v>
      </c>
      <c r="AM7" s="125">
        <v>1</v>
      </c>
      <c r="AN7" s="127">
        <v>1</v>
      </c>
    </row>
    <row r="8" spans="1:40" ht="21" customHeight="1" x14ac:dyDescent="0.15">
      <c r="A8" s="128" t="str">
        <f t="shared" si="0"/>
        <v>41006_2-1/464&lt;lv60&gt;s2</v>
      </c>
      <c r="B8" s="129">
        <v>41006</v>
      </c>
      <c r="C8" s="130">
        <v>2</v>
      </c>
      <c r="D8" s="131" t="str">
        <f t="shared" si="1"/>
        <v>41006_2</v>
      </c>
      <c r="E8" s="132" t="str">
        <f ca="1">VLOOKUP($B8,OFFSET([2]quests!$A$1,0,0,COUNTA([2]quests!$A:$A),MATCH(E$1,[2]quests!$1:$1,0)-MATCH($B$1,[2]quests!$1:$1,0)+1),MATCH(E$1,[2]quests!$1:$1,0)-MATCH($B$1,[2]quests!$1:$1,0)+1,FALSE)</f>
        <v>アーサー襲来！</v>
      </c>
      <c r="F8" s="132" t="str">
        <f ca="1">VLOOKUP($D8,OFFSET([2]stages!$A$1,0,0,COUNTA([2]stages!$A:$A),MATCH(F$1,[2]stages!$2:$2,0)-MATCH($D$1,[2]stages!$2:$2,0)+1),MATCH(F$1,[2]stages!$2:$2,0)-MATCH($D$1,[2]stages!$2:$2,0)+1,FALSE)</f>
        <v>【ウィザード級】アーサー襲来</v>
      </c>
      <c r="G8" s="130">
        <v>1</v>
      </c>
      <c r="H8" s="131" t="str">
        <f t="shared" si="2"/>
        <v>41006_2-1</v>
      </c>
      <c r="I8" s="132">
        <f ca="1">VLOOKUP($H8,OFFSET(floors!$A$1,0,0,COUNTA(floors!$A:$A),MATCH(I$1,floors!$1:$1,0)-MATCH($H$1,floors!$1:$1,0)+1),MATCH(I$1,floors!$1:$1,0)-MATCH($H$1,floors!$1:$1,0)+1,FALSE)</f>
        <v>60</v>
      </c>
      <c r="J8" s="132">
        <f ca="1">VLOOKUP($H8,OFFSET(floors!$A$1,0,0,COUNTA(floors!$A:$A),MATCH(J$1,floors!$1:$1,0)-MATCH($H$1,floors!$1:$1,0)+1),MATCH(J$1,floors!$1:$1,0)-MATCH($H$1,floors!$1:$1,0)+1,FALSE)</f>
        <v>60</v>
      </c>
      <c r="K8" s="133" t="s">
        <v>53</v>
      </c>
      <c r="L8" s="134">
        <v>464</v>
      </c>
      <c r="M8" s="135" t="str">
        <f ca="1">VLOOKUP($L8,OFFSET([3]enemies!$A$1,0,0,COUNTA([3]enemies!$A:$A),MATCH(M$1,[3]enemies!$1:$1,0)-MATCH($L$1,[3]enemies!$1:$1,0)+1),MATCH(M$1,[3]enemies!$1:$1,0)-MATCH($L$1,[3]enemies!$1:$1,0)+1,FALSE)</f>
        <v>円熟の弾導 ガウェイン</v>
      </c>
      <c r="N8" s="135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35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35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35">
        <f ca="1">VLOOKUP($L8,OFFSET([3]enemies!$A$1,0,0,COUNTA([3]enemies!$A:$A),MATCH(Q$1,[3]enemies!$1:$1,0)-MATCH($L$1,[3]enemies!$1:$1,0)+1),MATCH(Q$1,[3]enemies!$1:$1,0)-MATCH($L$1,[3]enemies!$1:$1,0)+1,FALSE)</f>
        <v>60</v>
      </c>
      <c r="R8" s="136">
        <v>60</v>
      </c>
      <c r="S8" s="137">
        <v>3</v>
      </c>
      <c r="T8" s="137">
        <v>1.9</v>
      </c>
      <c r="U8" s="136">
        <v>0</v>
      </c>
      <c r="V8" s="132" t="str">
        <f ca="1">VLOOKUP($W8,OFFSET(enemy_skill_sets!$B$1,0,0,COUNTA(enemy_skill_sets!$B:$B),MATCH(M$1,enemy_skill_sets!$1:$1,0)-MATCH($W$1,enemy_skill_sets!$1:$1,0)+2),MATCH(M$1,enemy_skill_sets!$1:$1,0)-MATCH($W$1,enemy_skill_sets!$1:$1,0)+2,FALSE)</f>
        <v>悪いが、お引取りいただこう</v>
      </c>
      <c r="W8" s="138">
        <v>41006011</v>
      </c>
      <c r="X8" s="139">
        <v>0</v>
      </c>
      <c r="Y8" s="139">
        <v>100</v>
      </c>
      <c r="Z8" s="139">
        <v>1</v>
      </c>
      <c r="AA8" s="140">
        <v>2</v>
      </c>
      <c r="AB8" s="141">
        <f t="shared" ref="AB8:AB12" si="5">L8</f>
        <v>464</v>
      </c>
      <c r="AC8" s="132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円熟の弾導 ガウェイン</v>
      </c>
      <c r="AD8" s="132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132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142">
        <v>1</v>
      </c>
      <c r="AG8" s="141">
        <f t="shared" ca="1" si="4"/>
        <v>5</v>
      </c>
      <c r="AH8" s="143">
        <v>0</v>
      </c>
      <c r="AI8" s="142">
        <v>0</v>
      </c>
      <c r="AJ8" s="142">
        <v>0</v>
      </c>
      <c r="AK8" s="142">
        <v>0</v>
      </c>
      <c r="AL8" s="142">
        <v>0</v>
      </c>
      <c r="AM8" s="142">
        <v>1</v>
      </c>
      <c r="AN8" s="144">
        <v>1</v>
      </c>
    </row>
    <row r="9" spans="1:40" ht="21" customHeight="1" x14ac:dyDescent="0.15">
      <c r="A9" s="16" t="str">
        <f t="shared" si="0"/>
        <v>41006_2-2/470&lt;lv60&gt;s2</v>
      </c>
      <c r="B9" s="22">
        <v>41006</v>
      </c>
      <c r="C9" s="21">
        <v>2</v>
      </c>
      <c r="D9" s="2" t="str">
        <f t="shared" si="1"/>
        <v>41006_2</v>
      </c>
      <c r="E9" s="4" t="str">
        <f ca="1">VLOOKUP($B9,OFFSET([2]quests!$A$1,0,0,COUNTA([2]quests!$A:$A),MATCH(E$1,[2]quests!$1:$1,0)-MATCH($B$1,[2]quests!$1:$1,0)+1),MATCH(E$1,[2]quests!$1:$1,0)-MATCH($B$1,[2]quests!$1:$1,0)+1,FALSE)</f>
        <v>アーサー襲来！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【ウィザード級】アーサー襲来</v>
      </c>
      <c r="G9" s="21">
        <v>2</v>
      </c>
      <c r="H9" s="15" t="str">
        <f t="shared" si="2"/>
        <v>41006_2-2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470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純心 トリスタン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60</v>
      </c>
      <c r="S9" s="25">
        <v>4</v>
      </c>
      <c r="T9" s="25">
        <v>0.7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トト！一緒に仕掛けるよっ！</v>
      </c>
      <c r="W9" s="98">
        <v>41006012</v>
      </c>
      <c r="X9" s="6">
        <v>0</v>
      </c>
      <c r="Y9" s="6">
        <v>100</v>
      </c>
      <c r="Z9" s="6">
        <v>1</v>
      </c>
      <c r="AA9" s="99">
        <v>2</v>
      </c>
      <c r="AB9" s="24">
        <f t="shared" si="5"/>
        <v>470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純心 トリスタン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9" s="7">
        <v>1</v>
      </c>
      <c r="AG9" s="24">
        <f t="shared" ca="1" si="4"/>
        <v>4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si="0"/>
        <v>41006_2-2/367&lt;lv59&gt;s2</v>
      </c>
      <c r="B10" s="22">
        <v>41006</v>
      </c>
      <c r="C10" s="21">
        <v>2</v>
      </c>
      <c r="D10" s="2" t="str">
        <f t="shared" si="1"/>
        <v>41006_2</v>
      </c>
      <c r="E10" s="4" t="str">
        <f ca="1">VLOOKUP($B10,OFFSET([2]quests!$A$1,0,0,COUNTA([2]quests!$A:$A),MATCH(E$1,[2]quests!$1:$1,0)-MATCH($B$1,[2]quests!$1:$1,0)+1),MATCH(E$1,[2]quests!$1:$1,0)-MATCH($B$1,[2]quests!$1:$1,0)+1,FALSE)</f>
        <v>アーサー襲来！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【ウィザード級】アーサー襲来</v>
      </c>
      <c r="G10" s="21">
        <v>2</v>
      </c>
      <c r="H10" s="15" t="str">
        <f t="shared" si="2"/>
        <v>41006_2-2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2</v>
      </c>
      <c r="L10" s="20">
        <v>367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爆進の小兵 トト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59</v>
      </c>
      <c r="S10" s="25">
        <v>3</v>
      </c>
      <c r="T10" s="25">
        <v>0.8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0" s="98">
        <v>41006014</v>
      </c>
      <c r="X10" s="6">
        <v>0</v>
      </c>
      <c r="Y10" s="6">
        <v>100</v>
      </c>
      <c r="Z10" s="6">
        <v>2</v>
      </c>
      <c r="AA10" s="99">
        <v>2</v>
      </c>
      <c r="AB10" s="24">
        <f t="shared" si="5"/>
        <v>367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3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Drop1S</v>
      </c>
      <c r="AF10" s="7">
        <v>1</v>
      </c>
      <c r="AG10" s="24">
        <f t="shared" ca="1" si="4"/>
        <v>3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si="0"/>
        <v>41006_2-2/367&lt;lv60&gt;s4</v>
      </c>
      <c r="B11" s="22">
        <v>41006</v>
      </c>
      <c r="C11" s="21">
        <v>2</v>
      </c>
      <c r="D11" s="2" t="str">
        <f t="shared" si="1"/>
        <v>41006_2</v>
      </c>
      <c r="E11" s="4" t="str">
        <f ca="1">VLOOKUP($B11,OFFSET([2]quests!$A$1,0,0,COUNTA([2]quests!$A:$A),MATCH(E$1,[2]quests!$1:$1,0)-MATCH($B$1,[2]quests!$1:$1,0)+1),MATCH(E$1,[2]quests!$1:$1,0)-MATCH($B$1,[2]quests!$1:$1,0)+1,FALSE)</f>
        <v>アーサー襲来！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【ウィザード級】アーサー襲来</v>
      </c>
      <c r="G11" s="21">
        <v>2</v>
      </c>
      <c r="H11" s="15" t="str">
        <f t="shared" si="2"/>
        <v>41006_2-2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3</v>
      </c>
      <c r="L11" s="20">
        <v>367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爆進の小兵 トト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60</v>
      </c>
      <c r="S11" s="25">
        <v>3</v>
      </c>
      <c r="T11" s="25">
        <v>0.8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次のターン強力な攻撃</v>
      </c>
      <c r="W11" s="98">
        <v>41006015</v>
      </c>
      <c r="X11" s="6">
        <v>0</v>
      </c>
      <c r="Y11" s="6">
        <v>100</v>
      </c>
      <c r="Z11" s="6">
        <v>0</v>
      </c>
      <c r="AA11" s="99">
        <v>4</v>
      </c>
      <c r="AB11" s="24">
        <f t="shared" si="5"/>
        <v>367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3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Drop1S</v>
      </c>
      <c r="AF11" s="7">
        <v>1</v>
      </c>
      <c r="AG11" s="24">
        <f t="shared" ca="1" si="4"/>
        <v>3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6" t="str">
        <f t="shared" si="0"/>
        <v>41006_2-3/234&lt;lv60&gt;s1</v>
      </c>
      <c r="B12" s="22">
        <v>41006</v>
      </c>
      <c r="C12" s="21">
        <v>2</v>
      </c>
      <c r="D12" s="2" t="str">
        <f t="shared" si="1"/>
        <v>41006_2</v>
      </c>
      <c r="E12" s="4" t="str">
        <f ca="1">VLOOKUP($B12,OFFSET([2]quests!$A$1,0,0,COUNTA([2]quests!$A:$A),MATCH(E$1,[2]quests!$1:$1,0)-MATCH($B$1,[2]quests!$1:$1,0)+1),MATCH(E$1,[2]quests!$1:$1,0)-MATCH($B$1,[2]quests!$1:$1,0)+1,FALSE)</f>
        <v>アーサー襲来！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【ウィザード級】アーサー襲来</v>
      </c>
      <c r="G12" s="21">
        <v>3</v>
      </c>
      <c r="H12" s="15" t="str">
        <f t="shared" si="2"/>
        <v>41006_2-3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4</v>
      </c>
      <c r="L12" s="20">
        <v>234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精密なる照準 パーシヴァル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60</v>
      </c>
      <c r="S12" s="25">
        <v>3</v>
      </c>
      <c r="T12" s="25">
        <v>1.3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あなたの相手はこの私よ…！</v>
      </c>
      <c r="W12" s="98">
        <v>41006016</v>
      </c>
      <c r="X12" s="6">
        <v>0</v>
      </c>
      <c r="Y12" s="6">
        <v>100</v>
      </c>
      <c r="Z12" s="6">
        <v>1</v>
      </c>
      <c r="AA12" s="99">
        <v>1</v>
      </c>
      <c r="AB12" s="24">
        <f t="shared" si="5"/>
        <v>234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精密なる照準 パーシヴァル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5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2" s="7">
        <v>1</v>
      </c>
      <c r="AG12" s="24">
        <f t="shared" ca="1" si="4"/>
        <v>5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thickBot="1" x14ac:dyDescent="0.2">
      <c r="A13" s="16" t="str">
        <f t="shared" si="0"/>
        <v>41006_2-4/473&lt;lv60&gt;s2</v>
      </c>
      <c r="B13" s="22">
        <v>41006</v>
      </c>
      <c r="C13" s="21">
        <v>2</v>
      </c>
      <c r="D13" s="2" t="str">
        <f t="shared" si="1"/>
        <v>41006_2</v>
      </c>
      <c r="E13" s="4" t="str">
        <f ca="1">VLOOKUP($B13,OFFSET([2]quests!$A$1,0,0,COUNTA([2]quests!$A:$A),MATCH(E$1,[2]quests!$1:$1,0)-MATCH($B$1,[2]quests!$1:$1,0)+1),MATCH(E$1,[2]quests!$1:$1,0)-MATCH($B$1,[2]quests!$1:$1,0)+1,FALSE)</f>
        <v>アーサー襲来！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【ウィザード級】アーサー襲来</v>
      </c>
      <c r="G13" s="21">
        <v>4</v>
      </c>
      <c r="H13" s="15" t="str">
        <f t="shared" si="2"/>
        <v>41006_2-4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5</v>
      </c>
      <c r="L13" s="20">
        <v>473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凶堅なる正義 アーサー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60</v>
      </c>
      <c r="S13" s="25">
        <v>6.2</v>
      </c>
      <c r="T13" s="25">
        <v>1.5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ここは俺が前に出る！</v>
      </c>
      <c r="W13" s="98">
        <v>41006018</v>
      </c>
      <c r="X13" s="6">
        <v>0</v>
      </c>
      <c r="Y13" s="6">
        <v>100</v>
      </c>
      <c r="Z13" s="6">
        <v>1</v>
      </c>
      <c r="AA13" s="99">
        <v>2</v>
      </c>
      <c r="AB13" s="145">
        <v>472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アーサー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3" s="7">
        <v>1</v>
      </c>
      <c r="AG13" s="24">
        <f t="shared" ca="1" si="4"/>
        <v>4</v>
      </c>
      <c r="AH13" s="107">
        <v>30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28" t="str">
        <f t="shared" ref="A14:A19" si="6">B14&amp;"_"&amp;C14&amp;"-"&amp;G14&amp;"/"&amp;L14&amp;"&lt;lv"&amp;R14&amp;"&gt;s"&amp;AA14</f>
        <v>41006_3-1/464&lt;lv60&gt;s2</v>
      </c>
      <c r="B14" s="129">
        <v>41006</v>
      </c>
      <c r="C14" s="130">
        <v>3</v>
      </c>
      <c r="D14" s="131" t="str">
        <f t="shared" ref="D14:D19" si="7">B14&amp;"_"&amp;C14</f>
        <v>41006_3</v>
      </c>
      <c r="E14" s="132" t="str">
        <f ca="1">VLOOKUP($B14,OFFSET([2]quests!$A$1,0,0,COUNTA([2]quests!$A:$A),MATCH(E$1,[2]quests!$1:$1,0)-MATCH($B$1,[2]quests!$1:$1,0)+1),MATCH(E$1,[2]quests!$1:$1,0)-MATCH($B$1,[2]quests!$1:$1,0)+1,FALSE)</f>
        <v>アーサー襲来！</v>
      </c>
      <c r="F14" s="132" t="str">
        <f ca="1">VLOOKUP($D14,OFFSET([2]stages!$A$1,0,0,COUNTA([2]stages!$A:$A),MATCH(F$1,[2]stages!$2:$2,0)-MATCH($D$1,[2]stages!$2:$2,0)+1),MATCH(F$1,[2]stages!$2:$2,0)-MATCH($D$1,[2]stages!$2:$2,0)+1,FALSE)</f>
        <v>【ノーコンテニュー】アーサー襲来</v>
      </c>
      <c r="G14" s="130">
        <v>1</v>
      </c>
      <c r="H14" s="131" t="str">
        <f t="shared" ref="H14:H19" si="8">B14&amp;"_"&amp;C14&amp;"-"&amp;G14</f>
        <v>41006_3-1</v>
      </c>
      <c r="I14" s="132">
        <f ca="1">VLOOKUP($H14,OFFSET(floors!$A$1,0,0,COUNTA(floors!$A:$A),MATCH(I$1,floors!$1:$1,0)-MATCH($H$1,floors!$1:$1,0)+1),MATCH(I$1,floors!$1:$1,0)-MATCH($H$1,floors!$1:$1,0)+1,FALSE)</f>
        <v>60</v>
      </c>
      <c r="J14" s="132">
        <f ca="1">VLOOKUP($H14,OFFSET(floors!$A$1,0,0,COUNTA(floors!$A:$A),MATCH(J$1,floors!$1:$1,0)-MATCH($H$1,floors!$1:$1,0)+1),MATCH(J$1,floors!$1:$1,0)-MATCH($H$1,floors!$1:$1,0)+1,FALSE)</f>
        <v>60</v>
      </c>
      <c r="K14" s="133" t="s">
        <v>53</v>
      </c>
      <c r="L14" s="134">
        <v>464</v>
      </c>
      <c r="M14" s="135" t="str">
        <f ca="1">VLOOKUP($L14,OFFSET([3]enemies!$A$1,0,0,COUNTA([3]enemies!$A:$A),MATCH(M$1,[3]enemies!$1:$1,0)-MATCH($L$1,[3]enemies!$1:$1,0)+1),MATCH(M$1,[3]enemies!$1:$1,0)-MATCH($L$1,[3]enemies!$1:$1,0)+1,FALSE)</f>
        <v>円熟の弾導 ガウェイン</v>
      </c>
      <c r="N14" s="135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35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35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35">
        <f ca="1">VLOOKUP($L14,OFFSET([3]enemies!$A$1,0,0,COUNTA([3]enemies!$A:$A),MATCH(Q$1,[3]enemies!$1:$1,0)-MATCH($L$1,[3]enemies!$1:$1,0)+1),MATCH(Q$1,[3]enemies!$1:$1,0)-MATCH($L$1,[3]enemies!$1:$1,0)+1,FALSE)</f>
        <v>60</v>
      </c>
      <c r="R14" s="136">
        <v>60</v>
      </c>
      <c r="S14" s="137">
        <v>3</v>
      </c>
      <c r="T14" s="137">
        <v>1.9</v>
      </c>
      <c r="U14" s="136">
        <v>0</v>
      </c>
      <c r="V14" s="132" t="str">
        <f ca="1">VLOOKUP($W14,OFFSET(enemy_skill_sets!$B$1,0,0,COUNTA(enemy_skill_sets!$B:$B),MATCH(M$1,enemy_skill_sets!$1:$1,0)-MATCH($W$1,enemy_skill_sets!$1:$1,0)+2),MATCH(M$1,enemy_skill_sets!$1:$1,0)-MATCH($W$1,enemy_skill_sets!$1:$1,0)+2,FALSE)</f>
        <v>悪いが、お引取りいただこう</v>
      </c>
      <c r="W14" s="138">
        <v>41006011</v>
      </c>
      <c r="X14" s="139">
        <v>0</v>
      </c>
      <c r="Y14" s="139">
        <v>100</v>
      </c>
      <c r="Z14" s="139">
        <v>1</v>
      </c>
      <c r="AA14" s="140">
        <v>2</v>
      </c>
      <c r="AB14" s="141">
        <f t="shared" ref="AB14:AB18" si="9">L14</f>
        <v>464</v>
      </c>
      <c r="AC14" s="132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円熟の弾導 ガウェイン</v>
      </c>
      <c r="AD14" s="132">
        <f ca="1">VLOOKUP($AB14,OFFSET([4]characters!$A$1,0,0,COUNTA([4]characters!$A:$A),MATCH(AD$1,[4]characters!$1:$1,0)-MATCH("character_id",[4]characters!$1:$1,0)+1),MATCH(AD$1,[4]characters!$1:$1,0)-MATCH("character_id",[4]characters!$1:$1,0)+1,FALSE)</f>
        <v>5</v>
      </c>
      <c r="AE14" s="132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4" s="142">
        <v>1</v>
      </c>
      <c r="AG14" s="141">
        <f t="shared" ref="AG14:AG19" ca="1" si="10">AD14</f>
        <v>5</v>
      </c>
      <c r="AH14" s="143">
        <v>0</v>
      </c>
      <c r="AI14" s="142">
        <v>0</v>
      </c>
      <c r="AJ14" s="142">
        <v>0</v>
      </c>
      <c r="AK14" s="142">
        <v>0</v>
      </c>
      <c r="AL14" s="142">
        <v>0</v>
      </c>
      <c r="AM14" s="142">
        <v>1</v>
      </c>
      <c r="AN14" s="144">
        <v>1</v>
      </c>
    </row>
    <row r="15" spans="1:40" ht="21" customHeight="1" x14ac:dyDescent="0.15">
      <c r="A15" s="16" t="str">
        <f t="shared" si="6"/>
        <v>41006_3-2/470&lt;lv60&gt;s2</v>
      </c>
      <c r="B15" s="22">
        <v>41006</v>
      </c>
      <c r="C15" s="21">
        <v>3</v>
      </c>
      <c r="D15" s="2" t="str">
        <f t="shared" si="7"/>
        <v>41006_3</v>
      </c>
      <c r="E15" s="4" t="str">
        <f ca="1">VLOOKUP($B15,OFFSET([2]quests!$A$1,0,0,COUNTA([2]quests!$A:$A),MATCH(E$1,[2]quests!$1:$1,0)-MATCH($B$1,[2]quests!$1:$1,0)+1),MATCH(E$1,[2]quests!$1:$1,0)-MATCH($B$1,[2]quests!$1:$1,0)+1,FALSE)</f>
        <v>アーサー襲来！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【ノーコンテニュー】アーサー襲来</v>
      </c>
      <c r="G15" s="21">
        <v>2</v>
      </c>
      <c r="H15" s="15" t="str">
        <f t="shared" si="8"/>
        <v>41006_3-2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1</v>
      </c>
      <c r="L15" s="20">
        <v>470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純心 トリスタン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60</v>
      </c>
      <c r="S15" s="25">
        <v>4</v>
      </c>
      <c r="T15" s="25">
        <v>0.7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トト！一緒に仕掛けるよっ！</v>
      </c>
      <c r="W15" s="98">
        <v>41006012</v>
      </c>
      <c r="X15" s="6">
        <v>0</v>
      </c>
      <c r="Y15" s="6">
        <v>100</v>
      </c>
      <c r="Z15" s="6">
        <v>1</v>
      </c>
      <c r="AA15" s="99">
        <v>2</v>
      </c>
      <c r="AB15" s="24">
        <f t="shared" si="9"/>
        <v>470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純心 トリスタン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5" s="7">
        <v>1</v>
      </c>
      <c r="AG15" s="24">
        <f t="shared" ca="1" si="10"/>
        <v>4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 t="shared" si="6"/>
        <v>41006_3-2/367&lt;lv59&gt;s2</v>
      </c>
      <c r="B16" s="22">
        <v>41006</v>
      </c>
      <c r="C16" s="21">
        <v>3</v>
      </c>
      <c r="D16" s="2" t="str">
        <f t="shared" si="7"/>
        <v>41006_3</v>
      </c>
      <c r="E16" s="4" t="str">
        <f ca="1">VLOOKUP($B16,OFFSET([2]quests!$A$1,0,0,COUNTA([2]quests!$A:$A),MATCH(E$1,[2]quests!$1:$1,0)-MATCH($B$1,[2]quests!$1:$1,0)+1),MATCH(E$1,[2]quests!$1:$1,0)-MATCH($B$1,[2]quests!$1:$1,0)+1,FALSE)</f>
        <v>アーサー襲来！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【ノーコンテニュー】アーサー襲来</v>
      </c>
      <c r="G16" s="21">
        <v>2</v>
      </c>
      <c r="H16" s="15" t="str">
        <f t="shared" si="8"/>
        <v>41006_3-2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2</v>
      </c>
      <c r="L16" s="20">
        <v>367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爆進の小兵 トト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59</v>
      </c>
      <c r="S16" s="25">
        <v>3</v>
      </c>
      <c r="T16" s="25">
        <v>0.8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6" s="98">
        <v>41006014</v>
      </c>
      <c r="X16" s="6">
        <v>0</v>
      </c>
      <c r="Y16" s="6">
        <v>100</v>
      </c>
      <c r="Z16" s="6">
        <v>2</v>
      </c>
      <c r="AA16" s="99">
        <v>2</v>
      </c>
      <c r="AB16" s="24">
        <f t="shared" si="9"/>
        <v>367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7">
        <v>1</v>
      </c>
      <c r="AG16" s="24">
        <f t="shared" ca="1" si="10"/>
        <v>3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 x14ac:dyDescent="0.15">
      <c r="A17" s="16" t="str">
        <f t="shared" si="6"/>
        <v>41006_3-2/367&lt;lv60&gt;s4</v>
      </c>
      <c r="B17" s="22">
        <v>41006</v>
      </c>
      <c r="C17" s="21">
        <v>3</v>
      </c>
      <c r="D17" s="2" t="str">
        <f t="shared" si="7"/>
        <v>41006_3</v>
      </c>
      <c r="E17" s="4" t="str">
        <f ca="1">VLOOKUP($B17,OFFSET([2]quests!$A$1,0,0,COUNTA([2]quests!$A:$A),MATCH(E$1,[2]quests!$1:$1,0)-MATCH($B$1,[2]quests!$1:$1,0)+1),MATCH(E$1,[2]quests!$1:$1,0)-MATCH($B$1,[2]quests!$1:$1,0)+1,FALSE)</f>
        <v>アーサー襲来！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【ノーコンテニュー】アーサー襲来</v>
      </c>
      <c r="G17" s="21">
        <v>2</v>
      </c>
      <c r="H17" s="15" t="str">
        <f t="shared" si="8"/>
        <v>41006_3-2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>
        <v>3</v>
      </c>
      <c r="L17" s="20">
        <v>367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爆進の小兵 トト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60</v>
      </c>
      <c r="S17" s="25">
        <v>3</v>
      </c>
      <c r="T17" s="25">
        <v>0.8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次のターン強力な攻撃</v>
      </c>
      <c r="W17" s="98">
        <v>41006015</v>
      </c>
      <c r="X17" s="6">
        <v>0</v>
      </c>
      <c r="Y17" s="6">
        <v>100</v>
      </c>
      <c r="Z17" s="6">
        <v>0</v>
      </c>
      <c r="AA17" s="99">
        <v>4</v>
      </c>
      <c r="AB17" s="24">
        <f t="shared" si="9"/>
        <v>367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" s="7">
        <v>1</v>
      </c>
      <c r="AG17" s="24">
        <f t="shared" ca="1" si="10"/>
        <v>3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 x14ac:dyDescent="0.15">
      <c r="A18" s="16" t="str">
        <f t="shared" si="6"/>
        <v>41006_3-3/234&lt;lv60&gt;s1</v>
      </c>
      <c r="B18" s="22">
        <v>41006</v>
      </c>
      <c r="C18" s="21">
        <v>3</v>
      </c>
      <c r="D18" s="2" t="str">
        <f t="shared" si="7"/>
        <v>41006_3</v>
      </c>
      <c r="E18" s="4" t="str">
        <f ca="1">VLOOKUP($B18,OFFSET([2]quests!$A$1,0,0,COUNTA([2]quests!$A:$A),MATCH(E$1,[2]quests!$1:$1,0)-MATCH($B$1,[2]quests!$1:$1,0)+1),MATCH(E$1,[2]quests!$1:$1,0)-MATCH($B$1,[2]quests!$1:$1,0)+1,FALSE)</f>
        <v>アーサー襲来！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【ノーコンテニュー】アーサー襲来</v>
      </c>
      <c r="G18" s="21">
        <v>3</v>
      </c>
      <c r="H18" s="15" t="str">
        <f t="shared" si="8"/>
        <v>41006_3-3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>
        <v>4</v>
      </c>
      <c r="L18" s="20">
        <v>234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精密なる照準 パーシヴァル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7">
        <f ca="1">VLOOKUP($L18,OFFSET([3]enemies!$A$1,0,0,COUNTA([3]enemies!$A:$A),MATCH(Q$1,[3]enemies!$1:$1,0)-MATCH($L$1,[3]enemies!$1:$1,0)+1),MATCH(Q$1,[3]enemies!$1:$1,0)-MATCH($L$1,[3]enemies!$1:$1,0)+1,FALSE)</f>
        <v>60</v>
      </c>
      <c r="R18" s="5">
        <v>60</v>
      </c>
      <c r="S18" s="25">
        <v>3</v>
      </c>
      <c r="T18" s="25">
        <v>1.3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あなたの相手はこの私よ…！</v>
      </c>
      <c r="W18" s="98">
        <v>41006016</v>
      </c>
      <c r="X18" s="6">
        <v>0</v>
      </c>
      <c r="Y18" s="6">
        <v>100</v>
      </c>
      <c r="Z18" s="6">
        <v>1</v>
      </c>
      <c r="AA18" s="99">
        <v>1</v>
      </c>
      <c r="AB18" s="24">
        <f t="shared" si="9"/>
        <v>234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精密なる照準 パーシヴァル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5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8" s="7">
        <v>1</v>
      </c>
      <c r="AG18" s="24">
        <f t="shared" ca="1" si="10"/>
        <v>5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 x14ac:dyDescent="0.15">
      <c r="A19" s="16" t="str">
        <f t="shared" si="6"/>
        <v>41006_3-4/473&lt;lv60&gt;s2</v>
      </c>
      <c r="B19" s="22">
        <v>41006</v>
      </c>
      <c r="C19" s="21">
        <v>3</v>
      </c>
      <c r="D19" s="2" t="str">
        <f t="shared" si="7"/>
        <v>41006_3</v>
      </c>
      <c r="E19" s="4" t="str">
        <f ca="1">VLOOKUP($B19,OFFSET([2]quests!$A$1,0,0,COUNTA([2]quests!$A:$A),MATCH(E$1,[2]quests!$1:$1,0)-MATCH($B$1,[2]quests!$1:$1,0)+1),MATCH(E$1,[2]quests!$1:$1,0)-MATCH($B$1,[2]quests!$1:$1,0)+1,FALSE)</f>
        <v>アーサー襲来！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【ノーコンテニュー】アーサー襲来</v>
      </c>
      <c r="G19" s="21">
        <v>4</v>
      </c>
      <c r="H19" s="15" t="str">
        <f t="shared" si="8"/>
        <v>41006_3-4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5</v>
      </c>
      <c r="L19" s="20">
        <v>473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凶堅なる正義 アーサー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DropWizS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7">
        <f ca="1">VLOOKUP($L19,OFFSET([3]enemies!$A$1,0,0,COUNTA([3]enemies!$A:$A),MATCH(Q$1,[3]enemies!$1:$1,0)-MATCH($L$1,[3]enemies!$1:$1,0)+1),MATCH(Q$1,[3]enemies!$1:$1,0)-MATCH($L$1,[3]enemies!$1:$1,0)+1,FALSE)</f>
        <v>60</v>
      </c>
      <c r="R19" s="5">
        <v>60</v>
      </c>
      <c r="S19" s="25">
        <v>6.2</v>
      </c>
      <c r="T19" s="25">
        <v>1.5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ここは俺が前に出る！</v>
      </c>
      <c r="W19" s="98">
        <v>41006018</v>
      </c>
      <c r="X19" s="6">
        <v>0</v>
      </c>
      <c r="Y19" s="6">
        <v>100</v>
      </c>
      <c r="Z19" s="6">
        <v>1</v>
      </c>
      <c r="AA19" s="99">
        <v>2</v>
      </c>
      <c r="AB19" s="145">
        <v>472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アーサー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9" s="7">
        <v>1</v>
      </c>
      <c r="AG19" s="24">
        <f t="shared" ca="1" si="10"/>
        <v>4</v>
      </c>
      <c r="AH19" s="107">
        <v>100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</sheetData>
  <sheetProtection selectLockedCells="1" selectUnlockedCells="1"/>
  <autoFilter ref="B1:AH14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6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26" sqref="T2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9.3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 t="shared" ref="A2:A11" si="0">B2&amp;"_"&amp;C2&amp;"-"&amp;G2&amp;"/"&amp;M2&amp;"&lt;lv"&amp;S2&amp;"&gt;sq"&amp;K2&amp;"st"&amp;L2</f>
        <v>41006_1-2/367&lt;lv50&gt;sq2st2</v>
      </c>
      <c r="B2" s="22">
        <v>41006</v>
      </c>
      <c r="C2" s="21">
        <v>1</v>
      </c>
      <c r="D2" s="2" t="str">
        <f t="shared" ref="D2:D11" si="1">B2&amp;"_"&amp;C2</f>
        <v>41006_1</v>
      </c>
      <c r="E2" s="4" t="str">
        <f ca="1">VLOOKUP($B2,OFFSET([2]quests!$A$1,0,0,COUNTA([2]quests!$A:$A),MATCH(E$1,[2]quests!$1:$1,0)-MATCH($B$1,[2]quests!$1:$1,0)+1),MATCH(E$1,[2]quests!$1:$1,0)-MATCH($B$1,[2]quests!$1:$1,0)+1,FALSE)</f>
        <v>アーサー襲来！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【超絶級】アーサー襲来</v>
      </c>
      <c r="G2" s="21">
        <v>2</v>
      </c>
      <c r="H2" s="15" t="str">
        <f t="shared" ref="H2:H11" si="2">B2&amp;"_"&amp;C2&amp;"-"&amp;G2</f>
        <v>41006_1-2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2</v>
      </c>
      <c r="L2" s="38">
        <v>2</v>
      </c>
      <c r="M2" s="20">
        <v>367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爆進の小兵 トト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50</v>
      </c>
      <c r="T2" s="25">
        <v>1.2</v>
      </c>
      <c r="U2" s="25">
        <v>0.8</v>
      </c>
      <c r="V2" s="5">
        <v>0</v>
      </c>
      <c r="W2" s="98">
        <v>41006004</v>
      </c>
      <c r="X2" s="98">
        <v>41006004</v>
      </c>
      <c r="Y2" s="100">
        <v>4</v>
      </c>
    </row>
    <row r="3" spans="1:25" ht="21" customHeight="1" x14ac:dyDescent="0.15">
      <c r="A3" s="16" t="str">
        <f t="shared" si="0"/>
        <v>41006_1-2/367&lt;lv49&gt;sq3st2</v>
      </c>
      <c r="B3" s="22">
        <v>41006</v>
      </c>
      <c r="C3" s="21">
        <v>1</v>
      </c>
      <c r="D3" s="2" t="str">
        <f t="shared" si="1"/>
        <v>41006_1</v>
      </c>
      <c r="E3" s="4" t="str">
        <f ca="1">VLOOKUP($B3,OFFSET([2]quests!$A$1,0,0,COUNTA([2]quests!$A:$A),MATCH(E$1,[2]quests!$1:$1,0)-MATCH($B$1,[2]quests!$1:$1,0)+1),MATCH(E$1,[2]quests!$1:$1,0)-MATCH($B$1,[2]quests!$1:$1,0)+1,FALSE)</f>
        <v>アーサー襲来！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【超絶級】アーサー襲来</v>
      </c>
      <c r="G3" s="21">
        <v>2</v>
      </c>
      <c r="H3" s="15" t="str">
        <f t="shared" si="2"/>
        <v>41006_1-2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3</v>
      </c>
      <c r="L3" s="38">
        <v>2</v>
      </c>
      <c r="M3" s="20">
        <v>367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爆進の小兵 トト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Drop1S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15</v>
      </c>
      <c r="S3" s="5">
        <v>49</v>
      </c>
      <c r="T3" s="25">
        <v>1.2</v>
      </c>
      <c r="U3" s="25">
        <v>0.8</v>
      </c>
      <c r="V3" s="5">
        <v>0</v>
      </c>
      <c r="W3" s="98">
        <v>41006003</v>
      </c>
      <c r="X3" s="98">
        <v>41006003</v>
      </c>
      <c r="Y3" s="100">
        <v>2</v>
      </c>
    </row>
    <row r="4" spans="1:25" ht="21" customHeight="1" x14ac:dyDescent="0.15">
      <c r="A4" s="16" t="str">
        <f t="shared" si="0"/>
        <v>41006_1-3/234&lt;lv50&gt;sq4st2</v>
      </c>
      <c r="B4" s="22">
        <v>41006</v>
      </c>
      <c r="C4" s="21">
        <v>1</v>
      </c>
      <c r="D4" s="2" t="str">
        <f t="shared" si="1"/>
        <v>41006_1</v>
      </c>
      <c r="E4" s="4" t="str">
        <f ca="1">VLOOKUP($B4,OFFSET([2]quests!$A$1,0,0,COUNTA([2]quests!$A:$A),MATCH(E$1,[2]quests!$1:$1,0)-MATCH($B$1,[2]quests!$1:$1,0)+1),MATCH(E$1,[2]quests!$1:$1,0)-MATCH($B$1,[2]quests!$1:$1,0)+1,FALSE)</f>
        <v>アーサー襲来！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【超絶級】アーサー襲来</v>
      </c>
      <c r="G4" s="21">
        <v>3</v>
      </c>
      <c r="H4" s="15" t="str">
        <f t="shared" si="2"/>
        <v>41006_1-3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4</v>
      </c>
      <c r="L4" s="38">
        <v>2</v>
      </c>
      <c r="M4" s="20">
        <v>234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精密なる照準 パーシヴァル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50</v>
      </c>
      <c r="T4" s="25">
        <v>2.7</v>
      </c>
      <c r="U4" s="25">
        <v>1.3</v>
      </c>
      <c r="V4" s="5">
        <v>0</v>
      </c>
      <c r="W4" s="98">
        <v>41006006</v>
      </c>
      <c r="X4" s="98">
        <v>41006006</v>
      </c>
      <c r="Y4" s="100">
        <v>1</v>
      </c>
    </row>
    <row r="5" spans="1:25" ht="21" customHeight="1" x14ac:dyDescent="0.15">
      <c r="A5" s="16" t="str">
        <f t="shared" si="0"/>
        <v>41006_1-4/473&lt;lv50&gt;sq5st2</v>
      </c>
      <c r="B5" s="22">
        <v>41006</v>
      </c>
      <c r="C5" s="21">
        <v>1</v>
      </c>
      <c r="D5" s="2" t="str">
        <f t="shared" si="1"/>
        <v>41006_1</v>
      </c>
      <c r="E5" s="4" t="str">
        <f ca="1">VLOOKUP($B5,OFFSET([2]quests!$A$1,0,0,COUNTA([2]quests!$A:$A),MATCH(E$1,[2]quests!$1:$1,0)-MATCH($B$1,[2]quests!$1:$1,0)+1),MATCH(E$1,[2]quests!$1:$1,0)-MATCH($B$1,[2]quests!$1:$1,0)+1,FALSE)</f>
        <v>アーサー襲来！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【超絶級】アーサー襲来</v>
      </c>
      <c r="G5" s="21">
        <v>4</v>
      </c>
      <c r="H5" s="15" t="str">
        <f t="shared" si="2"/>
        <v>41006_1-4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5</v>
      </c>
      <c r="L5" s="38">
        <v>2</v>
      </c>
      <c r="M5" s="20">
        <v>473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凶堅なる正義 アーサー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50</v>
      </c>
      <c r="T5" s="25">
        <v>4.2</v>
      </c>
      <c r="U5" s="25">
        <v>1.5</v>
      </c>
      <c r="V5" s="5">
        <v>0</v>
      </c>
      <c r="W5" s="98">
        <v>41006008</v>
      </c>
      <c r="X5" s="98">
        <v>41006008</v>
      </c>
      <c r="Y5" s="100">
        <v>2</v>
      </c>
    </row>
    <row r="6" spans="1:25" ht="21" customHeight="1" thickBot="1" x14ac:dyDescent="0.2">
      <c r="A6" s="111" t="str">
        <f t="shared" si="0"/>
        <v>41006_1-4/473&lt;lv50&gt;sq5st3</v>
      </c>
      <c r="B6" s="112">
        <v>41006</v>
      </c>
      <c r="C6" s="113">
        <v>1</v>
      </c>
      <c r="D6" s="114" t="str">
        <f t="shared" si="1"/>
        <v>41006_1</v>
      </c>
      <c r="E6" s="115" t="str">
        <f ca="1">VLOOKUP($B6,OFFSET([2]quests!$A$1,0,0,COUNTA([2]quests!$A:$A),MATCH(E$1,[2]quests!$1:$1,0)-MATCH($B$1,[2]quests!$1:$1,0)+1),MATCH(E$1,[2]quests!$1:$1,0)-MATCH($B$1,[2]quests!$1:$1,0)+1,FALSE)</f>
        <v>アーサー襲来！</v>
      </c>
      <c r="F6" s="115" t="str">
        <f ca="1">VLOOKUP($D6,OFFSET([2]stages!$A$1,0,0,COUNTA([2]stages!$A:$A),MATCH(F$1,[2]stages!$2:$2,0)-MATCH($D$1,[2]stages!$2:$2,0)+1),MATCH(F$1,[2]stages!$2:$2,0)-MATCH($D$1,[2]stages!$2:$2,0)+1,FALSE)</f>
        <v>【超絶級】アーサー襲来</v>
      </c>
      <c r="G6" s="113">
        <v>4</v>
      </c>
      <c r="H6" s="114" t="str">
        <f t="shared" si="2"/>
        <v>41006_1-4</v>
      </c>
      <c r="I6" s="115">
        <f ca="1">VLOOKUP($H6,OFFSET(floors!$A$1,0,0,COUNTA(floors!$A:$A),MATCH(I$1,floors!$1:$1,0)-MATCH($H$1,floors!$1:$1,0)+1),MATCH(I$1,floors!$1:$1,0)-MATCH($H$1,floors!$1:$1,0)+1,FALSE)</f>
        <v>60</v>
      </c>
      <c r="J6" s="115">
        <f ca="1">VLOOKUP($H6,OFFSET(floors!$A$1,0,0,COUNTA(floors!$A:$A),MATCH(J$1,floors!$1:$1,0)-MATCH($H$1,floors!$1:$1,0)+1),MATCH(J$1,floors!$1:$1,0)-MATCH($H$1,floors!$1:$1,0)+1,FALSE)</f>
        <v>60</v>
      </c>
      <c r="K6" s="116">
        <v>5</v>
      </c>
      <c r="L6" s="116">
        <v>3</v>
      </c>
      <c r="M6" s="117">
        <v>473</v>
      </c>
      <c r="N6" s="118" t="str">
        <f ca="1">VLOOKUP($M6,OFFSET([3]enemies!$A$1,0,0,COUNTA([3]enemies!$A:$A),MATCH(N$1,[3]enemies!$1:$1,0)-MATCH($M$1,[3]enemies!$1:$1,0)+1),MATCH(N$1,[3]enemies!$1:$1,0)-MATCH($M$1,[3]enemies!$1:$1,0)+1,FALSE)</f>
        <v>凶堅なる正義 アーサー</v>
      </c>
      <c r="O6" s="118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18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18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18">
        <f ca="1">VLOOKUP($M6,OFFSET([3]enemies!$A$1,0,0,COUNTA([3]enemies!$A:$A),MATCH(R$1,[3]enemies!$1:$1,0)-MATCH($M$1,[3]enemies!$1:$1,0)+1),MATCH(R$1,[3]enemies!$1:$1,0)-MATCH($M$1,[3]enemies!$1:$1,0)+1,FALSE)</f>
        <v>60</v>
      </c>
      <c r="S6" s="119">
        <v>50</v>
      </c>
      <c r="T6" s="120">
        <v>4</v>
      </c>
      <c r="U6" s="120">
        <v>1.5</v>
      </c>
      <c r="V6" s="119">
        <v>0</v>
      </c>
      <c r="W6" s="121">
        <v>41006009</v>
      </c>
      <c r="X6" s="121">
        <v>41006009</v>
      </c>
      <c r="Y6" s="147">
        <v>2</v>
      </c>
    </row>
    <row r="7" spans="1:25" ht="21" customHeight="1" x14ac:dyDescent="0.15">
      <c r="A7" s="16" t="str">
        <f t="shared" si="0"/>
        <v>41006_2-2/367&lt;lv61&gt;sq2st2</v>
      </c>
      <c r="B7" s="22">
        <v>41006</v>
      </c>
      <c r="C7" s="21">
        <v>2</v>
      </c>
      <c r="D7" s="2" t="str">
        <f t="shared" si="1"/>
        <v>41006_2</v>
      </c>
      <c r="E7" s="4" t="str">
        <f ca="1">VLOOKUP($B7,OFFSET([2]quests!$A$1,0,0,COUNTA([2]quests!$A:$A),MATCH(E$1,[2]quests!$1:$1,0)-MATCH($B$1,[2]quests!$1:$1,0)+1),MATCH(E$1,[2]quests!$1:$1,0)-MATCH($B$1,[2]quests!$1:$1,0)+1,FALSE)</f>
        <v>アーサー襲来！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【ウィザード級】アーサー襲来</v>
      </c>
      <c r="G7" s="21">
        <v>2</v>
      </c>
      <c r="H7" s="15" t="str">
        <f t="shared" si="2"/>
        <v>41006_2-2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38">
        <v>2</v>
      </c>
      <c r="M7" s="20">
        <v>367</v>
      </c>
      <c r="N7" s="17" t="str">
        <f ca="1">VLOOKUP($M7,OFFSET([3]enemies!$A$1,0,0,COUNTA([3]enemies!$A:$A),MATCH(N$1,[3]enemies!$1:$1,0)-MATCH($M$1,[3]enemies!$1:$1,0)+1),MATCH(N$1,[3]enemies!$1:$1,0)-MATCH($M$1,[3]enemies!$1:$1,0)+1,FALSE)</f>
        <v>爆進の小兵 トト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Drop1S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animal</v>
      </c>
      <c r="R7" s="17">
        <f ca="1">VLOOKUP($M7,OFFSET([3]enemies!$A$1,0,0,COUNTA([3]enemies!$A:$A),MATCH(R$1,[3]enemies!$1:$1,0)-MATCH($M$1,[3]enemies!$1:$1,0)+1),MATCH(R$1,[3]enemies!$1:$1,0)-MATCH($M$1,[3]enemies!$1:$1,0)+1,FALSE)</f>
        <v>15</v>
      </c>
      <c r="S7" s="5">
        <v>61</v>
      </c>
      <c r="T7" s="25">
        <v>3</v>
      </c>
      <c r="U7" s="25">
        <v>0.8</v>
      </c>
      <c r="V7" s="5">
        <v>0</v>
      </c>
      <c r="W7" s="98">
        <v>41006015</v>
      </c>
      <c r="X7" s="98">
        <v>41006015</v>
      </c>
      <c r="Y7" s="100">
        <v>4</v>
      </c>
    </row>
    <row r="8" spans="1:25" ht="21" customHeight="1" x14ac:dyDescent="0.15">
      <c r="A8" s="16" t="str">
        <f t="shared" si="0"/>
        <v>41006_2-2/367&lt;lv60&gt;sq3st2</v>
      </c>
      <c r="B8" s="22">
        <v>41006</v>
      </c>
      <c r="C8" s="21">
        <v>2</v>
      </c>
      <c r="D8" s="2" t="str">
        <f t="shared" si="1"/>
        <v>41006_2</v>
      </c>
      <c r="E8" s="4" t="str">
        <f ca="1">VLOOKUP($B8,OFFSET([2]quests!$A$1,0,0,COUNTA([2]quests!$A:$A),MATCH(E$1,[2]quests!$1:$1,0)-MATCH($B$1,[2]quests!$1:$1,0)+1),MATCH(E$1,[2]quests!$1:$1,0)-MATCH($B$1,[2]quests!$1:$1,0)+1,FALSE)</f>
        <v>アーサー襲来！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【ウィザード級】アーサー襲来</v>
      </c>
      <c r="G8" s="21">
        <v>2</v>
      </c>
      <c r="H8" s="15" t="str">
        <f t="shared" si="2"/>
        <v>41006_2-2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3</v>
      </c>
      <c r="L8" s="38">
        <v>2</v>
      </c>
      <c r="M8" s="20">
        <v>367</v>
      </c>
      <c r="N8" s="17" t="str">
        <f ca="1">VLOOKUP($M8,OFFSET([3]enemies!$A$1,0,0,COUNTA([3]enemies!$A:$A),MATCH(N$1,[3]enemies!$1:$1,0)-MATCH($M$1,[3]enemies!$1:$1,0)+1),MATCH(N$1,[3]enemies!$1:$1,0)-MATCH($M$1,[3]enemies!$1:$1,0)+1,FALSE)</f>
        <v>爆進の小兵 トト</v>
      </c>
      <c r="O8" s="17" t="str">
        <f ca="1">VLOOKUP($M8,OFFSET([3]enemies!$A$1,0,0,COUNTA([3]enemies!$A:$A),MATCH(O$1,[3]enemies!$1:$1,0)-MATCH($M$1,[3]enemies!$1:$1,0)+1),MATCH(O$1,[3]enemies!$1:$1,0)-MATCH($M$1,[3]enemies!$1:$1,0)+1,FALSE)</f>
        <v>yellow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Drop1S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animal</v>
      </c>
      <c r="R8" s="17">
        <f ca="1">VLOOKUP($M8,OFFSET([3]enemies!$A$1,0,0,COUNTA([3]enemies!$A:$A),MATCH(R$1,[3]enemies!$1:$1,0)-MATCH($M$1,[3]enemies!$1:$1,0)+1),MATCH(R$1,[3]enemies!$1:$1,0)-MATCH($M$1,[3]enemies!$1:$1,0)+1,FALSE)</f>
        <v>15</v>
      </c>
      <c r="S8" s="5">
        <v>60</v>
      </c>
      <c r="T8" s="25">
        <v>3</v>
      </c>
      <c r="U8" s="25">
        <v>0.8</v>
      </c>
      <c r="V8" s="5">
        <v>0</v>
      </c>
      <c r="W8" s="98">
        <v>41006014</v>
      </c>
      <c r="X8" s="98">
        <v>41006014</v>
      </c>
      <c r="Y8" s="100">
        <v>2</v>
      </c>
    </row>
    <row r="9" spans="1:25" ht="21" customHeight="1" x14ac:dyDescent="0.15">
      <c r="A9" s="16" t="str">
        <f t="shared" si="0"/>
        <v>41006_2-3/234&lt;lv60&gt;sq4st2</v>
      </c>
      <c r="B9" s="22">
        <v>41006</v>
      </c>
      <c r="C9" s="21">
        <v>2</v>
      </c>
      <c r="D9" s="2" t="str">
        <f t="shared" si="1"/>
        <v>41006_2</v>
      </c>
      <c r="E9" s="4" t="str">
        <f ca="1">VLOOKUP($B9,OFFSET([2]quests!$A$1,0,0,COUNTA([2]quests!$A:$A),MATCH(E$1,[2]quests!$1:$1,0)-MATCH($B$1,[2]quests!$1:$1,0)+1),MATCH(E$1,[2]quests!$1:$1,0)-MATCH($B$1,[2]quests!$1:$1,0)+1,FALSE)</f>
        <v>アーサー襲来！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【ウィザード級】アーサー襲来</v>
      </c>
      <c r="G9" s="21">
        <v>3</v>
      </c>
      <c r="H9" s="15" t="str">
        <f t="shared" si="2"/>
        <v>41006_2-3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4</v>
      </c>
      <c r="L9" s="38">
        <v>2</v>
      </c>
      <c r="M9" s="20">
        <v>234</v>
      </c>
      <c r="N9" s="17" t="str">
        <f ca="1">VLOOKUP($M9,OFFSET([3]enemies!$A$1,0,0,COUNTA([3]enemies!$A:$A),MATCH(N$1,[3]enemies!$1:$1,0)-MATCH($M$1,[3]enemies!$1:$1,0)+1),MATCH(N$1,[3]enemies!$1:$1,0)-MATCH($M$1,[3]enemies!$1:$1,0)+1,FALSE)</f>
        <v>精密なる照準 パーシヴァル</v>
      </c>
      <c r="O9" s="17" t="str">
        <f ca="1">VLOOKUP($M9,OFFSET([3]enemies!$A$1,0,0,COUNTA([3]enemies!$A:$A),MATCH(O$1,[3]enemies!$1:$1,0)-MATCH($M$1,[3]enemies!$1:$1,0)+1),MATCH(O$1,[3]enemies!$1:$1,0)-MATCH($M$1,[3]enemies!$1:$1,0)+1,FALSE)</f>
        <v>blue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PremiumS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60</v>
      </c>
      <c r="T9" s="25">
        <v>4.2</v>
      </c>
      <c r="U9" s="25">
        <v>1.4</v>
      </c>
      <c r="V9" s="5">
        <v>0</v>
      </c>
      <c r="W9" s="98">
        <v>41006017</v>
      </c>
      <c r="X9" s="98">
        <v>41006017</v>
      </c>
      <c r="Y9" s="100">
        <v>1</v>
      </c>
    </row>
    <row r="10" spans="1:25" ht="21" customHeight="1" x14ac:dyDescent="0.15">
      <c r="A10" s="16" t="str">
        <f t="shared" si="0"/>
        <v>41006_2-4/820&lt;lv60&gt;sq5st2</v>
      </c>
      <c r="B10" s="22">
        <v>41006</v>
      </c>
      <c r="C10" s="21">
        <v>2</v>
      </c>
      <c r="D10" s="2" t="str">
        <f t="shared" si="1"/>
        <v>41006_2</v>
      </c>
      <c r="E10" s="4" t="str">
        <f ca="1">VLOOKUP($B10,OFFSET([2]quests!$A$1,0,0,COUNTA([2]quests!$A:$A),MATCH(E$1,[2]quests!$1:$1,0)-MATCH($B$1,[2]quests!$1:$1,0)+1),MATCH(E$1,[2]quests!$1:$1,0)-MATCH($B$1,[2]quests!$1:$1,0)+1,FALSE)</f>
        <v>アーサー襲来！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【ウィザード級】アーサー襲来</v>
      </c>
      <c r="G10" s="21">
        <v>4</v>
      </c>
      <c r="H10" s="15" t="str">
        <f t="shared" si="2"/>
        <v>41006_2-4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5</v>
      </c>
      <c r="L10" s="38">
        <v>2</v>
      </c>
      <c r="M10" s="20">
        <v>820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凶心者の聖儀 アーサー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red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human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60</v>
      </c>
      <c r="T10" s="25">
        <v>6.4</v>
      </c>
      <c r="U10" s="25">
        <v>1.5</v>
      </c>
      <c r="V10" s="5">
        <v>0</v>
      </c>
      <c r="W10" s="98">
        <v>41006019</v>
      </c>
      <c r="X10" s="98">
        <v>41006019</v>
      </c>
      <c r="Y10" s="100">
        <v>2</v>
      </c>
    </row>
    <row r="11" spans="1:25" ht="21" customHeight="1" thickBot="1" x14ac:dyDescent="0.2">
      <c r="A11" s="111" t="str">
        <f t="shared" si="0"/>
        <v>41006_2-4/820&lt;lv60&gt;sq5st3</v>
      </c>
      <c r="B11" s="112">
        <v>41006</v>
      </c>
      <c r="C11" s="113">
        <v>2</v>
      </c>
      <c r="D11" s="114" t="str">
        <f t="shared" si="1"/>
        <v>41006_2</v>
      </c>
      <c r="E11" s="115" t="str">
        <f ca="1">VLOOKUP($B11,OFFSET([2]quests!$A$1,0,0,COUNTA([2]quests!$A:$A),MATCH(E$1,[2]quests!$1:$1,0)-MATCH($B$1,[2]quests!$1:$1,0)+1),MATCH(E$1,[2]quests!$1:$1,0)-MATCH($B$1,[2]quests!$1:$1,0)+1,FALSE)</f>
        <v>アーサー襲来！</v>
      </c>
      <c r="F11" s="115" t="str">
        <f ca="1">VLOOKUP($D11,OFFSET([2]stages!$A$1,0,0,COUNTA([2]stages!$A:$A),MATCH(F$1,[2]stages!$2:$2,0)-MATCH($D$1,[2]stages!$2:$2,0)+1),MATCH(F$1,[2]stages!$2:$2,0)-MATCH($D$1,[2]stages!$2:$2,0)+1,FALSE)</f>
        <v>【ウィザード級】アーサー襲来</v>
      </c>
      <c r="G11" s="113">
        <v>4</v>
      </c>
      <c r="H11" s="114" t="str">
        <f t="shared" si="2"/>
        <v>41006_2-4</v>
      </c>
      <c r="I11" s="115">
        <f ca="1">VLOOKUP($H11,OFFSET(floors!$A$1,0,0,COUNTA(floors!$A:$A),MATCH(I$1,floors!$1:$1,0)-MATCH($H$1,floors!$1:$1,0)+1),MATCH(I$1,floors!$1:$1,0)-MATCH($H$1,floors!$1:$1,0)+1,FALSE)</f>
        <v>60</v>
      </c>
      <c r="J11" s="115">
        <f ca="1">VLOOKUP($H11,OFFSET(floors!$A$1,0,0,COUNTA(floors!$A:$A),MATCH(J$1,floors!$1:$1,0)-MATCH($H$1,floors!$1:$1,0)+1),MATCH(J$1,floors!$1:$1,0)-MATCH($H$1,floors!$1:$1,0)+1,FALSE)</f>
        <v>60</v>
      </c>
      <c r="K11" s="116">
        <v>5</v>
      </c>
      <c r="L11" s="116">
        <v>3</v>
      </c>
      <c r="M11" s="117">
        <v>820</v>
      </c>
      <c r="N11" s="118" t="str">
        <f ca="1">VLOOKUP($M11,OFFSET([3]enemies!$A$1,0,0,COUNTA([3]enemies!$A:$A),MATCH(N$1,[3]enemies!$1:$1,0)-MATCH($M$1,[3]enemies!$1:$1,0)+1),MATCH(N$1,[3]enemies!$1:$1,0)-MATCH($M$1,[3]enemies!$1:$1,0)+1,FALSE)</f>
        <v>凶心者の聖儀 アーサー</v>
      </c>
      <c r="O11" s="118" t="str">
        <f ca="1">VLOOKUP($M11,OFFSET([3]enemies!$A$1,0,0,COUNTA([3]enemies!$A:$A),MATCH(O$1,[3]enemies!$1:$1,0)-MATCH($M$1,[3]enemies!$1:$1,0)+1),MATCH(O$1,[3]enemies!$1:$1,0)-MATCH($M$1,[3]enemies!$1:$1,0)+1,FALSE)</f>
        <v>red</v>
      </c>
      <c r="P11" s="118" t="str">
        <f ca="1">VLOOKUP($M11,OFFSET([4]characters!$A$1,0,0,COUNTA([4]characters!$A:$A),MATCH(P$1,[4]characters!$1:$1,0)-MATCH($M$1,[4]characters!$1:$1,0)+1),MATCH(P$1,[4]characters!$1:$1,0)-MATCH($M$1,[4]characters!$1:$1,0)+1,FALSE)</f>
        <v>DropWizS</v>
      </c>
      <c r="Q11" s="118" t="str">
        <f ca="1">VLOOKUP($M11,OFFSET([3]enemies!$A$1,0,0,COUNTA([3]enemies!$A:$A),MATCH(Q$1,[3]enemies!$1:$1,0)-MATCH($M$1,[3]enemies!$1:$1,0)+1),MATCH(Q$1,[3]enemies!$1:$1,0)-MATCH($M$1,[3]enemies!$1:$1,0)+1,FALSE)</f>
        <v>human</v>
      </c>
      <c r="R11" s="118">
        <f ca="1">VLOOKUP($M11,OFFSET([3]enemies!$A$1,0,0,COUNTA([3]enemies!$A:$A),MATCH(R$1,[3]enemies!$1:$1,0)-MATCH($M$1,[3]enemies!$1:$1,0)+1),MATCH(R$1,[3]enemies!$1:$1,0)-MATCH($M$1,[3]enemies!$1:$1,0)+1,FALSE)</f>
        <v>60</v>
      </c>
      <c r="S11" s="119">
        <v>60</v>
      </c>
      <c r="T11" s="120">
        <v>6.6</v>
      </c>
      <c r="U11" s="120">
        <v>1.7</v>
      </c>
      <c r="V11" s="119">
        <v>0</v>
      </c>
      <c r="W11" s="121">
        <v>41006020</v>
      </c>
      <c r="X11" s="121">
        <v>41006020</v>
      </c>
      <c r="Y11" s="147">
        <v>2</v>
      </c>
    </row>
    <row r="12" spans="1:25" ht="21" customHeight="1" x14ac:dyDescent="0.15">
      <c r="A12" s="128" t="str">
        <f t="shared" ref="A12:A16" si="3">B12&amp;"_"&amp;C12&amp;"-"&amp;G12&amp;"/"&amp;M12&amp;"&lt;lv"&amp;S12&amp;"&gt;sq"&amp;K12&amp;"st"&amp;L12</f>
        <v>41006_3-2/367&lt;lv61&gt;sq2st2</v>
      </c>
      <c r="B12" s="129">
        <v>41006</v>
      </c>
      <c r="C12" s="130">
        <v>3</v>
      </c>
      <c r="D12" s="131" t="str">
        <f t="shared" ref="D12:D16" si="4">B12&amp;"_"&amp;C12</f>
        <v>41006_3</v>
      </c>
      <c r="E12" s="132" t="str">
        <f ca="1">VLOOKUP($B12,OFFSET([2]quests!$A$1,0,0,COUNTA([2]quests!$A:$A),MATCH(E$1,[2]quests!$1:$1,0)-MATCH($B$1,[2]quests!$1:$1,0)+1),MATCH(E$1,[2]quests!$1:$1,0)-MATCH($B$1,[2]quests!$1:$1,0)+1,FALSE)</f>
        <v>アーサー襲来！</v>
      </c>
      <c r="F12" s="132" t="str">
        <f ca="1">VLOOKUP($D12,OFFSET([2]stages!$A$1,0,0,COUNTA([2]stages!$A:$A),MATCH(F$1,[2]stages!$2:$2,0)-MATCH($D$1,[2]stages!$2:$2,0)+1),MATCH(F$1,[2]stages!$2:$2,0)-MATCH($D$1,[2]stages!$2:$2,0)+1,FALSE)</f>
        <v>【ノーコンテニュー】アーサー襲来</v>
      </c>
      <c r="G12" s="130">
        <v>2</v>
      </c>
      <c r="H12" s="131" t="str">
        <f t="shared" ref="H12:H16" si="5">B12&amp;"_"&amp;C12&amp;"-"&amp;G12</f>
        <v>41006_3-2</v>
      </c>
      <c r="I12" s="132">
        <f ca="1">VLOOKUP($H12,OFFSET(floors!$A$1,0,0,COUNTA(floors!$A:$A),MATCH(I$1,floors!$1:$1,0)-MATCH($H$1,floors!$1:$1,0)+1),MATCH(I$1,floors!$1:$1,0)-MATCH($H$1,floors!$1:$1,0)+1,FALSE)</f>
        <v>60</v>
      </c>
      <c r="J12" s="132">
        <f ca="1">VLOOKUP($H12,OFFSET(floors!$A$1,0,0,COUNTA(floors!$A:$A),MATCH(J$1,floors!$1:$1,0)-MATCH($H$1,floors!$1:$1,0)+1),MATCH(J$1,floors!$1:$1,0)-MATCH($H$1,floors!$1:$1,0)+1,FALSE)</f>
        <v>60</v>
      </c>
      <c r="K12" s="133">
        <v>2</v>
      </c>
      <c r="L12" s="133">
        <v>2</v>
      </c>
      <c r="M12" s="134">
        <v>367</v>
      </c>
      <c r="N12" s="135" t="str">
        <f ca="1">VLOOKUP($M12,OFFSET([3]enemies!$A$1,0,0,COUNTA([3]enemies!$A:$A),MATCH(N$1,[3]enemies!$1:$1,0)-MATCH($M$1,[3]enemies!$1:$1,0)+1),MATCH(N$1,[3]enemies!$1:$1,0)-MATCH($M$1,[3]enemies!$1:$1,0)+1,FALSE)</f>
        <v>爆進の小兵 トト</v>
      </c>
      <c r="O12" s="135" t="str">
        <f ca="1">VLOOKUP($M12,OFFSET([3]enemies!$A$1,0,0,COUNTA([3]enemies!$A:$A),MATCH(O$1,[3]enemies!$1:$1,0)-MATCH($M$1,[3]enemies!$1:$1,0)+1),MATCH(O$1,[3]enemies!$1:$1,0)-MATCH($M$1,[3]enemies!$1:$1,0)+1,FALSE)</f>
        <v>yellow</v>
      </c>
      <c r="P12" s="135" t="str">
        <f ca="1">VLOOKUP($M12,OFFSET([4]characters!$A$1,0,0,COUNTA([4]characters!$A:$A),MATCH(P$1,[4]characters!$1:$1,0)-MATCH($M$1,[4]characters!$1:$1,0)+1),MATCH(P$1,[4]characters!$1:$1,0)-MATCH($M$1,[4]characters!$1:$1,0)+1,FALSE)</f>
        <v>Drop1S</v>
      </c>
      <c r="Q12" s="135" t="str">
        <f ca="1">VLOOKUP($M12,OFFSET([3]enemies!$A$1,0,0,COUNTA([3]enemies!$A:$A),MATCH(Q$1,[3]enemies!$1:$1,0)-MATCH($M$1,[3]enemies!$1:$1,0)+1),MATCH(Q$1,[3]enemies!$1:$1,0)-MATCH($M$1,[3]enemies!$1:$1,0)+1,FALSE)</f>
        <v>animal</v>
      </c>
      <c r="R12" s="135">
        <f ca="1">VLOOKUP($M12,OFFSET([3]enemies!$A$1,0,0,COUNTA([3]enemies!$A:$A),MATCH(R$1,[3]enemies!$1:$1,0)-MATCH($M$1,[3]enemies!$1:$1,0)+1),MATCH(R$1,[3]enemies!$1:$1,0)-MATCH($M$1,[3]enemies!$1:$1,0)+1,FALSE)</f>
        <v>15</v>
      </c>
      <c r="S12" s="136">
        <v>61</v>
      </c>
      <c r="T12" s="137">
        <v>3</v>
      </c>
      <c r="U12" s="137">
        <v>0.8</v>
      </c>
      <c r="V12" s="136">
        <v>0</v>
      </c>
      <c r="W12" s="157">
        <v>41006015</v>
      </c>
      <c r="X12" s="157">
        <v>41006015</v>
      </c>
      <c r="Y12" s="158">
        <v>4</v>
      </c>
    </row>
    <row r="13" spans="1:25" ht="21" customHeight="1" x14ac:dyDescent="0.15">
      <c r="A13" s="16" t="str">
        <f t="shared" si="3"/>
        <v>41006_3-2/367&lt;lv60&gt;sq3st2</v>
      </c>
      <c r="B13" s="22">
        <v>41006</v>
      </c>
      <c r="C13" s="21">
        <v>3</v>
      </c>
      <c r="D13" s="2" t="str">
        <f t="shared" si="4"/>
        <v>41006_3</v>
      </c>
      <c r="E13" s="4" t="str">
        <f ca="1">VLOOKUP($B13,OFFSET([2]quests!$A$1,0,0,COUNTA([2]quests!$A:$A),MATCH(E$1,[2]quests!$1:$1,0)-MATCH($B$1,[2]quests!$1:$1,0)+1),MATCH(E$1,[2]quests!$1:$1,0)-MATCH($B$1,[2]quests!$1:$1,0)+1,FALSE)</f>
        <v>アーサー襲来！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【ノーコンテニュー】アーサー襲来</v>
      </c>
      <c r="G13" s="21">
        <v>2</v>
      </c>
      <c r="H13" s="15" t="str">
        <f t="shared" si="5"/>
        <v>41006_3-2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3</v>
      </c>
      <c r="L13" s="38">
        <v>2</v>
      </c>
      <c r="M13" s="20">
        <v>367</v>
      </c>
      <c r="N13" s="17" t="str">
        <f ca="1">VLOOKUP($M13,OFFSET([3]enemies!$A$1,0,0,COUNTA([3]enemies!$A:$A),MATCH(N$1,[3]enemies!$1:$1,0)-MATCH($M$1,[3]enemies!$1:$1,0)+1),MATCH(N$1,[3]enemies!$1:$1,0)-MATCH($M$1,[3]enemies!$1:$1,0)+1,FALSE)</f>
        <v>爆進の小兵 トト</v>
      </c>
      <c r="O13" s="17" t="str">
        <f ca="1">VLOOKUP($M13,OFFSET([3]enemies!$A$1,0,0,COUNTA([3]enemies!$A:$A),MATCH(O$1,[3]enemies!$1:$1,0)-MATCH($M$1,[3]enemies!$1:$1,0)+1),MATCH(O$1,[3]enemies!$1:$1,0)-MATCH($M$1,[3]enemies!$1:$1,0)+1,FALSE)</f>
        <v>yellow</v>
      </c>
      <c r="P13" s="17" t="str">
        <f ca="1">VLOOKUP($M13,OFFSET([4]characters!$A$1,0,0,COUNTA([4]characters!$A:$A),MATCH(P$1,[4]characters!$1:$1,0)-MATCH($M$1,[4]characters!$1:$1,0)+1),MATCH(P$1,[4]characters!$1:$1,0)-MATCH($M$1,[4]characters!$1:$1,0)+1,FALSE)</f>
        <v>Drop1S</v>
      </c>
      <c r="Q13" s="17" t="str">
        <f ca="1">VLOOKUP($M13,OFFSET([3]enemies!$A$1,0,0,COUNTA([3]enemies!$A:$A),MATCH(Q$1,[3]enemies!$1:$1,0)-MATCH($M$1,[3]enemies!$1:$1,0)+1),MATCH(Q$1,[3]enemies!$1:$1,0)-MATCH($M$1,[3]enemies!$1:$1,0)+1,FALSE)</f>
        <v>animal</v>
      </c>
      <c r="R13" s="17">
        <f ca="1">VLOOKUP($M13,OFFSET([3]enemies!$A$1,0,0,COUNTA([3]enemies!$A:$A),MATCH(R$1,[3]enemies!$1:$1,0)-MATCH($M$1,[3]enemies!$1:$1,0)+1),MATCH(R$1,[3]enemies!$1:$1,0)-MATCH($M$1,[3]enemies!$1:$1,0)+1,FALSE)</f>
        <v>15</v>
      </c>
      <c r="S13" s="5">
        <v>60</v>
      </c>
      <c r="T13" s="25">
        <v>3</v>
      </c>
      <c r="U13" s="25">
        <v>0.8</v>
      </c>
      <c r="V13" s="5">
        <v>0</v>
      </c>
      <c r="W13" s="98">
        <v>41006014</v>
      </c>
      <c r="X13" s="98">
        <v>41006014</v>
      </c>
      <c r="Y13" s="100">
        <v>2</v>
      </c>
    </row>
    <row r="14" spans="1:25" ht="21" customHeight="1" x14ac:dyDescent="0.15">
      <c r="A14" s="16" t="str">
        <f t="shared" si="3"/>
        <v>41006_3-3/234&lt;lv60&gt;sq4st2</v>
      </c>
      <c r="B14" s="22">
        <v>41006</v>
      </c>
      <c r="C14" s="21">
        <v>3</v>
      </c>
      <c r="D14" s="2" t="str">
        <f t="shared" si="4"/>
        <v>41006_3</v>
      </c>
      <c r="E14" s="4" t="str">
        <f ca="1">VLOOKUP($B14,OFFSET([2]quests!$A$1,0,0,COUNTA([2]quests!$A:$A),MATCH(E$1,[2]quests!$1:$1,0)-MATCH($B$1,[2]quests!$1:$1,0)+1),MATCH(E$1,[2]quests!$1:$1,0)-MATCH($B$1,[2]quests!$1:$1,0)+1,FALSE)</f>
        <v>アーサー襲来！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【ノーコンテニュー】アーサー襲来</v>
      </c>
      <c r="G14" s="21">
        <v>3</v>
      </c>
      <c r="H14" s="15" t="str">
        <f t="shared" si="5"/>
        <v>41006_3-3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>
        <v>4</v>
      </c>
      <c r="L14" s="38">
        <v>2</v>
      </c>
      <c r="M14" s="20">
        <v>234</v>
      </c>
      <c r="N14" s="17" t="str">
        <f ca="1">VLOOKUP($M14,OFFSET([3]enemies!$A$1,0,0,COUNTA([3]enemies!$A:$A),MATCH(N$1,[3]enemies!$1:$1,0)-MATCH($M$1,[3]enemies!$1:$1,0)+1),MATCH(N$1,[3]enemies!$1:$1,0)-MATCH($M$1,[3]enemies!$1:$1,0)+1,FALSE)</f>
        <v>精密なる照準 パーシヴァル</v>
      </c>
      <c r="O14" s="17" t="str">
        <f ca="1">VLOOKUP($M14,OFFSET([3]enemies!$A$1,0,0,COUNTA([3]enemies!$A:$A),MATCH(O$1,[3]enemies!$1:$1,0)-MATCH($M$1,[3]enemies!$1:$1,0)+1),MATCH(O$1,[3]enemies!$1:$1,0)-MATCH($M$1,[3]enemies!$1:$1,0)+1,FALSE)</f>
        <v>blue</v>
      </c>
      <c r="P14" s="17" t="str">
        <f ca="1">VLOOKUP($M14,OFFSET([4]characters!$A$1,0,0,COUNTA([4]characters!$A:$A),MATCH(P$1,[4]characters!$1:$1,0)-MATCH($M$1,[4]characters!$1:$1,0)+1),MATCH(P$1,[4]characters!$1:$1,0)-MATCH($M$1,[4]characters!$1:$1,0)+1,FALSE)</f>
        <v>PremiumS</v>
      </c>
      <c r="Q14" s="17" t="str">
        <f ca="1">VLOOKUP($M14,OFFSET([3]enemies!$A$1,0,0,COUNTA([3]enemies!$A:$A),MATCH(Q$1,[3]enemies!$1:$1,0)-MATCH($M$1,[3]enemies!$1:$1,0)+1),MATCH(Q$1,[3]enemies!$1:$1,0)-MATCH($M$1,[3]enemies!$1:$1,0)+1,FALSE)</f>
        <v>human</v>
      </c>
      <c r="R14" s="17">
        <f ca="1">VLOOKUP($M14,OFFSET([3]enemies!$A$1,0,0,COUNTA([3]enemies!$A:$A),MATCH(R$1,[3]enemies!$1:$1,0)-MATCH($M$1,[3]enemies!$1:$1,0)+1),MATCH(R$1,[3]enemies!$1:$1,0)-MATCH($M$1,[3]enemies!$1:$1,0)+1,FALSE)</f>
        <v>60</v>
      </c>
      <c r="S14" s="5">
        <v>60</v>
      </c>
      <c r="T14" s="25">
        <v>4.2</v>
      </c>
      <c r="U14" s="25">
        <v>1.4</v>
      </c>
      <c r="V14" s="5">
        <v>0</v>
      </c>
      <c r="W14" s="98">
        <v>41006017</v>
      </c>
      <c r="X14" s="98">
        <v>41006017</v>
      </c>
      <c r="Y14" s="100">
        <v>1</v>
      </c>
    </row>
    <row r="15" spans="1:25" ht="21" customHeight="1" x14ac:dyDescent="0.15">
      <c r="A15" s="16" t="str">
        <f t="shared" si="3"/>
        <v>41006_3-4/820&lt;lv60&gt;sq5st2</v>
      </c>
      <c r="B15" s="22">
        <v>41006</v>
      </c>
      <c r="C15" s="21">
        <v>3</v>
      </c>
      <c r="D15" s="2" t="str">
        <f t="shared" si="4"/>
        <v>41006_3</v>
      </c>
      <c r="E15" s="4" t="str">
        <f ca="1">VLOOKUP($B15,OFFSET([2]quests!$A$1,0,0,COUNTA([2]quests!$A:$A),MATCH(E$1,[2]quests!$1:$1,0)-MATCH($B$1,[2]quests!$1:$1,0)+1),MATCH(E$1,[2]quests!$1:$1,0)-MATCH($B$1,[2]quests!$1:$1,0)+1,FALSE)</f>
        <v>アーサー襲来！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【ノーコンテニュー】アーサー襲来</v>
      </c>
      <c r="G15" s="21">
        <v>4</v>
      </c>
      <c r="H15" s="15" t="str">
        <f t="shared" si="5"/>
        <v>41006_3-4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5</v>
      </c>
      <c r="L15" s="38">
        <v>2</v>
      </c>
      <c r="M15" s="20">
        <v>820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凶心者の聖儀 アーサー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red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DropWizS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human</v>
      </c>
      <c r="R15" s="17">
        <f ca="1">VLOOKUP($M15,OFFSET([3]enemies!$A$1,0,0,COUNTA([3]enemies!$A:$A),MATCH(R$1,[3]enemies!$1:$1,0)-MATCH($M$1,[3]enemies!$1:$1,0)+1),MATCH(R$1,[3]enemies!$1:$1,0)-MATCH($M$1,[3]enemies!$1:$1,0)+1,FALSE)</f>
        <v>60</v>
      </c>
      <c r="S15" s="5">
        <v>60</v>
      </c>
      <c r="T15" s="25">
        <v>6.4</v>
      </c>
      <c r="U15" s="25">
        <v>1.5</v>
      </c>
      <c r="V15" s="5">
        <v>0</v>
      </c>
      <c r="W15" s="98">
        <v>41006019</v>
      </c>
      <c r="X15" s="98">
        <v>41006019</v>
      </c>
      <c r="Y15" s="100">
        <v>2</v>
      </c>
    </row>
    <row r="16" spans="1:25" ht="21" customHeight="1" x14ac:dyDescent="0.15">
      <c r="A16" s="16" t="str">
        <f t="shared" si="3"/>
        <v>41006_3-4/820&lt;lv60&gt;sq5st3</v>
      </c>
      <c r="B16" s="22">
        <v>41006</v>
      </c>
      <c r="C16" s="21">
        <v>3</v>
      </c>
      <c r="D16" s="2" t="str">
        <f t="shared" si="4"/>
        <v>41006_3</v>
      </c>
      <c r="E16" s="4" t="str">
        <f ca="1">VLOOKUP($B16,OFFSET([2]quests!$A$1,0,0,COUNTA([2]quests!$A:$A),MATCH(E$1,[2]quests!$1:$1,0)-MATCH($B$1,[2]quests!$1:$1,0)+1),MATCH(E$1,[2]quests!$1:$1,0)-MATCH($B$1,[2]quests!$1:$1,0)+1,FALSE)</f>
        <v>アーサー襲来！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【ノーコンテニュー】アーサー襲来</v>
      </c>
      <c r="G16" s="21">
        <v>4</v>
      </c>
      <c r="H16" s="15" t="str">
        <f t="shared" si="5"/>
        <v>41006_3-4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5</v>
      </c>
      <c r="L16" s="38">
        <v>3</v>
      </c>
      <c r="M16" s="20">
        <v>820</v>
      </c>
      <c r="N16" s="17" t="str">
        <f ca="1">VLOOKUP($M16,OFFSET([3]enemies!$A$1,0,0,COUNTA([3]enemies!$A:$A),MATCH(N$1,[3]enemies!$1:$1,0)-MATCH($M$1,[3]enemies!$1:$1,0)+1),MATCH(N$1,[3]enemies!$1:$1,0)-MATCH($M$1,[3]enemies!$1:$1,0)+1,FALSE)</f>
        <v>凶心者の聖儀 アーサー</v>
      </c>
      <c r="O16" s="17" t="str">
        <f ca="1">VLOOKUP($M16,OFFSET([3]enemies!$A$1,0,0,COUNTA([3]enemies!$A:$A),MATCH(O$1,[3]enemies!$1:$1,0)-MATCH($M$1,[3]enemies!$1:$1,0)+1),MATCH(O$1,[3]enemies!$1:$1,0)-MATCH($M$1,[3]enemies!$1:$1,0)+1,FALSE)</f>
        <v>red</v>
      </c>
      <c r="P16" s="17" t="str">
        <f ca="1">VLOOKUP($M16,OFFSET([4]characters!$A$1,0,0,COUNTA([4]characters!$A:$A),MATCH(P$1,[4]characters!$1:$1,0)-MATCH($M$1,[4]characters!$1:$1,0)+1),MATCH(P$1,[4]characters!$1:$1,0)-MATCH($M$1,[4]characters!$1:$1,0)+1,FALSE)</f>
        <v>DropWizS</v>
      </c>
      <c r="Q16" s="17" t="str">
        <f ca="1">VLOOKUP($M16,OFFSET([3]enemies!$A$1,0,0,COUNTA([3]enemies!$A:$A),MATCH(Q$1,[3]enemies!$1:$1,0)-MATCH($M$1,[3]enemies!$1:$1,0)+1),MATCH(Q$1,[3]enemies!$1:$1,0)-MATCH($M$1,[3]enemies!$1:$1,0)+1,FALSE)</f>
        <v>human</v>
      </c>
      <c r="R16" s="17">
        <f ca="1">VLOOKUP($M16,OFFSET([3]enemies!$A$1,0,0,COUNTA([3]enemies!$A:$A),MATCH(R$1,[3]enemies!$1:$1,0)-MATCH($M$1,[3]enemies!$1:$1,0)+1),MATCH(R$1,[3]enemies!$1:$1,0)-MATCH($M$1,[3]enemies!$1:$1,0)+1,FALSE)</f>
        <v>60</v>
      </c>
      <c r="S16" s="5">
        <v>60</v>
      </c>
      <c r="T16" s="25">
        <v>6.6</v>
      </c>
      <c r="U16" s="25">
        <v>1.7</v>
      </c>
      <c r="V16" s="5">
        <v>0</v>
      </c>
      <c r="W16" s="98">
        <v>41006020</v>
      </c>
      <c r="X16" s="98">
        <v>41006020</v>
      </c>
      <c r="Y16" s="100">
        <v>2</v>
      </c>
    </row>
  </sheetData>
  <sheetProtection selectLockedCells="1" selectUnlockedCells="1"/>
  <autoFilter ref="B1:Y6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85"/>
  <sheetViews>
    <sheetView showGridLines="0" zoomScale="90" zoomScaleNormal="90" zoomScalePageLayoutView="90" workbookViewId="0">
      <pane xSplit="5" ySplit="1" topLeftCell="F147" activePane="bottomRight" state="frozen"/>
      <selection pane="topRight"/>
      <selection pane="bottomLeft"/>
      <selection pane="bottomRight" activeCell="C172" sqref="C17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41006001_41006001</v>
      </c>
      <c r="B2" s="148">
        <v>41006001</v>
      </c>
      <c r="C2" s="148">
        <v>41006001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彼に会いに来たのかね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悪いが、お引取りいただこう</v>
      </c>
      <c r="F2" s="148">
        <v>41006001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 t="s">
        <v>225</v>
      </c>
    </row>
    <row r="3" spans="1:18" ht="21" customHeight="1" x14ac:dyDescent="0.15">
      <c r="A3" s="39" t="str">
        <f t="shared" ref="A3:A4" si="1">B3&amp;"_"&amp;C3</f>
        <v>41006001_41006002</v>
      </c>
      <c r="B3" s="148">
        <v>41006001</v>
      </c>
      <c r="C3" s="148">
        <v>41006002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トリニティバレット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" s="148">
        <v>41006002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7"/>
      <c r="Q3" s="47"/>
      <c r="R3" s="47" t="s">
        <v>225</v>
      </c>
    </row>
    <row r="4" spans="1:18" ht="21" customHeight="1" x14ac:dyDescent="0.15">
      <c r="A4" s="39" t="str">
        <f t="shared" si="1"/>
        <v>41006001_41006003</v>
      </c>
      <c r="B4" s="148">
        <v>41006001</v>
      </c>
      <c r="C4" s="148">
        <v>41006003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フェイタルスプレッド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青属性以外のユニットに大ダメージ</v>
      </c>
      <c r="F4" s="148">
        <v>41006003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4" s="47"/>
      <c r="Q4" s="47"/>
      <c r="R4" s="47" t="s">
        <v>225</v>
      </c>
    </row>
    <row r="5" spans="1:18" ht="21" customHeight="1" x14ac:dyDescent="0.15">
      <c r="A5" s="39" t="str">
        <f t="shared" ref="A5:A8" si="2">B5&amp;"_"&amp;C5</f>
        <v>41006001_41006004</v>
      </c>
      <c r="B5" s="148">
        <v>41006001</v>
      </c>
      <c r="C5" s="148">
        <v>41006004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確かに彼は歪んでしまった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それでも今のALICEには、彼が必要なのだよ</v>
      </c>
      <c r="F5" s="148">
        <v>41006004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 t="s">
        <v>225</v>
      </c>
    </row>
    <row r="6" spans="1:18" ht="21" customHeight="1" x14ac:dyDescent="0.15">
      <c r="A6" s="39" t="str">
        <f t="shared" si="2"/>
        <v>41006001_41006005</v>
      </c>
      <c r="B6" s="148">
        <v>41006001</v>
      </c>
      <c r="C6" s="148">
        <v>41006005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この手は使いたくなかったが…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3ターン暗闇＋次のターン強力な攻撃</v>
      </c>
      <c r="F6" s="148">
        <v>41006005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 t="s">
        <v>225</v>
      </c>
    </row>
    <row r="7" spans="1:18" ht="21" customHeight="1" x14ac:dyDescent="0.15">
      <c r="A7" s="39" t="str">
        <f t="shared" si="2"/>
        <v>41006001_41006006</v>
      </c>
      <c r="B7" s="148">
        <v>41006001</v>
      </c>
      <c r="C7" s="148">
        <v>41006006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いかせてもらおうか！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銃弾の嵐が戦場を埋め尽くす！</v>
      </c>
      <c r="F7" s="148">
        <v>41006006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 t="s">
        <v>225</v>
      </c>
    </row>
    <row r="8" spans="1:18" ht="21" customHeight="1" x14ac:dyDescent="0.15">
      <c r="A8" s="39" t="str">
        <f t="shared" si="2"/>
        <v>41006002_41006007</v>
      </c>
      <c r="B8" s="148">
        <v>41006002</v>
      </c>
      <c r="C8" s="148">
        <v>41006007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…おじさんがやられた？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本気で戦うしかないみたいだね…</v>
      </c>
      <c r="F8" s="148">
        <v>41006007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 t="s">
        <v>381</v>
      </c>
    </row>
    <row r="9" spans="1:18" ht="21" customHeight="1" x14ac:dyDescent="0.15">
      <c r="A9" s="39" t="str">
        <f t="shared" ref="A9:A10" si="3">B9&amp;"_"&amp;C9</f>
        <v>41006002_41006008</v>
      </c>
      <c r="B9" s="148">
        <v>41006002</v>
      </c>
      <c r="C9" s="148">
        <v>41006008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カーペットボミング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ハートパネル吸収攻撃（最大8個まで）</v>
      </c>
      <c r="F9" s="148">
        <v>41006008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 t="s">
        <v>381</v>
      </c>
    </row>
    <row r="10" spans="1:18" ht="21" customHeight="1" x14ac:dyDescent="0.15">
      <c r="A10" s="39" t="str">
        <f t="shared" si="3"/>
        <v>41006002_41006009</v>
      </c>
      <c r="B10" s="148">
        <v>41006002</v>
      </c>
      <c r="C10" s="148">
        <v>41006009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アクセルカノン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次の攻撃頻度が1にUP＋攻撃</v>
      </c>
      <c r="F10" s="148">
        <v>41006009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 t="s">
        <v>381</v>
      </c>
    </row>
    <row r="11" spans="1:18" ht="21" customHeight="1" x14ac:dyDescent="0.15">
      <c r="A11" s="39" t="str">
        <f t="shared" ref="A11:A13" si="4">B11&amp;"_"&amp;C11</f>
        <v>41006002_41006010</v>
      </c>
      <c r="B11" s="148">
        <v>41006002</v>
      </c>
      <c r="C11" s="148">
        <v>41006010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ウェポンクラッシュ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3ターンタップ回数を1減少＋全体攻撃</v>
      </c>
      <c r="F11" s="148">
        <v>41006010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" s="47"/>
      <c r="Q11" s="47"/>
      <c r="R11" s="47" t="s">
        <v>381</v>
      </c>
    </row>
    <row r="12" spans="1:18" ht="21" customHeight="1" x14ac:dyDescent="0.15">
      <c r="A12" s="39" t="str">
        <f t="shared" si="4"/>
        <v>41006002_41006011</v>
      </c>
      <c r="B12" s="148">
        <v>41006002</v>
      </c>
      <c r="C12" s="148">
        <v>41006011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弱い者いじめはダメ…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2" s="148">
        <v>41006011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367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 t="s">
        <v>381</v>
      </c>
    </row>
    <row r="13" spans="1:18" ht="21" customHeight="1" x14ac:dyDescent="0.15">
      <c r="A13" s="39" t="str">
        <f t="shared" si="4"/>
        <v>41006002_41006012</v>
      </c>
      <c r="B13" s="148">
        <v>41006002</v>
      </c>
      <c r="C13" s="148">
        <v>41006012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もう…許さないよ…！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13" s="148">
        <v>41006012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367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 t="s">
        <v>381</v>
      </c>
    </row>
    <row r="14" spans="1:18" ht="21" customHeight="1" x14ac:dyDescent="0.15">
      <c r="A14" s="39" t="str">
        <f t="shared" ref="A14:A16" si="5">B14&amp;"_"&amp;C14</f>
        <v>41006003_41006013</v>
      </c>
      <c r="B14" s="148">
        <v>41006003</v>
      </c>
      <c r="C14" s="148">
        <v>41006013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外敵排除！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4" s="148">
        <v>41006013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 t="s">
        <v>224</v>
      </c>
    </row>
    <row r="15" spans="1:18" ht="21" customHeight="1" x14ac:dyDescent="0.15">
      <c r="A15" s="39" t="str">
        <f t="shared" si="5"/>
        <v>41006003_41006014</v>
      </c>
      <c r="B15" s="148">
        <v>41006003</v>
      </c>
      <c r="C15" s="148">
        <v>41006014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燃料投下！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ハート出現</v>
      </c>
      <c r="F15" s="148">
        <v>41006014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 t="s">
        <v>224</v>
      </c>
    </row>
    <row r="16" spans="1:18" ht="21" customHeight="1" x14ac:dyDescent="0.15">
      <c r="A16" s="39" t="str">
        <f t="shared" si="5"/>
        <v>41006004_41006015</v>
      </c>
      <c r="B16" s="148">
        <v>41006004</v>
      </c>
      <c r="C16" s="148">
        <v>41006015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砲弾装填！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16" s="148">
        <v>41006015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 t="s">
        <v>223</v>
      </c>
    </row>
    <row r="17" spans="1:18" ht="21" customHeight="1" x14ac:dyDescent="0.15">
      <c r="A17" s="39" t="str">
        <f t="shared" ref="A17:A26" si="6">B17&amp;"_"&amp;C17</f>
        <v>41006005_41006016</v>
      </c>
      <c r="B17" s="148">
        <v>41006005</v>
      </c>
      <c r="C17" s="148">
        <v>41006016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止まりなさい！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あなたの相手はこの私よ…！</v>
      </c>
      <c r="F17" s="148">
        <v>41006016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 t="s">
        <v>222</v>
      </c>
    </row>
    <row r="18" spans="1:18" ht="21" customHeight="1" x14ac:dyDescent="0.15">
      <c r="A18" s="39" t="str">
        <f t="shared" ref="A18:A19" si="7">B18&amp;"_"&amp;C18</f>
        <v>41006005_41006017</v>
      </c>
      <c r="B18" s="148">
        <v>41006005</v>
      </c>
      <c r="C18" s="148">
        <v>41006017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バーストショット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8" s="148">
        <v>41006017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7"/>
      <c r="Q18" s="47"/>
      <c r="R18" s="47" t="s">
        <v>222</v>
      </c>
    </row>
    <row r="19" spans="1:18" ht="21" customHeight="1" x14ac:dyDescent="0.15">
      <c r="A19" s="39" t="str">
        <f t="shared" si="7"/>
        <v>41006005_41006018</v>
      </c>
      <c r="B19" s="148">
        <v>41006005</v>
      </c>
      <c r="C19" s="148">
        <v>41006018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フリーズショット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お邪魔パネル出現＋攻撃</v>
      </c>
      <c r="F19" s="148">
        <v>41006018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9" s="47"/>
      <c r="Q19" s="47"/>
      <c r="R19" s="47" t="s">
        <v>222</v>
      </c>
    </row>
    <row r="20" spans="1:18" ht="21" customHeight="1" x14ac:dyDescent="0.15">
      <c r="A20" s="39" t="str">
        <f t="shared" ref="A20:A23" si="8">B20&amp;"_"&amp;C20</f>
        <v>41006005_41006019</v>
      </c>
      <c r="B20" s="148">
        <v>41006005</v>
      </c>
      <c r="C20" s="148">
        <v>41006019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ステイシス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ユニット1体に3ターンスリープ</v>
      </c>
      <c r="F20" s="148">
        <v>41006019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 t="s">
        <v>222</v>
      </c>
    </row>
    <row r="21" spans="1:18" ht="21" customHeight="1" x14ac:dyDescent="0.15">
      <c r="A21" s="39" t="str">
        <f t="shared" si="8"/>
        <v>41006005_41006020</v>
      </c>
      <c r="B21" s="148">
        <v>41006005</v>
      </c>
      <c r="C21" s="148">
        <v>41006020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レストレイン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ユニット1体に3ターンスキルバインド</v>
      </c>
      <c r="F21" s="148">
        <v>41006020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 t="s">
        <v>222</v>
      </c>
    </row>
    <row r="22" spans="1:18" ht="21" customHeight="1" x14ac:dyDescent="0.15">
      <c r="A22" s="39" t="str">
        <f t="shared" si="8"/>
        <v>41006005_41006021</v>
      </c>
      <c r="B22" s="148">
        <v>41006005</v>
      </c>
      <c r="C22" s="148">
        <v>41006021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魔銃解放…！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解除されるまで攻撃力UP</v>
      </c>
      <c r="F22" s="148">
        <v>41006021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 t="s">
        <v>222</v>
      </c>
    </row>
    <row r="23" spans="1:18" ht="21" customHeight="1" x14ac:dyDescent="0.15">
      <c r="A23" s="39" t="str">
        <f t="shared" si="8"/>
        <v>41006005_41006022</v>
      </c>
      <c r="B23" s="148">
        <v>41006005</v>
      </c>
      <c r="C23" s="148">
        <v>41006022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紅を穿つ閃光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5ターン赤パネルが使えない！＋攻撃</v>
      </c>
      <c r="F23" s="148">
        <v>41006022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 t="s">
        <v>222</v>
      </c>
    </row>
    <row r="24" spans="1:18" ht="21" customHeight="1" x14ac:dyDescent="0.15">
      <c r="A24" s="39" t="str">
        <f t="shared" ref="A24" si="9">B24&amp;"_"&amp;C24</f>
        <v>41006005_41006023</v>
      </c>
      <c r="B24" s="148">
        <v>41006005</v>
      </c>
      <c r="C24" s="148">
        <v>41006023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琥を穿つ衝撃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5ターン黄パネルが使えない！＋攻撃</v>
      </c>
      <c r="F24" s="148">
        <v>41006023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 t="s">
        <v>222</v>
      </c>
    </row>
    <row r="25" spans="1:18" ht="21" customHeight="1" x14ac:dyDescent="0.15">
      <c r="A25" s="39" t="str">
        <f t="shared" si="6"/>
        <v>41006005_41006024</v>
      </c>
      <c r="B25" s="148">
        <v>41006005</v>
      </c>
      <c r="C25" s="148">
        <v>41006024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翠を穿つ波動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5ターン緑パネルが使えない！＋攻撃</v>
      </c>
      <c r="F25" s="148">
        <v>41006024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 t="s">
        <v>222</v>
      </c>
    </row>
    <row r="26" spans="1:18" ht="21" customHeight="1" x14ac:dyDescent="0.15">
      <c r="A26" s="39" t="str">
        <f t="shared" si="6"/>
        <v>41006006_41006025</v>
      </c>
      <c r="B26" s="148">
        <v>41006006</v>
      </c>
      <c r="C26" s="148">
        <v>41006025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調子に乗らないで…！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フィーバーゲージを0にする</v>
      </c>
      <c r="F26" s="148">
        <v>41006025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 t="s">
        <v>221</v>
      </c>
    </row>
    <row r="27" spans="1:18" ht="21" customHeight="1" x14ac:dyDescent="0.15">
      <c r="A27" s="39" t="str">
        <f t="shared" ref="A27:A28" si="10">B27&amp;"_"&amp;C27</f>
        <v>41006006_41006026</v>
      </c>
      <c r="B27" s="148">
        <v>41006006</v>
      </c>
      <c r="C27" s="148">
        <v>41006026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ガトリングショット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27" s="148">
        <v>41006026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 t="s">
        <v>221</v>
      </c>
    </row>
    <row r="28" spans="1:18" ht="21" customHeight="1" x14ac:dyDescent="0.15">
      <c r="A28" s="39" t="str">
        <f t="shared" si="10"/>
        <v>41006006_41006027</v>
      </c>
      <c r="B28" s="148">
        <v>41006006</v>
      </c>
      <c r="C28" s="148">
        <v>41006027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ライフスティール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全体攻撃＋小回復</v>
      </c>
      <c r="F28" s="148">
        <v>41006027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" s="47"/>
      <c r="Q28" s="47"/>
      <c r="R28" s="47" t="s">
        <v>221</v>
      </c>
    </row>
    <row r="29" spans="1:18" ht="21" customHeight="1" x14ac:dyDescent="0.15">
      <c r="A29" s="39" t="str">
        <f t="shared" ref="A29:A31" si="11">B29&amp;"_"&amp;C29</f>
        <v>41006006_41006028</v>
      </c>
      <c r="B29" s="148">
        <v>41006006</v>
      </c>
      <c r="C29" s="148">
        <v>41006028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コールドロック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お邪魔パネル4個生成</v>
      </c>
      <c r="F29" s="148">
        <v>41006028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 t="s">
        <v>221</v>
      </c>
    </row>
    <row r="30" spans="1:18" ht="21" customHeight="1" x14ac:dyDescent="0.15">
      <c r="A30" s="39" t="str">
        <f t="shared" si="11"/>
        <v>41006006_41006029</v>
      </c>
      <c r="B30" s="148">
        <v>41006006</v>
      </c>
      <c r="C30" s="148">
        <v>41006029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引導を渡してあげる！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強力なお邪魔パネル吸収攻撃</v>
      </c>
      <c r="F30" s="148">
        <v>41006029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 t="s">
        <v>221</v>
      </c>
    </row>
    <row r="31" spans="1:18" ht="21" customHeight="1" x14ac:dyDescent="0.15">
      <c r="A31" s="39" t="str">
        <f t="shared" si="11"/>
        <v>41006007_41006030</v>
      </c>
      <c r="B31" s="148">
        <v>41006007</v>
      </c>
      <c r="C31" s="148">
        <v>41006030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みんな、下がってくれ！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ここは俺が前に出る！</v>
      </c>
      <c r="F31" s="148">
        <v>41006030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 t="s">
        <v>218</v>
      </c>
    </row>
    <row r="32" spans="1:18" ht="21" customHeight="1" x14ac:dyDescent="0.15">
      <c r="A32" s="39" t="str">
        <f t="shared" ref="A32" si="12">B32&amp;"_"&amp;C32</f>
        <v>41006007_41006031</v>
      </c>
      <c r="B32" s="148">
        <v>41006007</v>
      </c>
      <c r="C32" s="148">
        <v>41006031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レイディアント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5ターン攻撃力UP</v>
      </c>
      <c r="F32" s="148">
        <v>41006031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 t="s">
        <v>218</v>
      </c>
    </row>
    <row r="33" spans="1:18" ht="21" customHeight="1" x14ac:dyDescent="0.15">
      <c r="A33" s="39" t="str">
        <f t="shared" ref="A33:A34" si="13">B33&amp;"_"&amp;C33</f>
        <v>41006007_41006032</v>
      </c>
      <c r="B33" s="148">
        <v>41006007</v>
      </c>
      <c r="C33" s="148">
        <v>41006032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老、力を貸してくれ！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5ターンパネルの色が分からなくなる！</v>
      </c>
      <c r="F33" s="148">
        <v>41006032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 t="s">
        <v>218</v>
      </c>
    </row>
    <row r="34" spans="1:18" ht="21" customHeight="1" x14ac:dyDescent="0.15">
      <c r="A34" s="39" t="str">
        <f t="shared" si="13"/>
        <v>41006007_41006033</v>
      </c>
      <c r="B34" s="148">
        <v>41006007</v>
      </c>
      <c r="C34" s="148">
        <v>41006033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エクスシュレッドIII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4" s="148">
        <v>41006033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 t="s">
        <v>218</v>
      </c>
    </row>
    <row r="35" spans="1:18" ht="21" customHeight="1" x14ac:dyDescent="0.15">
      <c r="A35" s="39" t="str">
        <f t="shared" ref="A35:A37" si="14">B35&amp;"_"&amp;C35</f>
        <v>41006007_41006034</v>
      </c>
      <c r="B35" s="148">
        <v>41006007</v>
      </c>
      <c r="C35" s="148">
        <v>41006034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エクスシュレッドIV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5" s="148">
        <v>41006034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 t="s">
        <v>218</v>
      </c>
    </row>
    <row r="36" spans="1:18" ht="21" customHeight="1" x14ac:dyDescent="0.15">
      <c r="A36" s="39" t="str">
        <f t="shared" si="14"/>
        <v>41006007_41006035</v>
      </c>
      <c r="B36" s="148">
        <v>41006007</v>
      </c>
      <c r="C36" s="148">
        <v>41006035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エクスシュレッドV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6" s="148">
        <v>41006035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 t="s">
        <v>218</v>
      </c>
    </row>
    <row r="37" spans="1:18" ht="21" customHeight="1" x14ac:dyDescent="0.15">
      <c r="A37" s="39" t="str">
        <f t="shared" si="14"/>
        <v>41006007_41006036</v>
      </c>
      <c r="B37" s="148">
        <v>41006007</v>
      </c>
      <c r="C37" s="148">
        <v>41006036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エクスシュレッドVI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37" s="148">
        <v>41006036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 t="s">
        <v>218</v>
      </c>
    </row>
    <row r="38" spans="1:18" ht="21" customHeight="1" x14ac:dyDescent="0.15">
      <c r="A38" s="39" t="str">
        <f t="shared" ref="A38" si="15">B38&amp;"_"&amp;C38</f>
        <v>41006007_41006037</v>
      </c>
      <c r="B38" s="148">
        <v>41006007</v>
      </c>
      <c r="C38" s="148">
        <v>41006037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スパイラルソード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8" s="148">
        <v>41006037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 t="s">
        <v>218</v>
      </c>
    </row>
    <row r="39" spans="1:18" ht="21" customHeight="1" x14ac:dyDescent="0.15">
      <c r="A39" s="39" t="str">
        <f t="shared" ref="A39:A41" si="16">B39&amp;"_"&amp;C39</f>
        <v>41006008_41006038</v>
      </c>
      <c r="B39" s="148">
        <v>41006008</v>
      </c>
      <c r="C39" s="148">
        <v>41006038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君の力は本物らしいな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だが、その力も正義のための礎となる！</v>
      </c>
      <c r="F39" s="148">
        <v>41006038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 t="s">
        <v>219</v>
      </c>
    </row>
    <row r="40" spans="1:18" ht="21" customHeight="1" x14ac:dyDescent="0.15">
      <c r="A40" s="39" t="str">
        <f t="shared" si="16"/>
        <v>41006008_41006039</v>
      </c>
      <c r="B40" s="148">
        <v>41006008</v>
      </c>
      <c r="C40" s="148">
        <v>41006039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パーシ、援護を頼む！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お邪魔パネル6つ出現</v>
      </c>
      <c r="F40" s="148">
        <v>41006039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 t="s">
        <v>219</v>
      </c>
    </row>
    <row r="41" spans="1:18" ht="21" customHeight="1" x14ac:dyDescent="0.15">
      <c r="A41" s="39" t="str">
        <f t="shared" si="16"/>
        <v>41006008_41006040</v>
      </c>
      <c r="B41" s="148">
        <v>41006008</v>
      </c>
      <c r="C41" s="148">
        <v>41006040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トリス、畳み掛けるぞ！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ハートパネル吸収攻撃（最大8個まで）</v>
      </c>
      <c r="F41" s="148">
        <v>41006040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 t="s">
        <v>219</v>
      </c>
    </row>
    <row r="42" spans="1:18" ht="21" customHeight="1" x14ac:dyDescent="0.15">
      <c r="A42" s="39" t="str">
        <f t="shared" ref="A42:A44" si="17">B42&amp;"_"&amp;C42</f>
        <v>41006008_41006041</v>
      </c>
      <c r="B42" s="148">
        <v>41006008</v>
      </c>
      <c r="C42" s="148">
        <v>41006041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エクスシュレッドVI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42" s="148">
        <v>41006041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 t="s">
        <v>219</v>
      </c>
    </row>
    <row r="43" spans="1:18" ht="21" customHeight="1" x14ac:dyDescent="0.15">
      <c r="A43" s="39" t="str">
        <f t="shared" si="17"/>
        <v>41006008_41006042</v>
      </c>
      <c r="B43" s="148">
        <v>41006008</v>
      </c>
      <c r="C43" s="148">
        <v>41006042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エクスシュレッドVII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43" s="148">
        <v>41006042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 t="s">
        <v>219</v>
      </c>
    </row>
    <row r="44" spans="1:18" ht="21" customHeight="1" x14ac:dyDescent="0.15">
      <c r="A44" s="39" t="str">
        <f t="shared" si="17"/>
        <v>41006008_41006043</v>
      </c>
      <c r="B44" s="148">
        <v>41006008</v>
      </c>
      <c r="C44" s="148">
        <v>41006043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エクスシュレッドVIII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44" s="148">
        <v>41006043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 t="s">
        <v>219</v>
      </c>
    </row>
    <row r="45" spans="1:18" ht="21" customHeight="1" x14ac:dyDescent="0.15">
      <c r="A45" s="39" t="str">
        <f t="shared" ref="A45" si="18">B45&amp;"_"&amp;C45</f>
        <v>41006008_41006044</v>
      </c>
      <c r="B45" s="148">
        <v>41006008</v>
      </c>
      <c r="C45" s="148">
        <v>41006044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オールレンジスライサー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赤パネルを6つ時限式ダメージパネルに変換</v>
      </c>
      <c r="F45" s="148">
        <v>41006044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5" s="47"/>
      <c r="Q45" s="47"/>
      <c r="R45" s="47" t="s">
        <v>219</v>
      </c>
    </row>
    <row r="46" spans="1:18" ht="21" customHeight="1" x14ac:dyDescent="0.15">
      <c r="A46" s="39" t="str">
        <f t="shared" ref="A46:A51" si="19">B46&amp;"_"&amp;C46</f>
        <v>41006008_41006045</v>
      </c>
      <c r="B46" s="148">
        <v>41006008</v>
      </c>
      <c r="C46" s="148">
        <v>41006045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オールレンジスライサー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赤パネルを4つ時限式ダメージパネルに変換</v>
      </c>
      <c r="F46" s="148">
        <v>41006045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 t="s">
        <v>219</v>
      </c>
    </row>
    <row r="47" spans="1:18" ht="21" customHeight="1" x14ac:dyDescent="0.15">
      <c r="A47" s="39" t="str">
        <f t="shared" si="19"/>
        <v>41006008_41006046</v>
      </c>
      <c r="B47" s="148">
        <v>41006008</v>
      </c>
      <c r="C47" s="148">
        <v>41006046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アサルトスタンス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2ターン攻撃頻度が1ターンにUP</v>
      </c>
      <c r="F47" s="148">
        <v>41006046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7" s="47"/>
      <c r="Q47" s="47"/>
      <c r="R47" s="47" t="s">
        <v>219</v>
      </c>
    </row>
    <row r="48" spans="1:18" ht="21" customHeight="1" x14ac:dyDescent="0.15">
      <c r="A48" s="39" t="str">
        <f t="shared" si="19"/>
        <v>41006009_41006047</v>
      </c>
      <c r="B48" s="148">
        <v>41006009</v>
      </c>
      <c r="C48" s="148">
        <v>41006047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俺の正義を見せてやる！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HPが多いと強力なスキルを連発する</v>
      </c>
      <c r="F48" s="148">
        <v>41006047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 t="s">
        <v>220</v>
      </c>
    </row>
    <row r="49" spans="1:18" ht="21" customHeight="1" x14ac:dyDescent="0.15">
      <c r="A49" s="39" t="str">
        <f t="shared" si="19"/>
        <v>41006009_41006048</v>
      </c>
      <c r="B49" s="148">
        <v>41006009</v>
      </c>
      <c r="C49" s="148">
        <v>41006048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ジャスティス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HPが多いほど強力な全体攻撃</v>
      </c>
      <c r="F49" s="148">
        <v>41006048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90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 t="s">
        <v>220</v>
      </c>
    </row>
    <row r="50" spans="1:18" ht="21" customHeight="1" x14ac:dyDescent="0.15">
      <c r="A50" s="39" t="str">
        <f t="shared" si="19"/>
        <v>41006009_41006049</v>
      </c>
      <c r="B50" s="148">
        <v>41006009</v>
      </c>
      <c r="C50" s="148">
        <v>41006049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ジャスティス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HPが多いほど強力な全体攻撃</v>
      </c>
      <c r="F50" s="148">
        <v>41006049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82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 t="s">
        <v>220</v>
      </c>
    </row>
    <row r="51" spans="1:18" ht="21" customHeight="1" x14ac:dyDescent="0.15">
      <c r="A51" s="39" t="str">
        <f t="shared" si="19"/>
        <v>41006009_41006050</v>
      </c>
      <c r="B51" s="148">
        <v>41006009</v>
      </c>
      <c r="C51" s="148">
        <v>41006050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ジャスティス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HPが多いほど強力な全体攻撃</v>
      </c>
      <c r="F51" s="148">
        <v>41006050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28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 t="s">
        <v>220</v>
      </c>
    </row>
    <row r="52" spans="1:18" ht="21" customHeight="1" x14ac:dyDescent="0.15">
      <c r="A52" s="39" t="str">
        <f t="shared" ref="A52:A54" si="20">B52&amp;"_"&amp;C52</f>
        <v>41006009_41006051</v>
      </c>
      <c r="B52" s="148">
        <v>41006009</v>
      </c>
      <c r="C52" s="148">
        <v>41006051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エクスシュレッドIX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9回連続攻撃</v>
      </c>
      <c r="F52" s="148">
        <v>41006051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2" s="47"/>
      <c r="Q52" s="47"/>
      <c r="R52" s="47" t="s">
        <v>220</v>
      </c>
    </row>
    <row r="53" spans="1:18" ht="21" customHeight="1" x14ac:dyDescent="0.15">
      <c r="A53" s="39" t="str">
        <f t="shared" si="20"/>
        <v>41006009_41006052</v>
      </c>
      <c r="B53" s="148">
        <v>41006009</v>
      </c>
      <c r="C53" s="148">
        <v>41006052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ソードオブマジック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Cパネル吸収攻撃</v>
      </c>
      <c r="F53" s="148">
        <v>41006052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 t="s">
        <v>220</v>
      </c>
    </row>
    <row r="54" spans="1:18" ht="21" customHeight="1" x14ac:dyDescent="0.15">
      <c r="A54" s="39" t="str">
        <f t="shared" si="20"/>
        <v>41006009_41006053</v>
      </c>
      <c r="B54" s="148">
        <v>41006009</v>
      </c>
      <c r="C54" s="148">
        <v>41006053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シースオブマジック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Cパネル吸収回復</v>
      </c>
      <c r="F54" s="148">
        <v>41006053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4" s="48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4" s="47"/>
      <c r="Q54" s="47"/>
      <c r="R54" s="47" t="s">
        <v>220</v>
      </c>
    </row>
    <row r="55" spans="1:18" ht="21" customHeight="1" x14ac:dyDescent="0.15">
      <c r="A55" s="39" t="str">
        <f t="shared" ref="A55:A178" si="21">B55&amp;"_"&amp;C55</f>
        <v>41006009_41006054</v>
      </c>
      <c r="B55" s="148">
        <v>41006009</v>
      </c>
      <c r="C55" s="148">
        <v>41006054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俺はまだ生きているぞ…！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HPが減るほど強力なスキルを連発する</v>
      </c>
      <c r="F55" s="148">
        <v>41006054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 t="s">
        <v>220</v>
      </c>
    </row>
    <row r="56" spans="1:18" ht="21" customHeight="1" x14ac:dyDescent="0.15">
      <c r="A56" s="39" t="str">
        <f t="shared" si="21"/>
        <v>41006009_41006055</v>
      </c>
      <c r="B56" s="148">
        <v>41006009</v>
      </c>
      <c r="C56" s="148">
        <v>41006055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ディストピア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HPが少ないほど強力な全体攻撃</v>
      </c>
      <c r="F56" s="148">
        <v>41006055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 t="s">
        <v>220</v>
      </c>
    </row>
    <row r="57" spans="1:18" ht="21" customHeight="1" x14ac:dyDescent="0.15">
      <c r="A57" s="39" t="str">
        <f t="shared" si="21"/>
        <v>41006009_41006056</v>
      </c>
      <c r="B57" s="148">
        <v>41006009</v>
      </c>
      <c r="C57" s="148">
        <v>41006056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ディストピア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HPが少ないほど強力な全体攻撃</v>
      </c>
      <c r="F57" s="148">
        <v>41006056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 t="s">
        <v>220</v>
      </c>
    </row>
    <row r="58" spans="1:18" ht="21" customHeight="1" x14ac:dyDescent="0.15">
      <c r="A58" s="39" t="str">
        <f t="shared" si="21"/>
        <v>41006009_41006057</v>
      </c>
      <c r="B58" s="148">
        <v>41006009</v>
      </c>
      <c r="C58" s="148">
        <v>41006057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ディストピア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HPが少ないほど強力な全体攻撃</v>
      </c>
      <c r="F58" s="148">
        <v>41006057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 t="s">
        <v>220</v>
      </c>
    </row>
    <row r="59" spans="1:18" ht="21" customHeight="1" x14ac:dyDescent="0.15">
      <c r="A59" s="39" t="str">
        <f t="shared" si="21"/>
        <v>41006011_41006001</v>
      </c>
      <c r="B59" s="47">
        <v>41006011</v>
      </c>
      <c r="C59" s="159">
        <v>41006001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彼に会いに来たのかね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悪いが、お引取りいただこう</v>
      </c>
      <c r="F59" s="47">
        <v>41006001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 t="s">
        <v>225</v>
      </c>
    </row>
    <row r="60" spans="1:18" ht="21" customHeight="1" x14ac:dyDescent="0.15">
      <c r="A60" s="39" t="str">
        <f t="shared" ref="A60" si="22">B60&amp;"_"&amp;C60</f>
        <v>41006011_41006072</v>
      </c>
      <c r="B60" s="47">
        <v>41006011</v>
      </c>
      <c r="C60" s="159">
        <v>41006072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お前の覚悟を見せてみろ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場合によっちゃ道を譲るぞ　モルドレッド！！</v>
      </c>
      <c r="F60" s="47">
        <v>41006065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819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 t="s">
        <v>225</v>
      </c>
    </row>
    <row r="61" spans="1:18" ht="21" customHeight="1" x14ac:dyDescent="0.15">
      <c r="A61" s="39" t="str">
        <f t="shared" ref="A61:A62" si="23">B61&amp;"_"&amp;C61</f>
        <v>41006011_41006073</v>
      </c>
      <c r="B61" s="47">
        <v>41006011</v>
      </c>
      <c r="C61" s="159">
        <v>41006073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お前の覚悟を見せてみろ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場合によっちゃ道を譲るぞ　モルドレッド！！</v>
      </c>
      <c r="F61" s="47">
        <v>41006066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 t="s">
        <v>225</v>
      </c>
    </row>
    <row r="62" spans="1:18" ht="21" customHeight="1" x14ac:dyDescent="0.15">
      <c r="A62" s="39" t="str">
        <f t="shared" si="23"/>
        <v>41006011_41006074</v>
      </c>
      <c r="B62" s="47">
        <v>41006011</v>
      </c>
      <c r="C62" s="159">
        <v>41006074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お前の覚悟を見せてみろ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場合によっちゃ道を譲るぞ　モルドレッド！！</v>
      </c>
      <c r="F62" s="47">
        <v>41006067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 t="s">
        <v>225</v>
      </c>
    </row>
    <row r="63" spans="1:18" ht="21" customHeight="1" x14ac:dyDescent="0.15">
      <c r="A63" s="39" t="str">
        <f t="shared" ref="A63:A66" si="24">B63&amp;"_"&amp;C63</f>
        <v>41006011_41006075</v>
      </c>
      <c r="B63" s="47">
        <v>41006011</v>
      </c>
      <c r="C63" s="159">
        <v>41006075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ランスロット…なぜ戻った？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お前にはお前のやるべき事があるだろう</v>
      </c>
      <c r="F63" s="47">
        <v>41006068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839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 t="s">
        <v>225</v>
      </c>
    </row>
    <row r="64" spans="1:18" ht="21" customHeight="1" x14ac:dyDescent="0.15">
      <c r="A64" s="39" t="str">
        <f t="shared" si="24"/>
        <v>41006011_41006076</v>
      </c>
      <c r="B64" s="47">
        <v>41006011</v>
      </c>
      <c r="C64" s="159">
        <v>41006076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ランスロット…なぜ戻った？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お前にはお前のやるべき事があるだろう</v>
      </c>
      <c r="F64" s="47">
        <v>41006069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 t="s">
        <v>225</v>
      </c>
    </row>
    <row r="65" spans="1:18" ht="21" customHeight="1" x14ac:dyDescent="0.15">
      <c r="A65" s="39" t="str">
        <f t="shared" si="24"/>
        <v>41006011_41006077</v>
      </c>
      <c r="B65" s="47">
        <v>41006011</v>
      </c>
      <c r="C65" s="159">
        <v>41006077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ランスロット…なぜ戻った？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お前にはお前のやるべき事があるだろう</v>
      </c>
      <c r="F65" s="47">
        <v>41006070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 t="s">
        <v>225</v>
      </c>
    </row>
    <row r="66" spans="1:18" ht="21" customHeight="1" x14ac:dyDescent="0.15">
      <c r="A66" s="39" t="str">
        <f t="shared" si="24"/>
        <v>41006011_41006078</v>
      </c>
      <c r="B66" s="47">
        <v>41006011</v>
      </c>
      <c r="C66" s="159">
        <v>41006078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今のお前は危険だ　ガレス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悪いがここを通すわけにはいかないな</v>
      </c>
      <c r="F66" s="47">
        <v>41006071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961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 t="s">
        <v>225</v>
      </c>
    </row>
    <row r="67" spans="1:18" ht="21" customHeight="1" x14ac:dyDescent="0.15">
      <c r="A67" s="39" t="str">
        <f t="shared" ref="A67:A68" si="25">B67&amp;"_"&amp;C67</f>
        <v>41006011_41006079</v>
      </c>
      <c r="B67" s="47">
        <v>41006011</v>
      </c>
      <c r="C67" s="159">
        <v>41006079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今のお前は危険だ　ガレス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悪いがここを通すわけにはいかないな</v>
      </c>
      <c r="F67" s="47">
        <v>41006072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769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 t="s">
        <v>225</v>
      </c>
    </row>
    <row r="68" spans="1:18" ht="21" customHeight="1" x14ac:dyDescent="0.15">
      <c r="A68" s="39" t="str">
        <f t="shared" si="25"/>
        <v>41006011_41006080</v>
      </c>
      <c r="B68" s="47">
        <v>41006011</v>
      </c>
      <c r="C68" s="159">
        <v>41006080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今のお前は危険だ　ガレス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悪いがここを通すわけにはいかないな</v>
      </c>
      <c r="F68" s="47">
        <v>41006073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768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 t="s">
        <v>225</v>
      </c>
    </row>
    <row r="69" spans="1:18" ht="21" customHeight="1" x14ac:dyDescent="0.15">
      <c r="A69" s="39" t="str">
        <f t="shared" ref="A69" si="26">B69&amp;"_"&amp;C69</f>
        <v>41006011_41006081</v>
      </c>
      <c r="B69" s="47">
        <v>41006011</v>
      </c>
      <c r="C69" s="159">
        <v>41006081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お前の目的は何だ　ライオネル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力を手にいれる事だけか？そうではないだろう…？</v>
      </c>
      <c r="F69" s="47">
        <v>41006074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765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 t="s">
        <v>225</v>
      </c>
    </row>
    <row r="70" spans="1:18" ht="21" customHeight="1" x14ac:dyDescent="0.15">
      <c r="A70" s="39" t="str">
        <f t="shared" ref="A70" si="27">B70&amp;"_"&amp;C70</f>
        <v>41006011_41006082</v>
      </c>
      <c r="B70" s="47">
        <v>41006011</v>
      </c>
      <c r="C70" s="159">
        <v>41006082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お前の目的は何だ　ライオネル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力を手にいれる事だけか？そうではないだろう…？</v>
      </c>
      <c r="F70" s="47">
        <v>41006075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764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 t="s">
        <v>225</v>
      </c>
    </row>
    <row r="71" spans="1:18" ht="21" customHeight="1" x14ac:dyDescent="0.15">
      <c r="A71" s="39" t="str">
        <f t="shared" si="21"/>
        <v>41006011_41006002</v>
      </c>
      <c r="B71" s="47">
        <v>41006011</v>
      </c>
      <c r="C71" s="47">
        <v>41006002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トリニティバレット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1" s="47">
        <v>41006002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1" s="47"/>
      <c r="Q71" s="47"/>
      <c r="R71" s="47" t="s">
        <v>225</v>
      </c>
    </row>
    <row r="72" spans="1:18" ht="21" customHeight="1" x14ac:dyDescent="0.15">
      <c r="A72" s="39" t="str">
        <f t="shared" si="21"/>
        <v>41006011_41006071</v>
      </c>
      <c r="B72" s="47">
        <v>41006011</v>
      </c>
      <c r="C72" s="47">
        <v>41006071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フェイタルコンクエスト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青属性以外のユニットに特大ダメージ</v>
      </c>
      <c r="F72" s="47">
        <v>41006003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72" s="47"/>
      <c r="Q72" s="47"/>
      <c r="R72" s="47" t="s">
        <v>225</v>
      </c>
    </row>
    <row r="73" spans="1:18" ht="21" customHeight="1" x14ac:dyDescent="0.15">
      <c r="A73" s="39" t="str">
        <f t="shared" si="21"/>
        <v>41006011_41006152</v>
      </c>
      <c r="B73" s="47">
        <v>41006011</v>
      </c>
      <c r="C73" s="47">
        <v>41006152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いかんな　昔からの悪い癖だ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ペースを上げるぜ…ついてきな！</v>
      </c>
      <c r="F73" s="47">
        <v>41006004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 t="s">
        <v>225</v>
      </c>
    </row>
    <row r="74" spans="1:18" ht="21" customHeight="1" x14ac:dyDescent="0.15">
      <c r="A74" s="39" t="str">
        <f t="shared" si="21"/>
        <v>41006011_41006005</v>
      </c>
      <c r="B74" s="47">
        <v>41006011</v>
      </c>
      <c r="C74" s="47">
        <v>41006005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この手は使いたくなかったが…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3ターン暗闇＋次のターン強力な攻撃</v>
      </c>
      <c r="F74" s="47">
        <v>41006005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 t="s">
        <v>225</v>
      </c>
    </row>
    <row r="75" spans="1:18" ht="21" customHeight="1" x14ac:dyDescent="0.15">
      <c r="A75" s="39" t="str">
        <f t="shared" si="21"/>
        <v>41006011_41006006</v>
      </c>
      <c r="B75" s="47">
        <v>41006011</v>
      </c>
      <c r="C75" s="47">
        <v>41006006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いかせてもらおうか！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銃弾の嵐が戦場を埋め尽くす！</v>
      </c>
      <c r="F75" s="47">
        <v>41006006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 t="s">
        <v>225</v>
      </c>
    </row>
    <row r="76" spans="1:18" ht="21" customHeight="1" x14ac:dyDescent="0.15">
      <c r="A76" s="39" t="str">
        <f t="shared" si="21"/>
        <v>41006012_41006058</v>
      </c>
      <c r="B76" s="47">
        <v>41006012</v>
      </c>
      <c r="C76" s="159">
        <v>41006058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僕だってできるはず…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トト！一緒に仕掛けるよっ！</v>
      </c>
      <c r="F76" s="47">
        <v>41006007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 t="str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 t="s">
        <v>381</v>
      </c>
    </row>
    <row r="77" spans="1:18" ht="21" customHeight="1" x14ac:dyDescent="0.15">
      <c r="A77" s="39" t="str">
        <f t="shared" ref="A77" si="28">B77&amp;"_"&amp;C77</f>
        <v>41006012_41006083</v>
      </c>
      <c r="B77" s="47">
        <v>41006012</v>
      </c>
      <c r="C77" s="159">
        <v>41006083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姉さん…手加減しないでね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僕も全力で戦うよ…アーサーの力になる為に！</v>
      </c>
      <c r="F77" s="47">
        <v>41006065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819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 t="s">
        <v>381</v>
      </c>
    </row>
    <row r="78" spans="1:18" ht="21" customHeight="1" x14ac:dyDescent="0.15">
      <c r="A78" s="39" t="str">
        <f t="shared" ref="A78" si="29">B78&amp;"_"&amp;C78</f>
        <v>41006012_41006084</v>
      </c>
      <c r="B78" s="47">
        <v>41006012</v>
      </c>
      <c r="C78" s="159">
        <v>41006084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姉さん…手加減しないでね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僕も全力で戦うよ…アーサーの力になる為に！</v>
      </c>
      <c r="F78" s="47">
        <v>41006066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 t="s">
        <v>381</v>
      </c>
    </row>
    <row r="79" spans="1:18" ht="21" customHeight="1" x14ac:dyDescent="0.15">
      <c r="A79" s="39" t="str">
        <f t="shared" ref="A79:A81" si="30">B79&amp;"_"&amp;C79</f>
        <v>41006012_41006085</v>
      </c>
      <c r="B79" s="47">
        <v>41006012</v>
      </c>
      <c r="C79" s="159">
        <v>41006085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姉さん…手加減しないでね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僕も全力で戦うよ…アーサーの力になる為に！</v>
      </c>
      <c r="F79" s="47">
        <v>41006067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 t="s">
        <v>381</v>
      </c>
    </row>
    <row r="80" spans="1:18" ht="21" customHeight="1" x14ac:dyDescent="0.15">
      <c r="A80" s="39" t="str">
        <f t="shared" si="30"/>
        <v>41006012_41006086</v>
      </c>
      <c r="B80" s="47">
        <v>41006012</v>
      </c>
      <c r="C80" s="159">
        <v>41006086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アーサーはずっと頑張ってるよ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それを否定するなら　兄さんとだって僕は戦う…！</v>
      </c>
      <c r="F80" s="47">
        <v>41006068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839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 t="s">
        <v>381</v>
      </c>
    </row>
    <row r="81" spans="1:18" ht="21" customHeight="1" x14ac:dyDescent="0.15">
      <c r="A81" s="39" t="str">
        <f t="shared" si="30"/>
        <v>41006012_41006087</v>
      </c>
      <c r="B81" s="47">
        <v>41006012</v>
      </c>
      <c r="C81" s="159">
        <v>41006087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アーサーはずっと頑張ってるよ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それを否定するなら　兄さんとだって僕は戦う…！</v>
      </c>
      <c r="F81" s="47">
        <v>41006069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 t="s">
        <v>381</v>
      </c>
    </row>
    <row r="82" spans="1:18" ht="21" customHeight="1" x14ac:dyDescent="0.15">
      <c r="A82" s="39" t="str">
        <f t="shared" ref="A82:A84" si="31">B82&amp;"_"&amp;C82</f>
        <v>41006012_41006088</v>
      </c>
      <c r="B82" s="47">
        <v>41006012</v>
      </c>
      <c r="C82" s="159">
        <v>41006088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アーサーはずっと頑張ってるよ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それを否定するなら　兄さんとだって僕は戦う…！</v>
      </c>
      <c r="F82" s="47">
        <v>41006070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 t="s">
        <v>381</v>
      </c>
    </row>
    <row r="83" spans="1:18" ht="21" customHeight="1" x14ac:dyDescent="0.15">
      <c r="A83" s="39" t="str">
        <f t="shared" si="31"/>
        <v>41006012_41006089</v>
      </c>
      <c r="B83" s="47">
        <v>41006012</v>
      </c>
      <c r="C83" s="159">
        <v>41006089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ありがとう　ガレス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キミのおかげで…僕はもう迷わずに戦える！</v>
      </c>
      <c r="F83" s="47">
        <v>41006071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961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 t="s">
        <v>381</v>
      </c>
    </row>
    <row r="84" spans="1:18" ht="21" customHeight="1" x14ac:dyDescent="0.15">
      <c r="A84" s="39" t="str">
        <f t="shared" si="31"/>
        <v>41006012_41006090</v>
      </c>
      <c r="B84" s="47">
        <v>41006012</v>
      </c>
      <c r="C84" s="159">
        <v>41006090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ありがとう　ガレス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キミのおかげで…僕はもう迷わずに戦える！</v>
      </c>
      <c r="F84" s="47">
        <v>41006072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769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 t="s">
        <v>381</v>
      </c>
    </row>
    <row r="85" spans="1:18" ht="21" customHeight="1" x14ac:dyDescent="0.15">
      <c r="A85" s="39" t="str">
        <f t="shared" ref="A85:A86" si="32">B85&amp;"_"&amp;C85</f>
        <v>41006012_41006091</v>
      </c>
      <c r="B85" s="47">
        <v>41006012</v>
      </c>
      <c r="C85" s="159">
        <v>41006091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ありがとう　ガレス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キミのおかげで…僕はもう迷わずに戦える！</v>
      </c>
      <c r="F85" s="47">
        <v>41006073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768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 t="s">
        <v>381</v>
      </c>
    </row>
    <row r="86" spans="1:18" ht="21" customHeight="1" x14ac:dyDescent="0.15">
      <c r="A86" s="39" t="str">
        <f t="shared" si="32"/>
        <v>41006012_41006092</v>
      </c>
      <c r="B86" s="47">
        <v>41006012</v>
      </c>
      <c r="C86" s="159">
        <v>41006092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（……誰？）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よくわからないけど敵かな…トト、いくよっ！</v>
      </c>
      <c r="F86" s="47">
        <v>41006074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765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 t="s">
        <v>381</v>
      </c>
    </row>
    <row r="87" spans="1:18" ht="21" customHeight="1" x14ac:dyDescent="0.15">
      <c r="A87" s="39" t="str">
        <f t="shared" ref="A87" si="33">B87&amp;"_"&amp;C87</f>
        <v>41006012_41006093</v>
      </c>
      <c r="B87" s="47">
        <v>41006012</v>
      </c>
      <c r="C87" s="159">
        <v>41006093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（……誰？）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よくわからないけど敵かな…トト、いくよっ！</v>
      </c>
      <c r="F87" s="47">
        <v>41006075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764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 t="s">
        <v>381</v>
      </c>
    </row>
    <row r="88" spans="1:18" ht="21" customHeight="1" x14ac:dyDescent="0.15">
      <c r="A88" s="39" t="str">
        <f t="shared" ref="A88" si="34">B88&amp;"_"&amp;C88</f>
        <v>41006012_41006067</v>
      </c>
      <c r="B88" s="47">
        <v>41006012</v>
      </c>
      <c r="C88" s="47">
        <v>41006067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カーペットボミング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ハートパネル吸収攻撃（最大8個まで）</v>
      </c>
      <c r="F88" s="47">
        <v>41006061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88" s="48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 t="s">
        <v>381</v>
      </c>
    </row>
    <row r="89" spans="1:18" ht="21" customHeight="1" x14ac:dyDescent="0.15">
      <c r="A89" s="39" t="str">
        <f t="shared" si="21"/>
        <v>41006012_41006008</v>
      </c>
      <c r="B89" s="47">
        <v>41006012</v>
      </c>
      <c r="C89" s="47">
        <v>41006008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カーペットボミング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ハートパネル吸収攻撃（最大8個まで）</v>
      </c>
      <c r="F89" s="47">
        <v>41006008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 t="str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9" s="48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 t="s">
        <v>381</v>
      </c>
    </row>
    <row r="90" spans="1:18" ht="21" customHeight="1" x14ac:dyDescent="0.15">
      <c r="A90" s="39" t="str">
        <f t="shared" si="21"/>
        <v>41006012_41006059</v>
      </c>
      <c r="B90" s="47">
        <v>41006012</v>
      </c>
      <c r="C90" s="47">
        <v>41006059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ボルテックカノン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3ターン自身の攻撃力UP＋攻撃</v>
      </c>
      <c r="F90" s="47">
        <v>41006009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 t="s">
        <v>381</v>
      </c>
    </row>
    <row r="91" spans="1:18" ht="21" customHeight="1" x14ac:dyDescent="0.15">
      <c r="A91" s="39" t="str">
        <f t="shared" si="21"/>
        <v>41006012_41006010</v>
      </c>
      <c r="B91" s="47">
        <v>41006012</v>
      </c>
      <c r="C91" s="47">
        <v>41006010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ウェポンクラッシュ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3ターンタップ回数を1減少＋全体攻撃</v>
      </c>
      <c r="F91" s="47">
        <v>41006010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1" s="48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1" s="47"/>
      <c r="Q91" s="47"/>
      <c r="R91" s="47" t="s">
        <v>381</v>
      </c>
    </row>
    <row r="92" spans="1:18" ht="21" customHeight="1" x14ac:dyDescent="0.15">
      <c r="A92" s="39" t="str">
        <f t="shared" si="21"/>
        <v>41006012_41006011</v>
      </c>
      <c r="B92" s="47">
        <v>41006012</v>
      </c>
      <c r="C92" s="47">
        <v>41006011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弱い者いじめはダメ…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2" s="47">
        <v>41006011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367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 t="s">
        <v>381</v>
      </c>
    </row>
    <row r="93" spans="1:18" ht="21" customHeight="1" x14ac:dyDescent="0.15">
      <c r="A93" s="39" t="str">
        <f t="shared" si="21"/>
        <v>41006012_41006012</v>
      </c>
      <c r="B93" s="47">
        <v>41006012</v>
      </c>
      <c r="C93" s="47">
        <v>41006012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もう…許さないよ…！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93" s="47">
        <v>41006012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367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 t="s">
        <v>381</v>
      </c>
    </row>
    <row r="94" spans="1:18" ht="21" customHeight="1" x14ac:dyDescent="0.15">
      <c r="A94" s="39" t="str">
        <f t="shared" si="21"/>
        <v>41006014_41006013</v>
      </c>
      <c r="B94" s="47">
        <v>41006014</v>
      </c>
      <c r="C94" s="47">
        <v>41006013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外敵排除！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4" s="47">
        <v>41006013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 t="str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 t="s">
        <v>224</v>
      </c>
    </row>
    <row r="95" spans="1:18" ht="21" customHeight="1" x14ac:dyDescent="0.15">
      <c r="A95" s="39" t="str">
        <f t="shared" si="21"/>
        <v>41006014_41006014</v>
      </c>
      <c r="B95" s="47">
        <v>41006014</v>
      </c>
      <c r="C95" s="47">
        <v>41006014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燃料投下！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ハート出現</v>
      </c>
      <c r="F95" s="47">
        <v>41006014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48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5" s="48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 t="s">
        <v>224</v>
      </c>
    </row>
    <row r="96" spans="1:18" ht="21" customHeight="1" x14ac:dyDescent="0.15">
      <c r="A96" s="39" t="str">
        <f t="shared" si="21"/>
        <v>41006015_41006015</v>
      </c>
      <c r="B96" s="47">
        <v>41006015</v>
      </c>
      <c r="C96" s="47">
        <v>41006015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砲弾装填！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96" s="47">
        <v>41006015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 t="s">
        <v>223</v>
      </c>
    </row>
    <row r="97" spans="1:18" ht="21" customHeight="1" x14ac:dyDescent="0.15">
      <c r="A97" s="39" t="str">
        <f t="shared" si="21"/>
        <v>41006016_41006016</v>
      </c>
      <c r="B97" s="47">
        <v>41006016</v>
      </c>
      <c r="C97" s="159">
        <v>41006016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止まりなさい！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あなたの相手はこの私よ…！</v>
      </c>
      <c r="F97" s="47">
        <v>41006016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8" t="str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 t="s">
        <v>222</v>
      </c>
    </row>
    <row r="98" spans="1:18" ht="21" customHeight="1" x14ac:dyDescent="0.15">
      <c r="A98" s="39" t="str">
        <f t="shared" ref="A98" si="35">B98&amp;"_"&amp;C98</f>
        <v>41006016_41006094</v>
      </c>
      <c r="B98" s="47">
        <v>41006016</v>
      </c>
      <c r="C98" s="159">
        <v>41006094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モルド…どうしてなの？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どうして友達と戦わなきゃいけないのよ…！</v>
      </c>
      <c r="F98" s="47">
        <v>41006065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819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 t="s">
        <v>222</v>
      </c>
    </row>
    <row r="99" spans="1:18" ht="21" customHeight="1" x14ac:dyDescent="0.15">
      <c r="A99" s="39" t="str">
        <f t="shared" ref="A99:A100" si="36">B99&amp;"_"&amp;C99</f>
        <v>41006016_41006095</v>
      </c>
      <c r="B99" s="47">
        <v>41006016</v>
      </c>
      <c r="C99" s="159">
        <v>41006095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モルド…どうしてなの？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どうして友達と戦わなきゃいけないのよ…！</v>
      </c>
      <c r="F99" s="47">
        <v>41006066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 t="s">
        <v>222</v>
      </c>
    </row>
    <row r="100" spans="1:18" ht="21" customHeight="1" x14ac:dyDescent="0.15">
      <c r="A100" s="39" t="str">
        <f t="shared" si="36"/>
        <v>41006016_41006096</v>
      </c>
      <c r="B100" s="47">
        <v>41006016</v>
      </c>
      <c r="C100" s="159">
        <v>41006096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モルド…どうしてなの？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どうして友達と戦わなきゃいけないのよ…！</v>
      </c>
      <c r="F100" s="47">
        <v>41006067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 t="s">
        <v>222</v>
      </c>
    </row>
    <row r="101" spans="1:18" ht="21" customHeight="1" x14ac:dyDescent="0.15">
      <c r="A101" s="39" t="str">
        <f t="shared" ref="A101:A104" si="37">B101&amp;"_"&amp;C101</f>
        <v>41006016_41006097</v>
      </c>
      <c r="B101" s="47">
        <v>41006016</v>
      </c>
      <c r="C101" s="159">
        <v>41006097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ランス…私はあなたが怖い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あなたの放つ光が…彼を変えてしまうようで…</v>
      </c>
      <c r="F101" s="47">
        <v>41006068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839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 t="s">
        <v>222</v>
      </c>
    </row>
    <row r="102" spans="1:18" ht="21" customHeight="1" x14ac:dyDescent="0.15">
      <c r="A102" s="39" t="str">
        <f t="shared" si="37"/>
        <v>41006016_41006098</v>
      </c>
      <c r="B102" s="47">
        <v>41006016</v>
      </c>
      <c r="C102" s="159">
        <v>41006098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ランス…私はあなたが怖い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あなたの放つ光が…彼を変えてしまうようで…</v>
      </c>
      <c r="F102" s="47">
        <v>41006069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 t="s">
        <v>222</v>
      </c>
    </row>
    <row r="103" spans="1:18" ht="21" customHeight="1" x14ac:dyDescent="0.15">
      <c r="A103" s="39" t="str">
        <f t="shared" si="37"/>
        <v>41006016_41006099</v>
      </c>
      <c r="B103" s="47">
        <v>41006016</v>
      </c>
      <c r="C103" s="159">
        <v>41006099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ランス…私はあなたが怖い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あなたの放つ光が…彼を変えてしまうようで…</v>
      </c>
      <c r="F103" s="47">
        <v>41006070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 t="s">
        <v>222</v>
      </c>
    </row>
    <row r="104" spans="1:18" ht="21" customHeight="1" x14ac:dyDescent="0.15">
      <c r="A104" s="39" t="str">
        <f t="shared" si="37"/>
        <v>41006016_41006100</v>
      </c>
      <c r="B104" s="47">
        <v>41006016</v>
      </c>
      <c r="C104" s="159">
        <v>41006100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一人で勝手に出て行って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今さら戻ってくるなんてどういうつもり？</v>
      </c>
      <c r="F104" s="47">
        <v>41006071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961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 t="s">
        <v>222</v>
      </c>
    </row>
    <row r="105" spans="1:18" ht="21" customHeight="1" x14ac:dyDescent="0.15">
      <c r="A105" s="39" t="str">
        <f t="shared" ref="A105:A107" si="38">B105&amp;"_"&amp;C105</f>
        <v>41006016_41006101</v>
      </c>
      <c r="B105" s="47">
        <v>41006016</v>
      </c>
      <c r="C105" s="159">
        <v>41006101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一人で勝手に出て行って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今さら戻ってくるなんてどういうつもり？</v>
      </c>
      <c r="F105" s="47">
        <v>41006072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769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 t="s">
        <v>222</v>
      </c>
    </row>
    <row r="106" spans="1:18" ht="21" customHeight="1" x14ac:dyDescent="0.15">
      <c r="A106" s="39" t="str">
        <f t="shared" si="38"/>
        <v>41006016_41006102</v>
      </c>
      <c r="B106" s="47">
        <v>41006016</v>
      </c>
      <c r="C106" s="159">
        <v>41006102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一人で勝手に出て行って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今さら戻ってくるなんてどういうつもり？</v>
      </c>
      <c r="F106" s="47">
        <v>41006073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768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 t="s">
        <v>222</v>
      </c>
    </row>
    <row r="107" spans="1:18" ht="21" customHeight="1" x14ac:dyDescent="0.15">
      <c r="A107" s="39" t="str">
        <f t="shared" si="38"/>
        <v>41006016_41006103</v>
      </c>
      <c r="B107" s="47">
        <v>41006016</v>
      </c>
      <c r="C107" s="159">
        <v>41006103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あなた…ライオネルなの？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一体どうしてそんな姿に…！</v>
      </c>
      <c r="F107" s="47">
        <v>41006074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765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 t="s">
        <v>222</v>
      </c>
    </row>
    <row r="108" spans="1:18" ht="21" customHeight="1" x14ac:dyDescent="0.15">
      <c r="A108" s="39" t="str">
        <f t="shared" ref="A108" si="39">B108&amp;"_"&amp;C108</f>
        <v>41006016_41006104</v>
      </c>
      <c r="B108" s="47">
        <v>41006016</v>
      </c>
      <c r="C108" s="159">
        <v>41006104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あなた…ライオネルなの？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一体どうしてそんな姿に…！</v>
      </c>
      <c r="F108" s="47">
        <v>41006075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764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 t="s">
        <v>222</v>
      </c>
    </row>
    <row r="109" spans="1:18" ht="21" customHeight="1" x14ac:dyDescent="0.15">
      <c r="A109" s="39" t="str">
        <f t="shared" si="21"/>
        <v>41006016_41006060</v>
      </c>
      <c r="B109" s="47">
        <v>41006016</v>
      </c>
      <c r="C109" s="47">
        <v>41006060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ターゲットバースト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状態異常のユニットに大ダメージ</v>
      </c>
      <c r="F109" s="47">
        <v>41006062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 t="str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09" s="47"/>
      <c r="Q109" s="47"/>
      <c r="R109" s="47" t="s">
        <v>222</v>
      </c>
    </row>
    <row r="110" spans="1:18" ht="21" customHeight="1" x14ac:dyDescent="0.15">
      <c r="A110" s="39" t="str">
        <f t="shared" si="21"/>
        <v>41006016_41006019</v>
      </c>
      <c r="B110" s="47">
        <v>41006016</v>
      </c>
      <c r="C110" s="47">
        <v>41006019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ステイシス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ユニット1体に3ターンスリープ</v>
      </c>
      <c r="F110" s="47">
        <v>41006058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 t="str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0" s="48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0" s="48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 t="s">
        <v>222</v>
      </c>
    </row>
    <row r="111" spans="1:18" ht="21" customHeight="1" x14ac:dyDescent="0.15">
      <c r="A111" s="39" t="str">
        <f t="shared" si="21"/>
        <v>41006016_41006020</v>
      </c>
      <c r="B111" s="47">
        <v>41006016</v>
      </c>
      <c r="C111" s="47">
        <v>41006020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レストレイン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ユニット1体に3ターンスキルバインド</v>
      </c>
      <c r="F111" s="47">
        <v>41006059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 t="str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1" s="48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1" s="48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 t="s">
        <v>222</v>
      </c>
    </row>
    <row r="112" spans="1:18" ht="21" customHeight="1" x14ac:dyDescent="0.15">
      <c r="A112" s="39" t="str">
        <f t="shared" si="21"/>
        <v>41006016_41006021</v>
      </c>
      <c r="B112" s="47">
        <v>41006016</v>
      </c>
      <c r="C112" s="47">
        <v>41006021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魔銃解放…！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解除されるまで攻撃力UP</v>
      </c>
      <c r="F112" s="47">
        <v>41006021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8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8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 t="s">
        <v>222</v>
      </c>
    </row>
    <row r="113" spans="1:18" ht="21" customHeight="1" x14ac:dyDescent="0.15">
      <c r="A113" s="39" t="str">
        <f t="shared" si="21"/>
        <v>41006016_41006061</v>
      </c>
      <c r="B113" s="47">
        <v>41006016</v>
      </c>
      <c r="C113" s="47">
        <v>41006061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好きにはさせないっ！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4ターン赤・緑・黄パネルが使えない！＋攻撃</v>
      </c>
      <c r="F113" s="47">
        <v>41006022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8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8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 t="s">
        <v>222</v>
      </c>
    </row>
    <row r="114" spans="1:18" ht="21" customHeight="1" x14ac:dyDescent="0.15">
      <c r="A114" s="39" t="str">
        <f t="shared" si="21"/>
        <v>41006017_41006025</v>
      </c>
      <c r="B114" s="47">
        <v>41006017</v>
      </c>
      <c r="C114" s="159">
        <v>41006025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調子に乗らないで…！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フィーバーゲージを0にする</v>
      </c>
      <c r="F114" s="47">
        <v>41006025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48" t="str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8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8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 t="s">
        <v>221</v>
      </c>
    </row>
    <row r="115" spans="1:18" ht="21" customHeight="1" x14ac:dyDescent="0.15">
      <c r="A115" s="39" t="str">
        <f t="shared" ref="A115" si="40">B115&amp;"_"&amp;C115</f>
        <v>41006017_41006105</v>
      </c>
      <c r="B115" s="47">
        <v>41006017</v>
      </c>
      <c r="C115" s="159">
        <v>41006105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私達は間違ってなんかない！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モルドも私が…正気に戻してあげる！</v>
      </c>
      <c r="F115" s="47">
        <v>41006065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8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8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819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 t="s">
        <v>221</v>
      </c>
    </row>
    <row r="116" spans="1:18" ht="21" customHeight="1" x14ac:dyDescent="0.15">
      <c r="A116" s="39" t="str">
        <f t="shared" ref="A116:A117" si="41">B116&amp;"_"&amp;C116</f>
        <v>41006017_41006106</v>
      </c>
      <c r="B116" s="47">
        <v>41006017</v>
      </c>
      <c r="C116" s="159">
        <v>41006106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私達は間違ってなんかない！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モルドも私が…正気に戻してあげる！</v>
      </c>
      <c r="F116" s="47">
        <v>41006066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8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8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 t="s">
        <v>221</v>
      </c>
    </row>
    <row r="117" spans="1:18" ht="21" customHeight="1" x14ac:dyDescent="0.15">
      <c r="A117" s="39" t="str">
        <f t="shared" si="41"/>
        <v>41006017_41006107</v>
      </c>
      <c r="B117" s="47">
        <v>41006017</v>
      </c>
      <c r="C117" s="159">
        <v>41006107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私達は間違ってなんかない！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モルドも私が…正気に戻してあげる！</v>
      </c>
      <c r="F117" s="47">
        <v>41006067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8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8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 t="s">
        <v>221</v>
      </c>
    </row>
    <row r="118" spans="1:18" ht="21" customHeight="1" x14ac:dyDescent="0.15">
      <c r="A118" s="39" t="str">
        <f t="shared" ref="A118:A121" si="42">B118&amp;"_"&amp;C118</f>
        <v>41006017_41006108</v>
      </c>
      <c r="B118" s="47">
        <v>41006017</v>
      </c>
      <c r="C118" s="159">
        <v>41006108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私は居場所を失いたくないの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だからここで…あなたを止める！</v>
      </c>
      <c r="F118" s="47">
        <v>41006068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8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8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839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 t="s">
        <v>221</v>
      </c>
    </row>
    <row r="119" spans="1:18" ht="21" customHeight="1" x14ac:dyDescent="0.15">
      <c r="A119" s="39" t="str">
        <f t="shared" si="42"/>
        <v>41006017_41006109</v>
      </c>
      <c r="B119" s="47">
        <v>41006017</v>
      </c>
      <c r="C119" s="159">
        <v>41006109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私は居場所を失いたくないの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だからここで…あなたを止める！</v>
      </c>
      <c r="F119" s="47">
        <v>41006069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8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8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 t="s">
        <v>221</v>
      </c>
    </row>
    <row r="120" spans="1:18" ht="21" customHeight="1" x14ac:dyDescent="0.15">
      <c r="A120" s="39" t="str">
        <f t="shared" si="42"/>
        <v>41006017_41006110</v>
      </c>
      <c r="B120" s="47">
        <v>41006017</v>
      </c>
      <c r="C120" s="159">
        <v>41006110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私は居場所を失いたくないの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だからここで…あなたを止める！</v>
      </c>
      <c r="F120" s="47">
        <v>41006070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 t="s">
        <v>221</v>
      </c>
    </row>
    <row r="121" spans="1:18" ht="21" customHeight="1" x14ac:dyDescent="0.15">
      <c r="A121" s="39" t="str">
        <f t="shared" si="42"/>
        <v>41006017_41006111</v>
      </c>
      <c r="B121" s="47">
        <v>41006017</v>
      </c>
      <c r="C121" s="159">
        <v>41006111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彼に合わせる顔はないでしょう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…いいえ　私が会わせはしない！</v>
      </c>
      <c r="F121" s="47">
        <v>41006071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8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8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961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 t="s">
        <v>221</v>
      </c>
    </row>
    <row r="122" spans="1:18" ht="21" customHeight="1" x14ac:dyDescent="0.15">
      <c r="A122" s="39" t="str">
        <f t="shared" ref="A122:A124" si="43">B122&amp;"_"&amp;C122</f>
        <v>41006017_41006112</v>
      </c>
      <c r="B122" s="47">
        <v>41006017</v>
      </c>
      <c r="C122" s="159">
        <v>41006112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彼に合わせる顔はないでしょう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…いいえ　私が会わせはしない！</v>
      </c>
      <c r="F122" s="47">
        <v>41006072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48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48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769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 t="s">
        <v>221</v>
      </c>
    </row>
    <row r="123" spans="1:18" ht="21" customHeight="1" x14ac:dyDescent="0.15">
      <c r="A123" s="39" t="str">
        <f t="shared" si="43"/>
        <v>41006017_41006113</v>
      </c>
      <c r="B123" s="47">
        <v>41006017</v>
      </c>
      <c r="C123" s="159">
        <v>41006113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彼に合わせる顔はないでしょう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…いいえ　私が会わせはしない！</v>
      </c>
      <c r="F123" s="47">
        <v>41006073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8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48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768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 t="s">
        <v>221</v>
      </c>
    </row>
    <row r="124" spans="1:18" ht="21" customHeight="1" x14ac:dyDescent="0.15">
      <c r="A124" s="39" t="str">
        <f t="shared" si="43"/>
        <v>41006017_41006114</v>
      </c>
      <c r="B124" s="47">
        <v>41006017</v>
      </c>
      <c r="C124" s="159">
        <v>41006114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彼が知ったら悲しむはずよ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悪いことは言わないから…立ち去りなさい</v>
      </c>
      <c r="F124" s="47">
        <v>41006074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8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48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765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 t="s">
        <v>221</v>
      </c>
    </row>
    <row r="125" spans="1:18" ht="21" customHeight="1" x14ac:dyDescent="0.15">
      <c r="A125" s="39" t="str">
        <f t="shared" ref="A125" si="44">B125&amp;"_"&amp;C125</f>
        <v>41006017_41006115</v>
      </c>
      <c r="B125" s="47">
        <v>41006017</v>
      </c>
      <c r="C125" s="159">
        <v>41006115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彼が知ったら悲しむはずよ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悪いことは言わないから…立ち去りなさい</v>
      </c>
      <c r="F125" s="47">
        <v>41006075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5" s="48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48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764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 t="s">
        <v>221</v>
      </c>
    </row>
    <row r="126" spans="1:18" ht="21" customHeight="1" x14ac:dyDescent="0.15">
      <c r="A126" s="39" t="str">
        <f t="shared" si="21"/>
        <v>41006017_41006026</v>
      </c>
      <c r="B126" s="47">
        <v>41006017</v>
      </c>
      <c r="C126" s="47">
        <v>41006026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ガトリングショット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26" s="47">
        <v>41006026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 t="str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6" s="48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8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 t="s">
        <v>221</v>
      </c>
    </row>
    <row r="127" spans="1:18" ht="21" customHeight="1" x14ac:dyDescent="0.15">
      <c r="A127" s="39" t="str">
        <f t="shared" si="21"/>
        <v>41006017_41006027</v>
      </c>
      <c r="B127" s="47">
        <v>41006017</v>
      </c>
      <c r="C127" s="47">
        <v>41006027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ライフスティール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全体攻撃＋小回復</v>
      </c>
      <c r="F127" s="47">
        <v>41006027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27" s="48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7" s="48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48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27" s="47"/>
      <c r="Q127" s="47"/>
      <c r="R127" s="47" t="s">
        <v>221</v>
      </c>
    </row>
    <row r="128" spans="1:18" ht="21" customHeight="1" x14ac:dyDescent="0.15">
      <c r="A128" s="39" t="str">
        <f t="shared" si="21"/>
        <v>41006017_41006062</v>
      </c>
      <c r="B128" s="47">
        <v>41006017</v>
      </c>
      <c r="C128" s="47">
        <v>41006062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コールドハート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ハートを5個お邪魔パネルに変換</v>
      </c>
      <c r="F128" s="47">
        <v>41006064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8" s="48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8" s="48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 t="s">
        <v>221</v>
      </c>
    </row>
    <row r="129" spans="1:18" ht="21" customHeight="1" x14ac:dyDescent="0.15">
      <c r="A129" s="39" t="str">
        <f t="shared" si="21"/>
        <v>41006017_41006029</v>
      </c>
      <c r="B129" s="47">
        <v>41006017</v>
      </c>
      <c r="C129" s="47">
        <v>41006029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引導を渡してあげる！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強力なお邪魔パネル吸収攻撃</v>
      </c>
      <c r="F129" s="47">
        <v>41006063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9" s="48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29" s="48" t="str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 t="s">
        <v>221</v>
      </c>
    </row>
    <row r="130" spans="1:18" ht="21" customHeight="1" x14ac:dyDescent="0.15">
      <c r="A130" s="39" t="str">
        <f t="shared" ref="A130" si="45">B130&amp;"_"&amp;C130</f>
        <v>41006018_41006030</v>
      </c>
      <c r="B130" s="47">
        <v>41006018</v>
      </c>
      <c r="C130" s="159">
        <v>41006030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みんな、下がってくれ！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ここは俺が前に出る！</v>
      </c>
      <c r="F130" s="47">
        <v>41006030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0" s="48" t="str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0" s="48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8" t="str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 t="s">
        <v>218</v>
      </c>
    </row>
    <row r="131" spans="1:18" ht="21" customHeight="1" x14ac:dyDescent="0.15">
      <c r="A131" s="39" t="str">
        <f t="shared" si="21"/>
        <v>41006018_41006116</v>
      </c>
      <c r="B131" s="47">
        <v>41006018</v>
      </c>
      <c r="C131" s="159">
        <v>41006116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久しぶりだなモルドレッド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語るべきことは何もないだろう…来いッ！！</v>
      </c>
      <c r="F131" s="47">
        <v>41006065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1" s="48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8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819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 t="s">
        <v>218</v>
      </c>
    </row>
    <row r="132" spans="1:18" ht="21" customHeight="1" x14ac:dyDescent="0.15">
      <c r="A132" s="39" t="str">
        <f t="shared" ref="A132:A133" si="46">B132&amp;"_"&amp;C132</f>
        <v>41006018_41006117</v>
      </c>
      <c r="B132" s="47">
        <v>41006018</v>
      </c>
      <c r="C132" s="159">
        <v>41006117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久しぶりだなモルドレッド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語るべきことは何もないだろう…来いッ！！</v>
      </c>
      <c r="F132" s="47">
        <v>41006066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2" s="48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48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 t="s">
        <v>218</v>
      </c>
    </row>
    <row r="133" spans="1:18" ht="21" customHeight="1" x14ac:dyDescent="0.15">
      <c r="A133" s="39" t="str">
        <f t="shared" si="46"/>
        <v>41006018_41006118</v>
      </c>
      <c r="B133" s="47">
        <v>41006018</v>
      </c>
      <c r="C133" s="159">
        <v>41006118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久しぶりだなモルドレッド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語るべきことは何もないだろう…来いッ！！</v>
      </c>
      <c r="F133" s="47">
        <v>41006067</v>
      </c>
      <c r="G133" s="4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3" s="4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33" s="4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8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3" s="48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48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133" s="4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7"/>
      <c r="Q133" s="47"/>
      <c r="R133" s="47" t="s">
        <v>218</v>
      </c>
    </row>
    <row r="134" spans="1:18" ht="21" customHeight="1" x14ac:dyDescent="0.15">
      <c r="A134" s="39" t="str">
        <f t="shared" ref="A134:A137" si="47">B134&amp;"_"&amp;C134</f>
        <v>41006018_41006119</v>
      </c>
      <c r="B134" s="47">
        <v>41006018</v>
      </c>
      <c r="C134" s="159">
        <v>41006119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…ランスロット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離れていても　お前の事は信じていたのだが</v>
      </c>
      <c r="F134" s="47">
        <v>41006068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48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8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839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 t="s">
        <v>218</v>
      </c>
    </row>
    <row r="135" spans="1:18" ht="21" customHeight="1" x14ac:dyDescent="0.15">
      <c r="A135" s="39" t="str">
        <f t="shared" si="47"/>
        <v>41006018_41006120</v>
      </c>
      <c r="B135" s="47">
        <v>41006018</v>
      </c>
      <c r="C135" s="159">
        <v>41006120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…ランスロット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離れていても　お前の事は信じていたのだが</v>
      </c>
      <c r="F135" s="47">
        <v>41006069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5" s="48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48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 t="s">
        <v>218</v>
      </c>
    </row>
    <row r="136" spans="1:18" ht="21" customHeight="1" x14ac:dyDescent="0.15">
      <c r="A136" s="39" t="str">
        <f t="shared" si="47"/>
        <v>41006018_41006121</v>
      </c>
      <c r="B136" s="47">
        <v>41006018</v>
      </c>
      <c r="C136" s="159">
        <v>41006121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…ランスロット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離れていても　お前の事は信じていたのだが</v>
      </c>
      <c r="F136" s="47">
        <v>41006070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6" s="48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8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 t="s">
        <v>218</v>
      </c>
    </row>
    <row r="137" spans="1:18" ht="21" customHeight="1" x14ac:dyDescent="0.15">
      <c r="A137" s="39" t="str">
        <f t="shared" si="47"/>
        <v>41006018_41006122</v>
      </c>
      <c r="B137" s="47">
        <v>41006018</v>
      </c>
      <c r="C137" s="159">
        <v>41006122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…気持ちは理解できるがな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それでもガレス　お前は少々やり過ぎだ</v>
      </c>
      <c r="F137" s="47">
        <v>41006071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7" s="48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48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961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 t="s">
        <v>218</v>
      </c>
    </row>
    <row r="138" spans="1:18" ht="21" customHeight="1" x14ac:dyDescent="0.15">
      <c r="A138" s="39" t="str">
        <f t="shared" ref="A138:A140" si="48">B138&amp;"_"&amp;C138</f>
        <v>41006018_41006123</v>
      </c>
      <c r="B138" s="47">
        <v>41006018</v>
      </c>
      <c r="C138" s="159">
        <v>41006123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…気持ちは理解できるがな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それでもガレス　お前は少々やり過ぎだ</v>
      </c>
      <c r="F138" s="47">
        <v>41006072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8" s="4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8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8" s="48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48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769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7"/>
      <c r="Q138" s="47"/>
      <c r="R138" s="47" t="s">
        <v>218</v>
      </c>
    </row>
    <row r="139" spans="1:18" ht="21" customHeight="1" x14ac:dyDescent="0.15">
      <c r="A139" s="39" t="str">
        <f t="shared" si="48"/>
        <v>41006018_41006124</v>
      </c>
      <c r="B139" s="47">
        <v>41006018</v>
      </c>
      <c r="C139" s="159">
        <v>41006124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…気持ちは理解できるがな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それでもガレス　お前は少々やり過ぎだ</v>
      </c>
      <c r="F139" s="47">
        <v>41006073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9" s="48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48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768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 t="s">
        <v>218</v>
      </c>
    </row>
    <row r="140" spans="1:18" ht="21" customHeight="1" x14ac:dyDescent="0.15">
      <c r="A140" s="39" t="str">
        <f t="shared" si="48"/>
        <v>41006018_41006125</v>
      </c>
      <c r="B140" s="47">
        <v>41006018</v>
      </c>
      <c r="C140" s="159">
        <v>41006125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ライオネル…その姿は？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邪な力を身に宿したのか　なぜそんな事を…</v>
      </c>
      <c r="F140" s="47">
        <v>41006074</v>
      </c>
      <c r="G140" s="4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0" s="4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40" s="4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8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0" s="48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48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765</v>
      </c>
      <c r="O140" s="4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7"/>
      <c r="Q140" s="47"/>
      <c r="R140" s="47" t="s">
        <v>218</v>
      </c>
    </row>
    <row r="141" spans="1:18" ht="21" customHeight="1" x14ac:dyDescent="0.15">
      <c r="A141" s="39" t="str">
        <f t="shared" ref="A141" si="49">B141&amp;"_"&amp;C141</f>
        <v>41006018_41006126</v>
      </c>
      <c r="B141" s="47">
        <v>41006018</v>
      </c>
      <c r="C141" s="159">
        <v>41006126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ライオネル…その姿は？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邪な力を身に宿したのか　なぜそんな事を…</v>
      </c>
      <c r="F141" s="47">
        <v>41006075</v>
      </c>
      <c r="G141" s="48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1" s="48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41" s="48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8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8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8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1" s="48" t="str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1" s="48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764</v>
      </c>
      <c r="O141" s="48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7"/>
      <c r="Q141" s="47"/>
      <c r="R141" s="47" t="s">
        <v>218</v>
      </c>
    </row>
    <row r="142" spans="1:18" ht="21" customHeight="1" x14ac:dyDescent="0.15">
      <c r="A142" s="39" t="str">
        <f t="shared" si="21"/>
        <v>41006018_41006031</v>
      </c>
      <c r="B142" s="47">
        <v>41006018</v>
      </c>
      <c r="C142" s="47">
        <v>41006031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レイディアント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5ターン攻撃力UP</v>
      </c>
      <c r="F142" s="47">
        <v>41006031</v>
      </c>
      <c r="G142" s="48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2" s="48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42" s="48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8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8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8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2" s="48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2" s="48" t="str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2" s="48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7"/>
      <c r="Q142" s="47"/>
      <c r="R142" s="47" t="s">
        <v>218</v>
      </c>
    </row>
    <row r="143" spans="1:18" ht="21" customHeight="1" x14ac:dyDescent="0.15">
      <c r="A143" s="39" t="str">
        <f t="shared" si="21"/>
        <v>41006018_41006063</v>
      </c>
      <c r="B143" s="47">
        <v>41006018</v>
      </c>
      <c r="C143" s="47">
        <v>41006063</v>
      </c>
      <c r="D143" s="46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老、力を貸してくれ！</v>
      </c>
      <c r="E143" s="46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3ターン暗闇＋強力な連続攻撃！</v>
      </c>
      <c r="F143" s="47">
        <v>41006032</v>
      </c>
      <c r="G143" s="48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48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143" s="48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8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8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8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3" s="48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43" s="48" t="str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3" s="48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7"/>
      <c r="Q143" s="47"/>
      <c r="R143" s="47" t="s">
        <v>218</v>
      </c>
    </row>
    <row r="144" spans="1:18" ht="21" customHeight="1" x14ac:dyDescent="0.15">
      <c r="A144" s="39" t="str">
        <f t="shared" si="21"/>
        <v>41006018_41006036</v>
      </c>
      <c r="B144" s="47">
        <v>41006018</v>
      </c>
      <c r="C144" s="47">
        <v>41006036</v>
      </c>
      <c r="D144" s="46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エクスシュレッドVI</v>
      </c>
      <c r="E144" s="46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44" s="47">
        <v>41006036</v>
      </c>
      <c r="G144" s="48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48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4" s="48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8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8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8" t="str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4" s="48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4" s="48" t="str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4" s="48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7"/>
      <c r="Q144" s="47"/>
      <c r="R144" s="47" t="s">
        <v>218</v>
      </c>
    </row>
    <row r="145" spans="1:18" ht="21" customHeight="1" x14ac:dyDescent="0.15">
      <c r="A145" s="39" t="str">
        <f t="shared" si="21"/>
        <v>41006018_41006037</v>
      </c>
      <c r="B145" s="47">
        <v>41006018</v>
      </c>
      <c r="C145" s="47">
        <v>41006037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スパイラルソード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5" s="47">
        <v>41006037</v>
      </c>
      <c r="G145" s="48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48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45" s="48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8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8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8" t="str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5" s="48" t="str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5" s="48" t="str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5" s="48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7"/>
      <c r="Q145" s="47"/>
      <c r="R145" s="47" t="s">
        <v>218</v>
      </c>
    </row>
    <row r="146" spans="1:18" ht="21" customHeight="1" x14ac:dyDescent="0.15">
      <c r="A146" s="39" t="str">
        <f t="shared" si="21"/>
        <v>41006019_41006064</v>
      </c>
      <c r="B146" s="47">
        <v>41006019</v>
      </c>
      <c r="C146" s="159">
        <v>41006064</v>
      </c>
      <c r="D146" s="46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ALICEを救うのは聖人じゃない！</v>
      </c>
      <c r="E146" s="46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地に伏し泥に塗れ　それでも立ち上がった者なんだ！</v>
      </c>
      <c r="F146" s="47">
        <v>41006038</v>
      </c>
      <c r="G146" s="48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6" s="48" t="str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6" s="48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48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48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8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6" s="48" t="str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6" s="48" t="str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6" s="48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47"/>
      <c r="Q146" s="47"/>
      <c r="R146" s="47" t="s">
        <v>219</v>
      </c>
    </row>
    <row r="147" spans="1:18" ht="21" customHeight="1" x14ac:dyDescent="0.15">
      <c r="A147" s="39" t="str">
        <f t="shared" ref="A147:A148" si="50">B147&amp;"_"&amp;C147</f>
        <v>41006019_41006127</v>
      </c>
      <c r="B147" s="47">
        <v>41006019</v>
      </c>
      <c r="C147" s="159">
        <v>41006127</v>
      </c>
      <c r="D147" s="46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異なる正義が対立する時</v>
      </c>
      <c r="E147" s="46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その瞬間こそ　正義は最も輝きを放つ！</v>
      </c>
      <c r="F147" s="47">
        <v>41006065</v>
      </c>
      <c r="G147" s="48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7" s="48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47" s="48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8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48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8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7" s="48" t="str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7" s="48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819</v>
      </c>
      <c r="O147" s="48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7"/>
      <c r="Q147" s="47"/>
      <c r="R147" s="47" t="s">
        <v>219</v>
      </c>
    </row>
    <row r="148" spans="1:18" ht="21" customHeight="1" x14ac:dyDescent="0.15">
      <c r="A148" s="39" t="str">
        <f t="shared" si="50"/>
        <v>41006019_41006128</v>
      </c>
      <c r="B148" s="47">
        <v>41006019</v>
      </c>
      <c r="C148" s="159">
        <v>41006128</v>
      </c>
      <c r="D148" s="46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異なる正義が対立する時</v>
      </c>
      <c r="E148" s="46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その瞬間こそ　正義は最も輝きを放つ！</v>
      </c>
      <c r="F148" s="47">
        <v>41006066</v>
      </c>
      <c r="G148" s="48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8" s="48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8" s="48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48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48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48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8" s="48" t="str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8" s="48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148" s="48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47"/>
      <c r="Q148" s="47"/>
      <c r="R148" s="47" t="s">
        <v>219</v>
      </c>
    </row>
    <row r="149" spans="1:18" ht="21" customHeight="1" x14ac:dyDescent="0.15">
      <c r="A149" s="39" t="str">
        <f t="shared" ref="A149:A151" si="51">B149&amp;"_"&amp;C149</f>
        <v>41006019_41006129</v>
      </c>
      <c r="B149" s="47">
        <v>41006019</v>
      </c>
      <c r="C149" s="159">
        <v>41006129</v>
      </c>
      <c r="D149" s="46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異なる正義が対立する時</v>
      </c>
      <c r="E149" s="46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その瞬間こそ　正義は最も輝きを放つ！</v>
      </c>
      <c r="F149" s="47">
        <v>41006067</v>
      </c>
      <c r="G149" s="48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9" s="48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49" s="48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48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48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48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9" s="48" t="str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9" s="48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149" s="48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47"/>
      <c r="Q149" s="47"/>
      <c r="R149" s="47" t="s">
        <v>219</v>
      </c>
    </row>
    <row r="150" spans="1:18" ht="21" customHeight="1" x14ac:dyDescent="0.15">
      <c r="A150" s="39" t="str">
        <f t="shared" si="51"/>
        <v>41006019_41006130</v>
      </c>
      <c r="B150" s="47">
        <v>41006019</v>
      </c>
      <c r="C150" s="159">
        <v>41006130</v>
      </c>
      <c r="D150" s="46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違うな…今も信じている！</v>
      </c>
      <c r="E150" s="46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だからこそ…俺は全力をもってお前に応えよう！</v>
      </c>
      <c r="F150" s="47">
        <v>41006068</v>
      </c>
      <c r="G150" s="48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0" s="48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50" s="48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48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48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48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0" s="48" t="str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0" s="48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839</v>
      </c>
      <c r="O150" s="48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47"/>
      <c r="Q150" s="47"/>
      <c r="R150" s="47" t="s">
        <v>219</v>
      </c>
    </row>
    <row r="151" spans="1:18" ht="21" customHeight="1" x14ac:dyDescent="0.15">
      <c r="A151" s="39" t="str">
        <f t="shared" si="51"/>
        <v>41006019_41006131</v>
      </c>
      <c r="B151" s="47">
        <v>41006019</v>
      </c>
      <c r="C151" s="159">
        <v>41006131</v>
      </c>
      <c r="D151" s="46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違うな…今も信じている！</v>
      </c>
      <c r="E151" s="46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だからこそ…俺は全力をもってお前に応えよう！</v>
      </c>
      <c r="F151" s="47">
        <v>41006069</v>
      </c>
      <c r="G151" s="48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1" s="48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51" s="48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1" s="48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48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8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1" s="48" t="str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1" s="48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151" s="48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1" s="47"/>
      <c r="Q151" s="47"/>
      <c r="R151" s="47" t="s">
        <v>219</v>
      </c>
    </row>
    <row r="152" spans="1:18" ht="21" customHeight="1" x14ac:dyDescent="0.15">
      <c r="A152" s="39" t="str">
        <f t="shared" ref="A152:A156" si="52">B152&amp;"_"&amp;C152</f>
        <v>41006019_41006132</v>
      </c>
      <c r="B152" s="47">
        <v>41006019</v>
      </c>
      <c r="C152" s="159">
        <v>41006132</v>
      </c>
      <c r="D152" s="46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違うな…今も信じている！</v>
      </c>
      <c r="E152" s="46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だからこそ…俺は全力をもってお前に応えよう！</v>
      </c>
      <c r="F152" s="47">
        <v>41006070</v>
      </c>
      <c r="G152" s="48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2" s="48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52" s="48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8" t="str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2" s="48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8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2" s="48" t="str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2" s="48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152" s="48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7"/>
      <c r="Q152" s="47"/>
      <c r="R152" s="47" t="s">
        <v>219</v>
      </c>
    </row>
    <row r="153" spans="1:18" ht="21" customHeight="1" x14ac:dyDescent="0.15">
      <c r="A153" s="39" t="str">
        <f t="shared" si="52"/>
        <v>41006019_41006133</v>
      </c>
      <c r="B153" s="47">
        <v>41006019</v>
      </c>
      <c r="C153" s="159">
        <v>41006133</v>
      </c>
      <c r="D153" s="46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ALICEには大勢の人が居る！</v>
      </c>
      <c r="E153" s="46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気に入らないもの全てを排除するつもりか！？</v>
      </c>
      <c r="F153" s="47">
        <v>41006071</v>
      </c>
      <c r="G153" s="48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3" s="48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53" s="48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48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48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48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3" s="48" t="str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3" s="48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961</v>
      </c>
      <c r="O153" s="48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47"/>
      <c r="Q153" s="47"/>
      <c r="R153" s="47" t="s">
        <v>219</v>
      </c>
    </row>
    <row r="154" spans="1:18" ht="21" customHeight="1" x14ac:dyDescent="0.15">
      <c r="A154" s="39" t="str">
        <f t="shared" si="52"/>
        <v>41006019_41006134</v>
      </c>
      <c r="B154" s="47">
        <v>41006019</v>
      </c>
      <c r="C154" s="159">
        <v>41006134</v>
      </c>
      <c r="D154" s="46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ALICEには大勢の人が居る！</v>
      </c>
      <c r="E154" s="46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気に入らないもの全てを排除するつもりか！？</v>
      </c>
      <c r="F154" s="47">
        <v>41006072</v>
      </c>
      <c r="G154" s="48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4" s="48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54" s="48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48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48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48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4" s="48" t="str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4" s="48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769</v>
      </c>
      <c r="O154" s="48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47"/>
      <c r="Q154" s="47"/>
      <c r="R154" s="47" t="s">
        <v>219</v>
      </c>
    </row>
    <row r="155" spans="1:18" ht="21" customHeight="1" x14ac:dyDescent="0.15">
      <c r="A155" s="39" t="str">
        <f t="shared" si="52"/>
        <v>41006019_41006135</v>
      </c>
      <c r="B155" s="47">
        <v>41006019</v>
      </c>
      <c r="C155" s="159">
        <v>41006135</v>
      </c>
      <c r="D155" s="46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ALICEには大勢の人が居る！</v>
      </c>
      <c r="E155" s="46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気に入らないもの全てを排除するつもりか！？</v>
      </c>
      <c r="F155" s="47">
        <v>41006073</v>
      </c>
      <c r="G155" s="48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5" s="48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5" s="48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48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48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48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5" s="48" t="str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5" s="48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768</v>
      </c>
      <c r="O155" s="48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47"/>
      <c r="Q155" s="47"/>
      <c r="R155" s="47" t="s">
        <v>219</v>
      </c>
    </row>
    <row r="156" spans="1:18" ht="21" customHeight="1" x14ac:dyDescent="0.15">
      <c r="A156" s="39" t="str">
        <f t="shared" si="52"/>
        <v>41006019_41006136</v>
      </c>
      <c r="B156" s="47">
        <v>41006019</v>
      </c>
      <c r="C156" s="159">
        <v>41006136</v>
      </c>
      <c r="D156" s="46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その力を手放せ　ライオネル！</v>
      </c>
      <c r="E156" s="46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身に余る力は　その身を滅ぼすだけだぞ！</v>
      </c>
      <c r="F156" s="47">
        <v>41006074</v>
      </c>
      <c r="G156" s="48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6" s="48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56" s="48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48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8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48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6" s="48" t="str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6" s="48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765</v>
      </c>
      <c r="O156" s="48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47"/>
      <c r="Q156" s="47"/>
      <c r="R156" s="47" t="s">
        <v>219</v>
      </c>
    </row>
    <row r="157" spans="1:18" ht="21" customHeight="1" x14ac:dyDescent="0.15">
      <c r="A157" s="39" t="str">
        <f t="shared" ref="A157" si="53">B157&amp;"_"&amp;C157</f>
        <v>41006019_41006137</v>
      </c>
      <c r="B157" s="47">
        <v>41006019</v>
      </c>
      <c r="C157" s="159">
        <v>41006137</v>
      </c>
      <c r="D157" s="46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その力を手放せ　ライオネル！</v>
      </c>
      <c r="E157" s="46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身に余る力は　その身を滅ぼすだけだぞ！</v>
      </c>
      <c r="F157" s="47">
        <v>41006075</v>
      </c>
      <c r="G157" s="48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7" s="48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7" s="48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48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48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48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7" s="48" t="str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7" s="48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764</v>
      </c>
      <c r="O157" s="48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47"/>
      <c r="Q157" s="47"/>
      <c r="R157" s="47" t="s">
        <v>219</v>
      </c>
    </row>
    <row r="158" spans="1:18" ht="21" customHeight="1" x14ac:dyDescent="0.15">
      <c r="A158" s="39" t="str">
        <f t="shared" si="21"/>
        <v>41006019_41006065</v>
      </c>
      <c r="B158" s="47">
        <v>41006019</v>
      </c>
      <c r="C158" s="47">
        <v>41006065</v>
      </c>
      <c r="D158" s="46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パーシ、援護を頼む！</v>
      </c>
      <c r="E158" s="46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お邪魔パネル10個生成</v>
      </c>
      <c r="F158" s="47">
        <v>41006039</v>
      </c>
      <c r="G158" s="48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8" s="48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58" s="48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48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48" t="str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8" s="48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8" s="48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8" s="48" t="str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8" s="48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47"/>
      <c r="Q158" s="47"/>
      <c r="R158" s="47" t="s">
        <v>219</v>
      </c>
    </row>
    <row r="159" spans="1:18" ht="21" customHeight="1" x14ac:dyDescent="0.15">
      <c r="A159" s="39" t="str">
        <f t="shared" si="21"/>
        <v>41006019_41006040</v>
      </c>
      <c r="B159" s="47">
        <v>41006019</v>
      </c>
      <c r="C159" s="47">
        <v>41006040</v>
      </c>
      <c r="D159" s="46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トリス、畳み掛けるぞ！</v>
      </c>
      <c r="E159" s="46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ハートパネル吸収攻撃（最大8個まで）</v>
      </c>
      <c r="F159" s="47">
        <v>41006040</v>
      </c>
      <c r="G159" s="48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9" s="48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159" s="48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48" t="str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9" s="48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48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9" s="48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9" s="48" t="str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9" s="48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47"/>
      <c r="Q159" s="47"/>
      <c r="R159" s="47" t="s">
        <v>219</v>
      </c>
    </row>
    <row r="160" spans="1:18" ht="21" customHeight="1" x14ac:dyDescent="0.15">
      <c r="A160" s="39" t="str">
        <f t="shared" si="21"/>
        <v>41006019_41006043</v>
      </c>
      <c r="B160" s="47">
        <v>41006019</v>
      </c>
      <c r="C160" s="47">
        <v>41006043</v>
      </c>
      <c r="D160" s="46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エクスシュレッドVIII</v>
      </c>
      <c r="E160" s="46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160" s="47">
        <v>41006043</v>
      </c>
      <c r="G160" s="48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48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60" s="48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48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48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48" t="str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0" s="48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0" s="48" t="str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0" s="48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47"/>
      <c r="Q160" s="47"/>
      <c r="R160" s="47" t="s">
        <v>219</v>
      </c>
    </row>
    <row r="161" spans="1:18" ht="21" customHeight="1" x14ac:dyDescent="0.15">
      <c r="A161" s="39" t="str">
        <f t="shared" si="21"/>
        <v>41006019_41006044</v>
      </c>
      <c r="B161" s="47">
        <v>41006019</v>
      </c>
      <c r="C161" s="47">
        <v>41006044</v>
      </c>
      <c r="D161" s="46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オールレンジスライサー</v>
      </c>
      <c r="E161" s="46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赤パネルを6つ時限式ダメージパネルに変換</v>
      </c>
      <c r="F161" s="47">
        <v>41006044</v>
      </c>
      <c r="G161" s="48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1" s="48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61" s="48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61" s="48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48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48" t="str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1" s="48" t="str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1" s="48" t="str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1" s="48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61" s="47"/>
      <c r="Q161" s="47"/>
      <c r="R161" s="47" t="s">
        <v>219</v>
      </c>
    </row>
    <row r="162" spans="1:18" ht="21" customHeight="1" x14ac:dyDescent="0.15">
      <c r="A162" s="39" t="str">
        <f t="shared" si="21"/>
        <v>41006019_41006045</v>
      </c>
      <c r="B162" s="47">
        <v>41006019</v>
      </c>
      <c r="C162" s="47">
        <v>41006045</v>
      </c>
      <c r="D162" s="46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オールレンジスライサー</v>
      </c>
      <c r="E162" s="46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赤パネルを4つ時限式ダメージパネルに変換</v>
      </c>
      <c r="F162" s="47">
        <v>41006045</v>
      </c>
      <c r="G162" s="48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2" s="48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62" s="48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48" t="str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2" s="48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48" t="str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2" s="48" t="str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2" s="48" t="str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2" s="48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47"/>
      <c r="Q162" s="47"/>
      <c r="R162" s="47" t="s">
        <v>219</v>
      </c>
    </row>
    <row r="163" spans="1:18" ht="21" customHeight="1" x14ac:dyDescent="0.15">
      <c r="A163" s="39" t="str">
        <f t="shared" si="21"/>
        <v>41006020_41006068</v>
      </c>
      <c r="B163" s="47">
        <v>41006020</v>
      </c>
      <c r="C163" s="47">
        <v>41006068</v>
      </c>
      <c r="D163" s="46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俺たちの正義を見せてやる！</v>
      </c>
      <c r="E163" s="46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【！】HPが多いと即死攻撃発動【！】</v>
      </c>
      <c r="F163" s="47">
        <v>41006047</v>
      </c>
      <c r="G163" s="48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3" s="48" t="str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3" s="48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48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48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48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3" s="48" t="str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3" s="48" t="str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3" s="48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47"/>
      <c r="Q163" s="47"/>
      <c r="R163" s="47" t="s">
        <v>220</v>
      </c>
    </row>
    <row r="164" spans="1:18" ht="21" customHeight="1" x14ac:dyDescent="0.15">
      <c r="A164" s="39" t="str">
        <f t="shared" ref="A164:A165" si="54">B164&amp;"_"&amp;C164</f>
        <v>41006020_41006138</v>
      </c>
      <c r="B164" s="47">
        <v>41006020</v>
      </c>
      <c r="C164" s="47">
        <v>41006138</v>
      </c>
      <c r="D164" s="46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どちらの正義が上を行くか</v>
      </c>
      <c r="E164" s="46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この勝負、最後まで付き合ってもらうぞ！_x000D_【！】HPが多いと即死攻撃発動【！】</v>
      </c>
      <c r="F164" s="47">
        <v>41006065</v>
      </c>
      <c r="G164" s="48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4" s="48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64" s="48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4" s="48" t="str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4" s="48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8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4" s="48" t="str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4" s="48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819</v>
      </c>
      <c r="O164" s="48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4" s="47"/>
      <c r="Q164" s="47"/>
      <c r="R164" s="47" t="s">
        <v>220</v>
      </c>
    </row>
    <row r="165" spans="1:18" ht="21" customHeight="1" x14ac:dyDescent="0.15">
      <c r="A165" s="39" t="str">
        <f t="shared" si="54"/>
        <v>41006020_41006139</v>
      </c>
      <c r="B165" s="47">
        <v>41006020</v>
      </c>
      <c r="C165" s="47">
        <v>41006139</v>
      </c>
      <c r="D165" s="46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どちらの正義が上を行くか</v>
      </c>
      <c r="E165" s="46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この勝負、最後まで付き合ってもらうぞ！_x000D_【！】HPが多いと即死攻撃発動【！】</v>
      </c>
      <c r="F165" s="47">
        <v>41006066</v>
      </c>
      <c r="G165" s="48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5" s="48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65" s="48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48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48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48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5" s="48" t="str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5" s="48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165" s="48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47"/>
      <c r="Q165" s="47"/>
      <c r="R165" s="47" t="s">
        <v>220</v>
      </c>
    </row>
    <row r="166" spans="1:18" ht="21" customHeight="1" x14ac:dyDescent="0.15">
      <c r="A166" s="39" t="str">
        <f t="shared" ref="A166:A168" si="55">B166&amp;"_"&amp;C166</f>
        <v>41006020_41006140</v>
      </c>
      <c r="B166" s="47">
        <v>41006020</v>
      </c>
      <c r="C166" s="47">
        <v>41006140</v>
      </c>
      <c r="D166" s="46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どちらの正義が上を行くか</v>
      </c>
      <c r="E166" s="46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この勝負、最後まで付き合ってもらうぞ！_x000D_【！】HPが多いと即死攻撃発動【！】</v>
      </c>
      <c r="F166" s="47">
        <v>41006067</v>
      </c>
      <c r="G166" s="48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6" s="48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66" s="48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48" t="str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6" s="48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48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6" s="48" t="str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6" s="48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166" s="48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47"/>
      <c r="Q166" s="47"/>
      <c r="R166" s="47" t="s">
        <v>220</v>
      </c>
    </row>
    <row r="167" spans="1:18" ht="21" customHeight="1" x14ac:dyDescent="0.15">
      <c r="A167" s="39" t="str">
        <f t="shared" si="55"/>
        <v>41006020_41006141</v>
      </c>
      <c r="B167" s="47">
        <v>41006020</v>
      </c>
      <c r="C167" s="47">
        <v>41006141</v>
      </c>
      <c r="D167" s="46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まだだ…まだ意地は通す！</v>
      </c>
      <c r="E167" s="46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俺の正義は、俺だけのものじゃない…！_x000D_【！】HPが多いと即死攻撃発動【！】</v>
      </c>
      <c r="F167" s="47">
        <v>41006068</v>
      </c>
      <c r="G167" s="48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7" s="48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67" s="48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48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48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48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7" s="48" t="str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7" s="48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839</v>
      </c>
      <c r="O167" s="48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47"/>
      <c r="Q167" s="47"/>
      <c r="R167" s="47" t="s">
        <v>220</v>
      </c>
    </row>
    <row r="168" spans="1:18" ht="21" customHeight="1" x14ac:dyDescent="0.15">
      <c r="A168" s="39" t="str">
        <f t="shared" si="55"/>
        <v>41006020_41006142</v>
      </c>
      <c r="B168" s="47">
        <v>41006020</v>
      </c>
      <c r="C168" s="47">
        <v>41006142</v>
      </c>
      <c r="D168" s="46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まだだ…まだ意地は通す！</v>
      </c>
      <c r="E168" s="46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俺の正義は、俺だけのものじゃない…！_x000D_【！】HPが多いと即死攻撃発動【！】</v>
      </c>
      <c r="F168" s="47">
        <v>41006069</v>
      </c>
      <c r="G168" s="48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8" s="48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68" s="48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8" s="48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48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48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8" s="48" t="str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8" s="48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168" s="48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8" s="47"/>
      <c r="Q168" s="47"/>
      <c r="R168" s="47" t="s">
        <v>220</v>
      </c>
    </row>
    <row r="169" spans="1:18" ht="21" customHeight="1" x14ac:dyDescent="0.15">
      <c r="A169" s="39" t="str">
        <f t="shared" ref="A169:A171" si="56">B169&amp;"_"&amp;C169</f>
        <v>41006020_41006143</v>
      </c>
      <c r="B169" s="47">
        <v>41006020</v>
      </c>
      <c r="C169" s="47">
        <v>41006143</v>
      </c>
      <c r="D169" s="46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まだだ…まだ意地は通す！</v>
      </c>
      <c r="E169" s="46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俺の正義は、俺だけのものじゃない…！_x000D_【！】HPが多いと即死攻撃発動【！】</v>
      </c>
      <c r="F169" s="47">
        <v>41006070</v>
      </c>
      <c r="G169" s="48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9" s="48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69" s="48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9" s="48" t="str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9" s="48" t="str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9" s="48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9" s="48" t="str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9" s="48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169" s="48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9" s="47"/>
      <c r="Q169" s="47"/>
      <c r="R169" s="47" t="s">
        <v>220</v>
      </c>
    </row>
    <row r="170" spans="1:18" ht="21" customHeight="1" x14ac:dyDescent="0.15">
      <c r="A170" s="39" t="str">
        <f t="shared" si="56"/>
        <v>41006020_41006144</v>
      </c>
      <c r="B170" s="47">
        <v>41006020</v>
      </c>
      <c r="C170" s="47">
        <v>41006144</v>
      </c>
      <c r="D170" s="46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その道は俺の正義に反する</v>
      </c>
      <c r="E170" s="46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ここで止めてやるしかないようだな…！_x000D_【！】HPが多いと即死攻撃発動【！】</v>
      </c>
      <c r="F170" s="47">
        <v>41006071</v>
      </c>
      <c r="G170" s="48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0" s="48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70" s="48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0" s="48" t="str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0" s="48" t="str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0" s="48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0" s="48" t="str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0" s="48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961</v>
      </c>
      <c r="O170" s="48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0" s="47"/>
      <c r="Q170" s="47"/>
      <c r="R170" s="47" t="s">
        <v>220</v>
      </c>
    </row>
    <row r="171" spans="1:18" ht="21" customHeight="1" x14ac:dyDescent="0.15">
      <c r="A171" s="39" t="str">
        <f t="shared" si="56"/>
        <v>41006020_41006145</v>
      </c>
      <c r="B171" s="47">
        <v>41006020</v>
      </c>
      <c r="C171" s="47">
        <v>41006145</v>
      </c>
      <c r="D171" s="46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その道は俺の正義に反する</v>
      </c>
      <c r="E171" s="46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ここで止めてやるしかないようだな…！_x000D_【！】HPが多いと即死攻撃発動【！】</v>
      </c>
      <c r="F171" s="47">
        <v>41006072</v>
      </c>
      <c r="G171" s="48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1" s="48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71" s="48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1" s="48" t="str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1" s="48" t="str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1" s="48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1" s="48" t="str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1" s="48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769</v>
      </c>
      <c r="O171" s="48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1" s="47"/>
      <c r="Q171" s="47"/>
      <c r="R171" s="47" t="s">
        <v>220</v>
      </c>
    </row>
    <row r="172" spans="1:18" ht="21" customHeight="1" x14ac:dyDescent="0.15">
      <c r="A172" s="39" t="str">
        <f t="shared" ref="A172:A173" si="57">B172&amp;"_"&amp;C172</f>
        <v>41006020_41006146</v>
      </c>
      <c r="B172" s="47">
        <v>41006020</v>
      </c>
      <c r="C172" s="47">
        <v>41006146</v>
      </c>
      <c r="D172" s="46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その道は俺の正義に反する</v>
      </c>
      <c r="E172" s="46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ここで止めてやるしかないようだな…！_x000D_【！】HPが多いと即死攻撃発動【！】</v>
      </c>
      <c r="F172" s="47">
        <v>41006073</v>
      </c>
      <c r="G172" s="48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2" s="48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72" s="48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2" s="48" t="str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2" s="48" t="str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2" s="48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2" s="48" t="str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2" s="48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768</v>
      </c>
      <c r="O172" s="48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2" s="47"/>
      <c r="Q172" s="47"/>
      <c r="R172" s="47" t="s">
        <v>220</v>
      </c>
    </row>
    <row r="173" spans="1:18" ht="21" customHeight="1" x14ac:dyDescent="0.15">
      <c r="A173" s="39" t="str">
        <f t="shared" si="57"/>
        <v>41006020_41006147</v>
      </c>
      <c r="B173" s="47">
        <v>41006020</v>
      </c>
      <c r="C173" s="47">
        <v>41006147</v>
      </c>
      <c r="D173" s="46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分かるように教えてやる</v>
      </c>
      <c r="E173" s="46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力だけでは何も掴めないという事を！_x000D_【！】HPが多いと即死攻撃発動【！】</v>
      </c>
      <c r="F173" s="47">
        <v>41006074</v>
      </c>
      <c r="G173" s="48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3" s="48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73" s="48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3" s="48" t="str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3" s="48" t="str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3" s="48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3" s="48" t="str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3" s="48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765</v>
      </c>
      <c r="O173" s="48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3" s="47"/>
      <c r="Q173" s="47"/>
      <c r="R173" s="47" t="s">
        <v>220</v>
      </c>
    </row>
    <row r="174" spans="1:18" ht="21" customHeight="1" x14ac:dyDescent="0.15">
      <c r="A174" s="39" t="str">
        <f t="shared" ref="A174" si="58">B174&amp;"_"&amp;C174</f>
        <v>41006020_41006148</v>
      </c>
      <c r="B174" s="47">
        <v>41006020</v>
      </c>
      <c r="C174" s="47">
        <v>41006148</v>
      </c>
      <c r="D174" s="46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分かるように教えてやる</v>
      </c>
      <c r="E174" s="46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力だけでは何も掴めないという事を！_x000D_【！】HPが多いと即死攻撃発動【！】</v>
      </c>
      <c r="F174" s="47">
        <v>41006075</v>
      </c>
      <c r="G174" s="48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4" s="48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4" s="48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4" s="48" t="str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4" s="48" t="str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4" s="48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4" s="48" t="str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4" s="48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764</v>
      </c>
      <c r="O174" s="48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4" s="47"/>
      <c r="Q174" s="47"/>
      <c r="R174" s="47" t="s">
        <v>220</v>
      </c>
    </row>
    <row r="175" spans="1:18" ht="21" customHeight="1" x14ac:dyDescent="0.15">
      <c r="A175" s="39" t="str">
        <f t="shared" si="21"/>
        <v>41006020_41006069</v>
      </c>
      <c r="B175" s="47">
        <v>41006020</v>
      </c>
      <c r="C175" s="47">
        <v>41006069</v>
      </c>
      <c r="D175" s="46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トゥルー・ジャスティス</v>
      </c>
      <c r="E175" s="46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これが俺たちの正義だ！！</v>
      </c>
      <c r="F175" s="47">
        <v>41006060</v>
      </c>
      <c r="G175" s="48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5" s="48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28</v>
      </c>
      <c r="I175" s="48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5" s="48" t="str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5" s="48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175" s="48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5" s="48" t="str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5" s="48" t="str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5" s="48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5" s="47"/>
      <c r="Q175" s="47"/>
      <c r="R175" s="47" t="s">
        <v>220</v>
      </c>
    </row>
    <row r="176" spans="1:18" ht="21" customHeight="1" x14ac:dyDescent="0.15">
      <c r="A176" s="39" t="str">
        <f t="shared" si="21"/>
        <v>41006020_41006066</v>
      </c>
      <c r="B176" s="47">
        <v>41006020</v>
      </c>
      <c r="C176" s="47">
        <v>41006066</v>
      </c>
      <c r="D176" s="46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エクスシュレッドＸ</v>
      </c>
      <c r="E176" s="46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10回連続攻撃</v>
      </c>
      <c r="F176" s="47">
        <v>41006051</v>
      </c>
      <c r="G176" s="48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6" s="48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76" s="48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6" s="48" t="str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6" s="48" t="str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6" s="48" t="str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6" s="48" t="str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6" s="48" t="str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6" s="48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6" s="47"/>
      <c r="Q176" s="47"/>
      <c r="R176" s="47" t="s">
        <v>220</v>
      </c>
    </row>
    <row r="177" spans="1:18" ht="21" customHeight="1" x14ac:dyDescent="0.15">
      <c r="A177" s="39" t="str">
        <f t="shared" si="21"/>
        <v>41006020_41006052</v>
      </c>
      <c r="B177" s="47">
        <v>41006020</v>
      </c>
      <c r="C177" s="47">
        <v>41006052</v>
      </c>
      <c r="D177" s="46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ソードオブマジック</v>
      </c>
      <c r="E177" s="46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Cパネル吸収攻撃</v>
      </c>
      <c r="F177" s="47">
        <v>41006052</v>
      </c>
      <c r="G177" s="48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7" s="48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77" s="48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48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48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48" t="str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7" s="48" t="str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7" s="48" t="str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7" s="48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47"/>
      <c r="Q177" s="47"/>
      <c r="R177" s="47" t="s">
        <v>220</v>
      </c>
    </row>
    <row r="178" spans="1:18" ht="21" customHeight="1" x14ac:dyDescent="0.15">
      <c r="A178" s="39" t="str">
        <f t="shared" si="21"/>
        <v>41006020_41006053</v>
      </c>
      <c r="B178" s="47">
        <v>41006020</v>
      </c>
      <c r="C178" s="47">
        <v>41006053</v>
      </c>
      <c r="D178" s="46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シースオブマジック</v>
      </c>
      <c r="E178" s="46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Cパネル吸収回復</v>
      </c>
      <c r="F178" s="47">
        <v>41006053</v>
      </c>
      <c r="G178" s="48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8" s="48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78" s="48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78" s="48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78" s="48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48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78" s="48" t="str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8" s="48" t="str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8" s="48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78" s="47"/>
      <c r="Q178" s="47"/>
      <c r="R178" s="47" t="s">
        <v>220</v>
      </c>
    </row>
    <row r="179" spans="1:18" ht="21" customHeight="1" x14ac:dyDescent="0.15">
      <c r="A179" s="39" t="str">
        <f t="shared" ref="A179:A182" si="59">B179&amp;"_"&amp;C179</f>
        <v>41006020_41006070</v>
      </c>
      <c r="B179" s="47">
        <v>41006020</v>
      </c>
      <c r="C179" s="47">
        <v>41006070</v>
      </c>
      <c r="D179" s="46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俺はまだ生きているぞ…！</v>
      </c>
      <c r="E179" s="46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攻撃頻度が1にUP_x000D_HPが減るほど強力なスキルを連発する</v>
      </c>
      <c r="F179" s="47">
        <v>41006054</v>
      </c>
      <c r="G179" s="48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9" s="48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79" s="48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9" s="48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79" s="48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48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9" s="48" t="str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9" s="48" t="str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9" s="48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9" s="47"/>
      <c r="Q179" s="47"/>
      <c r="R179" s="47" t="s">
        <v>220</v>
      </c>
    </row>
    <row r="180" spans="1:18" ht="21" customHeight="1" x14ac:dyDescent="0.15">
      <c r="A180" s="39" t="str">
        <f t="shared" si="59"/>
        <v>41006020_41006055</v>
      </c>
      <c r="B180" s="47">
        <v>41006020</v>
      </c>
      <c r="C180" s="47">
        <v>41006055</v>
      </c>
      <c r="D180" s="46" t="str">
        <f ca="1">VLOOKUP($C180,OFFSET(enemy_skills!$A$1,0,0,COUNTA(enemy_skills!$A:$A),MATCH(D$1,enemy_skills!$1:$1,0)-MATCH("enemy_skill_id",enemy_skills!$1:$1,0)+1),MATCH(D$1,enemy_skills!$1:$1,0)-MATCH("enemy_skill_id",enemy_skills!$1:$1,0)+1,FALSE)</f>
        <v>ディストピア</v>
      </c>
      <c r="E180" s="46" t="str">
        <f ca="1">VLOOKUP($C180,OFFSET(enemy_skills!$A$1,0,0,COUNTA(enemy_skills!$A:$A),MATCH(E$1,enemy_skills!$1:$1,0)-MATCH("enemy_skill_id",enemy_skills!$1:$1,0)+1),MATCH(E$1,enemy_skills!$1:$1,0)-MATCH("enemy_skill_id",enemy_skills!$1:$1,0)+1,FALSE)</f>
        <v>HPが少ないほど強力な全体攻撃</v>
      </c>
      <c r="F180" s="47">
        <v>41006055</v>
      </c>
      <c r="G180" s="48">
        <f ca="1">VLOOKUP($F180,OFFSET(enemy_skill_triggers!$A$1,0,0,COUNTA(enemy_skill_triggers!$A:$A),MATCH(G$1,enemy_skill_triggers!$1:$1,0)-MATCH($F$1,enemy_skill_triggers!$1:$1,0)+1),MATCH(G$1,enemy_skill_triggers!$1:$1,0)-MATCH($F$1,enemy_skill_triggers!$1:$1,0)+1,FALSE)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0" s="48">
        <f ca="1">VLOOKUP($F180,OFFSET(enemy_skill_triggers!$A$1,0,0,COUNTA(enemy_skill_triggers!$A:$A),MATCH(H$1,enemy_skill_triggers!$1:$1,0)-MATCH($F$1,enemy_skill_triggers!$1:$1,0)+1),MATCH(H$1,enemy_skill_triggers!$1:$1,0)-MATCH($F$1,enemy_skill_triggers!$1:$1,0)+1,FALSE)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180" s="48">
        <f ca="1">VLOOKUP($F180,OFFSET(enemy_skill_triggers!$A$1,0,0,COUNTA(enemy_skill_triggers!$A:$A),MATCH(I$1,enemy_skill_triggers!$1:$1,0)-MATCH($F$1,enemy_skill_triggers!$1:$1,0)+1),MATCH(I$1,enemy_skill_triggers!$1:$1,0)-MATCH($F$1,enemy_skill_triggers!$1:$1,0)+1,FALSE)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0" s="48">
        <f ca="1">VLOOKUP($F180,OFFSET(enemy_skill_triggers!$A$1,0,0,COUNTA(enemy_skill_triggers!$A:$A),MATCH(J$1,enemy_skill_triggers!$1:$1,0)-MATCH($F$1,enemy_skill_triggers!$1:$1,0)+1),MATCH(J$1,enemy_skill_triggers!$1:$1,0)-MATCH($F$1,enemy_skill_triggers!$1:$1,0)+1,FALSE)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80" s="48" t="str">
        <f ca="1">VLOOKUP($F180,OFFSET(enemy_skill_triggers!$A$1,0,0,COUNTA(enemy_skill_triggers!$A:$A),MATCH(K$1,enemy_skill_triggers!$1:$1,0)-MATCH($F$1,enemy_skill_triggers!$1:$1,0)+1),MATCH(K$1,enemy_skill_triggers!$1:$1,0)-MATCH($F$1,enemy_skill_triggers!$1:$1,0)+1,FALSE)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0" s="48" t="str">
        <f ca="1">VLOOKUP($F180,OFFSET(enemy_skill_triggers!$A$1,0,0,COUNTA(enemy_skill_triggers!$A:$A),MATCH(L$1,enemy_skill_triggers!$1:$1,0)-MATCH($F$1,enemy_skill_triggers!$1:$1,0)+1),MATCH(L$1,enemy_skill_triggers!$1:$1,0)-MATCH($F$1,enemy_skill_triggers!$1:$1,0)+1,FALSE)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0" s="48" t="str">
        <f ca="1">VLOOKUP($F180,OFFSET(enemy_skill_triggers!$A$1,0,0,COUNTA(enemy_skill_triggers!$A:$A),MATCH(M$1,enemy_skill_triggers!$1:$1,0)-MATCH($F$1,enemy_skill_triggers!$1:$1,0)+1),MATCH(M$1,enemy_skill_triggers!$1:$1,0)-MATCH($F$1,enemy_skill_triggers!$1:$1,0)+1,FALSE)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0" s="48" t="str">
        <f ca="1">VLOOKUP($F180,OFFSET(enemy_skill_triggers!$A$1,0,0,COUNTA(enemy_skill_triggers!$A:$A),MATCH(N$1,enemy_skill_triggers!$1:$1,0)-MATCH($F$1,enemy_skill_triggers!$1:$1,0)+1),MATCH(N$1,enemy_skill_triggers!$1:$1,0)-MATCH($F$1,enemy_skill_triggers!$1:$1,0)+1,FALSE)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0" s="48">
        <f ca="1">VLOOKUP($F180,OFFSET(enemy_skill_triggers!$A$1,0,0,COUNTA(enemy_skill_triggers!$A:$A),MATCH(O$1,enemy_skill_triggers!$1:$1,0)-MATCH($F$1,enemy_skill_triggers!$1:$1,0)+1),MATCH(O$1,enemy_skill_triggers!$1:$1,0)-MATCH($F$1,enemy_skill_triggers!$1:$1,0)+1,FALSE)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0" s="47"/>
      <c r="Q180" s="47"/>
      <c r="R180" s="47" t="s">
        <v>220</v>
      </c>
    </row>
    <row r="181" spans="1:18" ht="21" customHeight="1" x14ac:dyDescent="0.15">
      <c r="A181" s="39" t="str">
        <f t="shared" si="59"/>
        <v>41006020_41006056</v>
      </c>
      <c r="B181" s="47">
        <v>41006020</v>
      </c>
      <c r="C181" s="47">
        <v>41006056</v>
      </c>
      <c r="D181" s="46" t="str">
        <f ca="1">VLOOKUP($C181,OFFSET(enemy_skills!$A$1,0,0,COUNTA(enemy_skills!$A:$A),MATCH(D$1,enemy_skills!$1:$1,0)-MATCH("enemy_skill_id",enemy_skills!$1:$1,0)+1),MATCH(D$1,enemy_skills!$1:$1,0)-MATCH("enemy_skill_id",enemy_skills!$1:$1,0)+1,FALSE)</f>
        <v>ディストピア</v>
      </c>
      <c r="E181" s="46" t="str">
        <f ca="1">VLOOKUP($C181,OFFSET(enemy_skills!$A$1,0,0,COUNTA(enemy_skills!$A:$A),MATCH(E$1,enemy_skills!$1:$1,0)-MATCH("enemy_skill_id",enemy_skills!$1:$1,0)+1),MATCH(E$1,enemy_skills!$1:$1,0)-MATCH("enemy_skill_id",enemy_skills!$1:$1,0)+1,FALSE)</f>
        <v>HPが少ないほど強力な全体攻撃</v>
      </c>
      <c r="F181" s="47">
        <v>41006056</v>
      </c>
      <c r="G181" s="48">
        <f ca="1">VLOOKUP($F181,OFFSET(enemy_skill_triggers!$A$1,0,0,COUNTA(enemy_skill_triggers!$A:$A),MATCH(G$1,enemy_skill_triggers!$1:$1,0)-MATCH($F$1,enemy_skill_triggers!$1:$1,0)+1),MATCH(G$1,enemy_skill_triggers!$1:$1,0)-MATCH($F$1,enemy_skill_triggers!$1:$1,0)+1,FALSE)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1" s="48">
        <f ca="1">VLOOKUP($F181,OFFSET(enemy_skill_triggers!$A$1,0,0,COUNTA(enemy_skill_triggers!$A:$A),MATCH(H$1,enemy_skill_triggers!$1:$1,0)-MATCH($F$1,enemy_skill_triggers!$1:$1,0)+1),MATCH(H$1,enemy_skill_triggers!$1:$1,0)-MATCH($F$1,enemy_skill_triggers!$1:$1,0)+1,FALSE)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181" s="48">
        <f ca="1">VLOOKUP($F181,OFFSET(enemy_skill_triggers!$A$1,0,0,COUNTA(enemy_skill_triggers!$A:$A),MATCH(I$1,enemy_skill_triggers!$1:$1,0)-MATCH($F$1,enemy_skill_triggers!$1:$1,0)+1),MATCH(I$1,enemy_skill_triggers!$1:$1,0)-MATCH($F$1,enemy_skill_triggers!$1:$1,0)+1,FALSE)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1" s="48">
        <f ca="1">VLOOKUP($F181,OFFSET(enemy_skill_triggers!$A$1,0,0,COUNTA(enemy_skill_triggers!$A:$A),MATCH(J$1,enemy_skill_triggers!$1:$1,0)-MATCH($F$1,enemy_skill_triggers!$1:$1,0)+1),MATCH(J$1,enemy_skill_triggers!$1:$1,0)-MATCH($F$1,enemy_skill_triggers!$1:$1,0)+1,FALSE)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81" s="48" t="str">
        <f ca="1">VLOOKUP($F181,OFFSET(enemy_skill_triggers!$A$1,0,0,COUNTA(enemy_skill_triggers!$A:$A),MATCH(K$1,enemy_skill_triggers!$1:$1,0)-MATCH($F$1,enemy_skill_triggers!$1:$1,0)+1),MATCH(K$1,enemy_skill_triggers!$1:$1,0)-MATCH($F$1,enemy_skill_triggers!$1:$1,0)+1,FALSE)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1" s="48" t="str">
        <f ca="1">VLOOKUP($F181,OFFSET(enemy_skill_triggers!$A$1,0,0,COUNTA(enemy_skill_triggers!$A:$A),MATCH(L$1,enemy_skill_triggers!$1:$1,0)-MATCH($F$1,enemy_skill_triggers!$1:$1,0)+1),MATCH(L$1,enemy_skill_triggers!$1:$1,0)-MATCH($F$1,enemy_skill_triggers!$1:$1,0)+1,FALSE)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1" s="48" t="str">
        <f ca="1">VLOOKUP($F181,OFFSET(enemy_skill_triggers!$A$1,0,0,COUNTA(enemy_skill_triggers!$A:$A),MATCH(M$1,enemy_skill_triggers!$1:$1,0)-MATCH($F$1,enemy_skill_triggers!$1:$1,0)+1),MATCH(M$1,enemy_skill_triggers!$1:$1,0)-MATCH($F$1,enemy_skill_triggers!$1:$1,0)+1,FALSE)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1" s="48" t="str">
        <f ca="1">VLOOKUP($F181,OFFSET(enemy_skill_triggers!$A$1,0,0,COUNTA(enemy_skill_triggers!$A:$A),MATCH(N$1,enemy_skill_triggers!$1:$1,0)-MATCH($F$1,enemy_skill_triggers!$1:$1,0)+1),MATCH(N$1,enemy_skill_triggers!$1:$1,0)-MATCH($F$1,enemy_skill_triggers!$1:$1,0)+1,FALSE)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1" s="48">
        <f ca="1">VLOOKUP($F181,OFFSET(enemy_skill_triggers!$A$1,0,0,COUNTA(enemy_skill_triggers!$A:$A),MATCH(O$1,enemy_skill_triggers!$1:$1,0)-MATCH($F$1,enemy_skill_triggers!$1:$1,0)+1),MATCH(O$1,enemy_skill_triggers!$1:$1,0)-MATCH($F$1,enemy_skill_triggers!$1:$1,0)+1,FALSE)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1" s="47"/>
      <c r="Q181" s="47"/>
      <c r="R181" s="47" t="s">
        <v>220</v>
      </c>
    </row>
    <row r="182" spans="1:18" ht="21" customHeight="1" x14ac:dyDescent="0.15">
      <c r="A182" s="39" t="str">
        <f t="shared" si="59"/>
        <v>41006020_41006057</v>
      </c>
      <c r="B182" s="47">
        <v>41006020</v>
      </c>
      <c r="C182" s="47">
        <v>41006057</v>
      </c>
      <c r="D182" s="46" t="str">
        <f ca="1">VLOOKUP($C182,OFFSET(enemy_skills!$A$1,0,0,COUNTA(enemy_skills!$A:$A),MATCH(D$1,enemy_skills!$1:$1,0)-MATCH("enemy_skill_id",enemy_skills!$1:$1,0)+1),MATCH(D$1,enemy_skills!$1:$1,0)-MATCH("enemy_skill_id",enemy_skills!$1:$1,0)+1,FALSE)</f>
        <v>ディストピア</v>
      </c>
      <c r="E182" s="46" t="str">
        <f ca="1">VLOOKUP($C182,OFFSET(enemy_skills!$A$1,0,0,COUNTA(enemy_skills!$A:$A),MATCH(E$1,enemy_skills!$1:$1,0)-MATCH("enemy_skill_id",enemy_skills!$1:$1,0)+1),MATCH(E$1,enemy_skills!$1:$1,0)-MATCH("enemy_skill_id",enemy_skills!$1:$1,0)+1,FALSE)</f>
        <v>HPが少ないほど強力な全体攻撃</v>
      </c>
      <c r="F182" s="47">
        <v>41006057</v>
      </c>
      <c r="G182" s="48">
        <f ca="1">VLOOKUP($F182,OFFSET(enemy_skill_triggers!$A$1,0,0,COUNTA(enemy_skill_triggers!$A:$A),MATCH(G$1,enemy_skill_triggers!$1:$1,0)-MATCH($F$1,enemy_skill_triggers!$1:$1,0)+1),MATCH(G$1,enemy_skill_triggers!$1:$1,0)-MATCH($F$1,enemy_skill_triggers!$1:$1,0)+1,FALSE)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2" s="48">
        <f ca="1">VLOOKUP($F182,OFFSET(enemy_skill_triggers!$A$1,0,0,COUNTA(enemy_skill_triggers!$A:$A),MATCH(H$1,enemy_skill_triggers!$1:$1,0)-MATCH($F$1,enemy_skill_triggers!$1:$1,0)+1),MATCH(H$1,enemy_skill_triggers!$1:$1,0)-MATCH($F$1,enemy_skill_triggers!$1:$1,0)+1,FALSE)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182" s="48">
        <f ca="1">VLOOKUP($F182,OFFSET(enemy_skill_triggers!$A$1,0,0,COUNTA(enemy_skill_triggers!$A:$A),MATCH(I$1,enemy_skill_triggers!$1:$1,0)-MATCH($F$1,enemy_skill_triggers!$1:$1,0)+1),MATCH(I$1,enemy_skill_triggers!$1:$1,0)-MATCH($F$1,enemy_skill_triggers!$1:$1,0)+1,FALSE)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2" s="48">
        <f ca="1">VLOOKUP($F182,OFFSET(enemy_skill_triggers!$A$1,0,0,COUNTA(enemy_skill_triggers!$A:$A),MATCH(J$1,enemy_skill_triggers!$1:$1,0)-MATCH($F$1,enemy_skill_triggers!$1:$1,0)+1),MATCH(J$1,enemy_skill_triggers!$1:$1,0)-MATCH($F$1,enemy_skill_triggers!$1:$1,0)+1,FALSE)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182" s="48" t="str">
        <f ca="1">VLOOKUP($F182,OFFSET(enemy_skill_triggers!$A$1,0,0,COUNTA(enemy_skill_triggers!$A:$A),MATCH(K$1,enemy_skill_triggers!$1:$1,0)-MATCH($F$1,enemy_skill_triggers!$1:$1,0)+1),MATCH(K$1,enemy_skill_triggers!$1:$1,0)-MATCH($F$1,enemy_skill_triggers!$1:$1,0)+1,FALSE)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2" s="48" t="str">
        <f ca="1">VLOOKUP($F182,OFFSET(enemy_skill_triggers!$A$1,0,0,COUNTA(enemy_skill_triggers!$A:$A),MATCH(L$1,enemy_skill_triggers!$1:$1,0)-MATCH($F$1,enemy_skill_triggers!$1:$1,0)+1),MATCH(L$1,enemy_skill_triggers!$1:$1,0)-MATCH($F$1,enemy_skill_triggers!$1:$1,0)+1,FALSE)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2" s="48" t="str">
        <f ca="1">VLOOKUP($F182,OFFSET(enemy_skill_triggers!$A$1,0,0,COUNTA(enemy_skill_triggers!$A:$A),MATCH(M$1,enemy_skill_triggers!$1:$1,0)-MATCH($F$1,enemy_skill_triggers!$1:$1,0)+1),MATCH(M$1,enemy_skill_triggers!$1:$1,0)-MATCH($F$1,enemy_skill_triggers!$1:$1,0)+1,FALSE)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2" s="48" t="str">
        <f ca="1">VLOOKUP($F182,OFFSET(enemy_skill_triggers!$A$1,0,0,COUNTA(enemy_skill_triggers!$A:$A),MATCH(N$1,enemy_skill_triggers!$1:$1,0)-MATCH($F$1,enemy_skill_triggers!$1:$1,0)+1),MATCH(N$1,enemy_skill_triggers!$1:$1,0)-MATCH($F$1,enemy_skill_triggers!$1:$1,0)+1,FALSE)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2" s="48">
        <f ca="1">VLOOKUP($F182,OFFSET(enemy_skill_triggers!$A$1,0,0,COUNTA(enemy_skill_triggers!$A:$A),MATCH(O$1,enemy_skill_triggers!$1:$1,0)-MATCH($F$1,enemy_skill_triggers!$1:$1,0)+1),MATCH(O$1,enemy_skill_triggers!$1:$1,0)-MATCH($F$1,enemy_skill_triggers!$1:$1,0)+1,FALSE)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2" s="47"/>
      <c r="Q182" s="47"/>
      <c r="R182" s="47" t="s">
        <v>220</v>
      </c>
    </row>
    <row r="183" spans="1:18" ht="21" customHeight="1" x14ac:dyDescent="0.15">
      <c r="A183" s="39" t="str">
        <f t="shared" ref="A183:A185" si="60">B183&amp;"_"&amp;C183</f>
        <v>41006020_41006149</v>
      </c>
      <c r="B183" s="47">
        <v>41006020</v>
      </c>
      <c r="C183" s="47">
        <v>41006149</v>
      </c>
      <c r="D183" s="46" t="str">
        <f ca="1">VLOOKUP($C183,OFFSET(enemy_skills!$A$1,0,0,COUNTA(enemy_skills!$A:$A),MATCH(D$1,enemy_skills!$1:$1,0)-MATCH("enemy_skill_id",enemy_skills!$1:$1,0)+1),MATCH(D$1,enemy_skills!$1:$1,0)-MATCH("enemy_skill_id",enemy_skills!$1:$1,0)+1,FALSE)</f>
        <v>強くなったな…モルド…</v>
      </c>
      <c r="E183" s="46" t="str">
        <f ca="1">VLOOKUP($C183,OFFSET(enemy_skills!$A$1,0,0,COUNTA(enemy_skills!$A:$A),MATCH(E$1,enemy_skills!$1:$1,0)-MATCH("enemy_skill_id",enemy_skills!$1:$1,0)+1),MATCH(E$1,enemy_skills!$1:$1,0)-MATCH("enemy_skill_id",enemy_skills!$1:$1,0)+1,FALSE)</f>
        <v>これからの…円卓の騎士…は…</v>
      </c>
      <c r="F183" s="47">
        <v>41006076</v>
      </c>
      <c r="G183" s="48">
        <f ca="1">VLOOKUP($F183,OFFSET(enemy_skill_triggers!$A$1,0,0,COUNTA(enemy_skill_triggers!$A:$A),MATCH(G$1,enemy_skill_triggers!$1:$1,0)-MATCH($F$1,enemy_skill_triggers!$1:$1,0)+1),MATCH(G$1,enemy_skill_triggers!$1:$1,0)-MATCH($F$1,enemy_skill_triggers!$1:$1,0)+1,FALSE)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3" s="48">
        <f ca="1">VLOOKUP($F183,OFFSET(enemy_skill_triggers!$A$1,0,0,COUNTA(enemy_skill_triggers!$A:$A),MATCH(H$1,enemy_skill_triggers!$1:$1,0)-MATCH($F$1,enemy_skill_triggers!$1:$1,0)+1),MATCH(H$1,enemy_skill_triggers!$1:$1,0)-MATCH($F$1,enemy_skill_triggers!$1:$1,0)+1,FALSE)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83" s="48">
        <f ca="1">VLOOKUP($F183,OFFSET(enemy_skill_triggers!$A$1,0,0,COUNTA(enemy_skill_triggers!$A:$A),MATCH(I$1,enemy_skill_triggers!$1:$1,0)-MATCH($F$1,enemy_skill_triggers!$1:$1,0)+1),MATCH(I$1,enemy_skill_triggers!$1:$1,0)-MATCH($F$1,enemy_skill_triggers!$1:$1,0)+1,FALSE)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3" s="48" t="str">
        <f ca="1">VLOOKUP($F183,OFFSET(enemy_skill_triggers!$A$1,0,0,COUNTA(enemy_skill_triggers!$A:$A),MATCH(J$1,enemy_skill_triggers!$1:$1,0)-MATCH($F$1,enemy_skill_triggers!$1:$1,0)+1),MATCH(J$1,enemy_skill_triggers!$1:$1,0)-MATCH($F$1,enemy_skill_triggers!$1:$1,0)+1,FALSE)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3" s="48" t="str">
        <f ca="1">VLOOKUP($F183,OFFSET(enemy_skill_triggers!$A$1,0,0,COUNTA(enemy_skill_triggers!$A:$A),MATCH(K$1,enemy_skill_triggers!$1:$1,0)-MATCH($F$1,enemy_skill_triggers!$1:$1,0)+1),MATCH(K$1,enemy_skill_triggers!$1:$1,0)-MATCH($F$1,enemy_skill_triggers!$1:$1,0)+1,FALSE)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3" s="48">
        <f ca="1">VLOOKUP($F183,OFFSET(enemy_skill_triggers!$A$1,0,0,COUNTA(enemy_skill_triggers!$A:$A),MATCH(L$1,enemy_skill_triggers!$1:$1,0)-MATCH($F$1,enemy_skill_triggers!$1:$1,0)+1),MATCH(L$1,enemy_skill_triggers!$1:$1,0)-MATCH($F$1,enemy_skill_triggers!$1:$1,0)+1,FALSE)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3" s="48" t="str">
        <f ca="1">VLOOKUP($F183,OFFSET(enemy_skill_triggers!$A$1,0,0,COUNTA(enemy_skill_triggers!$A:$A),MATCH(M$1,enemy_skill_triggers!$1:$1,0)-MATCH($F$1,enemy_skill_triggers!$1:$1,0)+1),MATCH(M$1,enemy_skill_triggers!$1:$1,0)-MATCH($F$1,enemy_skill_triggers!$1:$1,0)+1,FALSE)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3" s="48">
        <f ca="1">VLOOKUP($F183,OFFSET(enemy_skill_triggers!$A$1,0,0,COUNTA(enemy_skill_triggers!$A:$A),MATCH(N$1,enemy_skill_triggers!$1:$1,0)-MATCH($F$1,enemy_skill_triggers!$1:$1,0)+1),MATCH(N$1,enemy_skill_triggers!$1:$1,0)-MATCH($F$1,enemy_skill_triggers!$1:$1,0)+1,FALSE)</f>
        <v>819</v>
      </c>
      <c r="O183" s="48">
        <f ca="1">VLOOKUP($F183,OFFSET(enemy_skill_triggers!$A$1,0,0,COUNTA(enemy_skill_triggers!$A:$A),MATCH(O$1,enemy_skill_triggers!$1:$1,0)-MATCH($F$1,enemy_skill_triggers!$1:$1,0)+1),MATCH(O$1,enemy_skill_triggers!$1:$1,0)-MATCH($F$1,enemy_skill_triggers!$1:$1,0)+1,FALSE)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3" s="47"/>
      <c r="Q183" s="47"/>
      <c r="R183" s="47" t="s">
        <v>220</v>
      </c>
    </row>
    <row r="184" spans="1:18" ht="21" customHeight="1" x14ac:dyDescent="0.15">
      <c r="A184" s="39" t="str">
        <f t="shared" si="60"/>
        <v>41006020_41006150</v>
      </c>
      <c r="B184" s="47">
        <v>41006020</v>
      </c>
      <c r="C184" s="47">
        <v>41006150</v>
      </c>
      <c r="D184" s="46" t="str">
        <f ca="1">VLOOKUP($C184,OFFSET(enemy_skills!$A$1,0,0,COUNTA(enemy_skills!$A:$A),MATCH(D$1,enemy_skills!$1:$1,0)-MATCH("enemy_skill_id",enemy_skills!$1:$1,0)+1),MATCH(D$1,enemy_skills!$1:$1,0)-MATCH("enemy_skill_id",enemy_skills!$1:$1,0)+1,FALSE)</f>
        <v>強くなったな…モルド…</v>
      </c>
      <c r="E184" s="46" t="str">
        <f ca="1">VLOOKUP($C184,OFFSET(enemy_skills!$A$1,0,0,COUNTA(enemy_skills!$A:$A),MATCH(E$1,enemy_skills!$1:$1,0)-MATCH("enemy_skill_id",enemy_skills!$1:$1,0)+1),MATCH(E$1,enemy_skills!$1:$1,0)-MATCH("enemy_skill_id",enemy_skills!$1:$1,0)+1,FALSE)</f>
        <v>これからの…円卓の騎士…は…</v>
      </c>
      <c r="F184" s="47">
        <v>41006077</v>
      </c>
      <c r="G184" s="48">
        <f ca="1">VLOOKUP($F184,OFFSET(enemy_skill_triggers!$A$1,0,0,COUNTA(enemy_skill_triggers!$A:$A),MATCH(G$1,enemy_skill_triggers!$1:$1,0)-MATCH($F$1,enemy_skill_triggers!$1:$1,0)+1),MATCH(G$1,enemy_skill_triggers!$1:$1,0)-MATCH($F$1,enemy_skill_triggers!$1:$1,0)+1,FALSE)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4" s="48">
        <f ca="1">VLOOKUP($F184,OFFSET(enemy_skill_triggers!$A$1,0,0,COUNTA(enemy_skill_triggers!$A:$A),MATCH(H$1,enemy_skill_triggers!$1:$1,0)-MATCH($F$1,enemy_skill_triggers!$1:$1,0)+1),MATCH(H$1,enemy_skill_triggers!$1:$1,0)-MATCH($F$1,enemy_skill_triggers!$1:$1,0)+1,FALSE)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84" s="48">
        <f ca="1">VLOOKUP($F184,OFFSET(enemy_skill_triggers!$A$1,0,0,COUNTA(enemy_skill_triggers!$A:$A),MATCH(I$1,enemy_skill_triggers!$1:$1,0)-MATCH($F$1,enemy_skill_triggers!$1:$1,0)+1),MATCH(I$1,enemy_skill_triggers!$1:$1,0)-MATCH($F$1,enemy_skill_triggers!$1:$1,0)+1,FALSE)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4" s="48" t="str">
        <f ca="1">VLOOKUP($F184,OFFSET(enemy_skill_triggers!$A$1,0,0,COUNTA(enemy_skill_triggers!$A:$A),MATCH(J$1,enemy_skill_triggers!$1:$1,0)-MATCH($F$1,enemy_skill_triggers!$1:$1,0)+1),MATCH(J$1,enemy_skill_triggers!$1:$1,0)-MATCH($F$1,enemy_skill_triggers!$1:$1,0)+1,FALSE)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4" s="48" t="str">
        <f ca="1">VLOOKUP($F184,OFFSET(enemy_skill_triggers!$A$1,0,0,COUNTA(enemy_skill_triggers!$A:$A),MATCH(K$1,enemy_skill_triggers!$1:$1,0)-MATCH($F$1,enemy_skill_triggers!$1:$1,0)+1),MATCH(K$1,enemy_skill_triggers!$1:$1,0)-MATCH($F$1,enemy_skill_triggers!$1:$1,0)+1,FALSE)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4" s="48">
        <f ca="1">VLOOKUP($F184,OFFSET(enemy_skill_triggers!$A$1,0,0,COUNTA(enemy_skill_triggers!$A:$A),MATCH(L$1,enemy_skill_triggers!$1:$1,0)-MATCH($F$1,enemy_skill_triggers!$1:$1,0)+1),MATCH(L$1,enemy_skill_triggers!$1:$1,0)-MATCH($F$1,enemy_skill_triggers!$1:$1,0)+1,FALSE)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4" s="48" t="str">
        <f ca="1">VLOOKUP($F184,OFFSET(enemy_skill_triggers!$A$1,0,0,COUNTA(enemy_skill_triggers!$A:$A),MATCH(M$1,enemy_skill_triggers!$1:$1,0)-MATCH($F$1,enemy_skill_triggers!$1:$1,0)+1),MATCH(M$1,enemy_skill_triggers!$1:$1,0)-MATCH($F$1,enemy_skill_triggers!$1:$1,0)+1,FALSE)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4" s="48">
        <f ca="1">VLOOKUP($F184,OFFSET(enemy_skill_triggers!$A$1,0,0,COUNTA(enemy_skill_triggers!$A:$A),MATCH(N$1,enemy_skill_triggers!$1:$1,0)-MATCH($F$1,enemy_skill_triggers!$1:$1,0)+1),MATCH(N$1,enemy_skill_triggers!$1:$1,0)-MATCH($F$1,enemy_skill_triggers!$1:$1,0)+1,FALSE)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184" s="48">
        <f ca="1">VLOOKUP($F184,OFFSET(enemy_skill_triggers!$A$1,0,0,COUNTA(enemy_skill_triggers!$A:$A),MATCH(O$1,enemy_skill_triggers!$1:$1,0)-MATCH($F$1,enemy_skill_triggers!$1:$1,0)+1),MATCH(O$1,enemy_skill_triggers!$1:$1,0)-MATCH($F$1,enemy_skill_triggers!$1:$1,0)+1,FALSE)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4" s="47"/>
      <c r="Q184" s="47"/>
      <c r="R184" s="47" t="s">
        <v>220</v>
      </c>
    </row>
    <row r="185" spans="1:18" ht="21" customHeight="1" x14ac:dyDescent="0.15">
      <c r="A185" s="39" t="str">
        <f t="shared" si="60"/>
        <v>41006020_41006151</v>
      </c>
      <c r="B185" s="47">
        <v>41006020</v>
      </c>
      <c r="C185" s="47">
        <v>41006151</v>
      </c>
      <c r="D185" s="46" t="str">
        <f ca="1">VLOOKUP($C185,OFFSET(enemy_skills!$A$1,0,0,COUNTA(enemy_skills!$A:$A),MATCH(D$1,enemy_skills!$1:$1,0)-MATCH("enemy_skill_id",enemy_skills!$1:$1,0)+1),MATCH(D$1,enemy_skills!$1:$1,0)-MATCH("enemy_skill_id",enemy_skills!$1:$1,0)+1,FALSE)</f>
        <v>強くなったな…モルド…</v>
      </c>
      <c r="E185" s="46" t="str">
        <f ca="1">VLOOKUP($C185,OFFSET(enemy_skills!$A$1,0,0,COUNTA(enemy_skills!$A:$A),MATCH(E$1,enemy_skills!$1:$1,0)-MATCH("enemy_skill_id",enemy_skills!$1:$1,0)+1),MATCH(E$1,enemy_skills!$1:$1,0)-MATCH("enemy_skill_id",enemy_skills!$1:$1,0)+1,FALSE)</f>
        <v>これからの…円卓の騎士…は…</v>
      </c>
      <c r="F185" s="47">
        <v>41006078</v>
      </c>
      <c r="G185" s="48">
        <f ca="1">VLOOKUP($F185,OFFSET(enemy_skill_triggers!$A$1,0,0,COUNTA(enemy_skill_triggers!$A:$A),MATCH(G$1,enemy_skill_triggers!$1:$1,0)-MATCH($F$1,enemy_skill_triggers!$1:$1,0)+1),MATCH(G$1,enemy_skill_triggers!$1:$1,0)-MATCH($F$1,enemy_skill_triggers!$1:$1,0)+1,FALSE)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5" s="48">
        <f ca="1">VLOOKUP($F185,OFFSET(enemy_skill_triggers!$A$1,0,0,COUNTA(enemy_skill_triggers!$A:$A),MATCH(H$1,enemy_skill_triggers!$1:$1,0)-MATCH($F$1,enemy_skill_triggers!$1:$1,0)+1),MATCH(H$1,enemy_skill_triggers!$1:$1,0)-MATCH($F$1,enemy_skill_triggers!$1:$1,0)+1,FALSE)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5" s="48">
        <f ca="1">VLOOKUP($F185,OFFSET(enemy_skill_triggers!$A$1,0,0,COUNTA(enemy_skill_triggers!$A:$A),MATCH(I$1,enemy_skill_triggers!$1:$1,0)-MATCH($F$1,enemy_skill_triggers!$1:$1,0)+1),MATCH(I$1,enemy_skill_triggers!$1:$1,0)-MATCH($F$1,enemy_skill_triggers!$1:$1,0)+1,FALSE)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5" s="48" t="str">
        <f ca="1">VLOOKUP($F185,OFFSET(enemy_skill_triggers!$A$1,0,0,COUNTA(enemy_skill_triggers!$A:$A),MATCH(J$1,enemy_skill_triggers!$1:$1,0)-MATCH($F$1,enemy_skill_triggers!$1:$1,0)+1),MATCH(J$1,enemy_skill_triggers!$1:$1,0)-MATCH($F$1,enemy_skill_triggers!$1:$1,0)+1,FALSE)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5" s="48" t="str">
        <f ca="1">VLOOKUP($F185,OFFSET(enemy_skill_triggers!$A$1,0,0,COUNTA(enemy_skill_triggers!$A:$A),MATCH(K$1,enemy_skill_triggers!$1:$1,0)-MATCH($F$1,enemy_skill_triggers!$1:$1,0)+1),MATCH(K$1,enemy_skill_triggers!$1:$1,0)-MATCH($F$1,enemy_skill_triggers!$1:$1,0)+1,FALSE)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5" s="48">
        <f ca="1">VLOOKUP($F185,OFFSET(enemy_skill_triggers!$A$1,0,0,COUNTA(enemy_skill_triggers!$A:$A),MATCH(L$1,enemy_skill_triggers!$1:$1,0)-MATCH($F$1,enemy_skill_triggers!$1:$1,0)+1),MATCH(L$1,enemy_skill_triggers!$1:$1,0)-MATCH($F$1,enemy_skill_triggers!$1:$1,0)+1,FALSE)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5" s="48" t="str">
        <f ca="1">VLOOKUP($F185,OFFSET(enemy_skill_triggers!$A$1,0,0,COUNTA(enemy_skill_triggers!$A:$A),MATCH(M$1,enemy_skill_triggers!$1:$1,0)-MATCH($F$1,enemy_skill_triggers!$1:$1,0)+1),MATCH(M$1,enemy_skill_triggers!$1:$1,0)-MATCH($F$1,enemy_skill_triggers!$1:$1,0)+1,FALSE)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5" s="48">
        <f ca="1">VLOOKUP($F185,OFFSET(enemy_skill_triggers!$A$1,0,0,COUNTA(enemy_skill_triggers!$A:$A),MATCH(N$1,enemy_skill_triggers!$1:$1,0)-MATCH($F$1,enemy_skill_triggers!$1:$1,0)+1),MATCH(N$1,enemy_skill_triggers!$1:$1,0)-MATCH($F$1,enemy_skill_triggers!$1:$1,0)+1,FALSE)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185" s="48">
        <f ca="1">VLOOKUP($F185,OFFSET(enemy_skill_triggers!$A$1,0,0,COUNTA(enemy_skill_triggers!$A:$A),MATCH(O$1,enemy_skill_triggers!$1:$1,0)-MATCH($F$1,enemy_skill_triggers!$1:$1,0)+1),MATCH(O$1,enemy_skill_triggers!$1:$1,0)-MATCH($F$1,enemy_skill_triggers!$1:$1,0)+1,FALSE)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5" s="47"/>
      <c r="Q185" s="47"/>
      <c r="R185" s="47" t="s">
        <v>220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54"/>
  <sheetViews>
    <sheetView showGridLines="0" tabSelected="1" workbookViewId="0">
      <pane ySplit="1" topLeftCell="A2" activePane="bottomLeft" state="frozenSplit"/>
      <selection pane="bottomLeft" activeCell="F16" sqref="F1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08">
        <v>41006001</v>
      </c>
      <c r="B2" s="47" t="s">
        <v>354</v>
      </c>
      <c r="C2" s="50">
        <v>3</v>
      </c>
      <c r="D2" s="50" t="s">
        <v>355</v>
      </c>
      <c r="E2" s="51" t="s">
        <v>356</v>
      </c>
      <c r="F2" s="51" t="s">
        <v>357</v>
      </c>
      <c r="G2" s="63" t="str">
        <f>IFERROR(LEFT(B2,FIND("],",B2)),B2)</f>
        <v>[effect:nothing]</v>
      </c>
      <c r="H2" s="63">
        <f>FIND("effect:",G2)+7</f>
        <v>9</v>
      </c>
      <c r="I2" s="63">
        <f>IFERROR(FIND(",",G2),LEN(G2))</f>
        <v>16</v>
      </c>
      <c r="J2" s="63" t="e">
        <f>FIND("target:",G2)+7</f>
        <v>#VALUE!</v>
      </c>
      <c r="K2" s="63" t="e">
        <f>FIND(",",G2,I2+1)</f>
        <v>#VALUE!</v>
      </c>
      <c r="L2" s="63" t="str">
        <f>IFERROR(VLOOKUP(MID(G2,J2,K2-J2),[5]skilldef!$C:$D,2,FALSE),"-") &amp; " / " &amp; IFERROR(VLOOKUP(MID(G2,H2,I2-H2),[5]skilldef!$A:$B,2,FALSE),"-")</f>
        <v>- / 何もしない</v>
      </c>
      <c r="M2" s="63" t="str">
        <f>IFERROR(RIGHT(B2,LEN(B2)-FIND("],",B2)-1),"none")</f>
        <v>none</v>
      </c>
      <c r="N2" s="48" t="str">
        <f>IFERROR(LEFT(M2,FIND("],",M2)+#REF!),M2)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IFERROR(VLOOKUP(MID(N2,Q2,R2-Q2),[5]skilldef!$C:$D,2,FALSE),"-") &amp; " / " &amp; IFERROR(VLOOKUP(MID(N2,O2,P2-O2),[5]skilldef!$A:$B,2,FALSE),"-")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 t="s">
        <v>230</v>
      </c>
      <c r="AA2" s="52"/>
      <c r="AB2" s="50"/>
    </row>
    <row r="3" spans="1:28" ht="21" customHeight="1" x14ac:dyDescent="0.15">
      <c r="A3" s="108">
        <v>41006002</v>
      </c>
      <c r="B3" s="47" t="s">
        <v>226</v>
      </c>
      <c r="C3" s="50">
        <v>3</v>
      </c>
      <c r="D3" s="50" t="s">
        <v>197</v>
      </c>
      <c r="E3" s="51" t="s">
        <v>228</v>
      </c>
      <c r="F3" s="51" t="s">
        <v>229</v>
      </c>
      <c r="G3" s="63" t="str">
        <f t="shared" ref="G3:G66" si="0">IFERROR(LEFT(B3,FIND("],",B3)),B3)</f>
        <v>[effect:rush, count:3, val:0.4]</v>
      </c>
      <c r="H3" s="63">
        <f t="shared" ref="H3:H66" si="1">FIND("effect:",G3)+7</f>
        <v>9</v>
      </c>
      <c r="I3" s="63">
        <f t="shared" ref="I3:I66" si="2">IFERROR(FIND(",",G3),LEN(G3))</f>
        <v>13</v>
      </c>
      <c r="J3" s="63" t="e">
        <f t="shared" ref="J3:J66" si="3">FIND("target:",G3)+7</f>
        <v>#VALUE!</v>
      </c>
      <c r="K3" s="63">
        <f t="shared" ref="K3:K66" si="4">FIND(",",G3,I3+1)</f>
        <v>22</v>
      </c>
      <c r="L3" s="63" t="str">
        <f>IFERROR(VLOOKUP(MID(G3,J3,K3-J3),[5]skilldef!$C:$D,2,FALSE),"-") &amp; " / " &amp; IFERROR(VLOOKUP(MID(G3,H3,I3-H3),[5]skilldef!$A:$B,2,FALSE),"-")</f>
        <v>- / 連続攻撃</v>
      </c>
      <c r="M3" s="63" t="str">
        <f t="shared" ref="M3:M66" si="5">IFERROR(RIGHT(B3,LEN(B3)-FIND("],",B3)-1),"none")</f>
        <v>none</v>
      </c>
      <c r="N3" s="48" t="str">
        <f>IFERROR(LEFT(M3,FIND("],",M3)+#REF!),M3)</f>
        <v>none</v>
      </c>
      <c r="O3" s="63" t="e">
        <f t="shared" ref="O3:O66" si="6">FIND("effect:",N3)+7</f>
        <v>#VALUE!</v>
      </c>
      <c r="P3" s="63">
        <f t="shared" ref="P3:P66" si="7">IFERROR(FIND(",",N3),LEN(N3))</f>
        <v>4</v>
      </c>
      <c r="Q3" s="63" t="e">
        <f t="shared" ref="Q3:Q66" si="8">FIND("target:",N3)+7</f>
        <v>#VALUE!</v>
      </c>
      <c r="R3" s="63" t="e">
        <f t="shared" ref="R3:R66" si="9">FIND(",",N3,P3+1)</f>
        <v>#VALUE!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ref="T3:T66" si="10">IFERROR(RIGHT(M3,LEN(M3)-FIND("],",M3)-1),"none")</f>
        <v>none</v>
      </c>
      <c r="U3" s="63" t="e">
        <f t="shared" ref="U3:U66" si="11">FIND("effect:",T3)+7</f>
        <v>#VALUE!</v>
      </c>
      <c r="V3" s="63">
        <f t="shared" ref="V3:V66" si="12">IFERROR(FIND(",",T3),LEN(T3))</f>
        <v>4</v>
      </c>
      <c r="W3" s="63" t="e">
        <f t="shared" ref="W3:W66" si="13">FIND("target:",T3)+7</f>
        <v>#VALUE!</v>
      </c>
      <c r="X3" s="63" t="e">
        <f t="shared" ref="X3:X66" si="14">FIND(",",T3,V3+1)</f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 t="s">
        <v>230</v>
      </c>
      <c r="AA3" s="52"/>
      <c r="AB3" s="50"/>
    </row>
    <row r="4" spans="1:28" ht="21" customHeight="1" x14ac:dyDescent="0.15">
      <c r="A4" s="108">
        <v>41006003</v>
      </c>
      <c r="B4" s="47" t="s">
        <v>231</v>
      </c>
      <c r="C4" s="50">
        <v>3</v>
      </c>
      <c r="D4" s="50" t="s">
        <v>197</v>
      </c>
      <c r="E4" s="51" t="s">
        <v>232</v>
      </c>
      <c r="F4" s="51" t="s">
        <v>233</v>
      </c>
      <c r="G4" s="63" t="str">
        <f t="shared" si="0"/>
        <v>[effect:damage_anti_color, target:unit_all, color:blue, val1:0.25, val2:0.75]</v>
      </c>
      <c r="H4" s="63">
        <f t="shared" si="1"/>
        <v>9</v>
      </c>
      <c r="I4" s="63">
        <f t="shared" si="2"/>
        <v>26</v>
      </c>
      <c r="J4" s="63">
        <f t="shared" si="3"/>
        <v>35</v>
      </c>
      <c r="K4" s="63">
        <f t="shared" si="4"/>
        <v>43</v>
      </c>
      <c r="L4" s="63" t="str">
        <f>IFERROR(VLOOKUP(MID(G4,J4,K4-J4),[5]skilldef!$C:$D,2,FALSE),"-") &amp; " / " &amp; IFERROR(VLOOKUP(MID(G4,H4,I4-H4),[5]skilldef!$A:$B,2,FALSE),"-")</f>
        <v>味方全体に / 属性キラー</v>
      </c>
      <c r="M4" s="63" t="str">
        <f t="shared" si="5"/>
        <v>none</v>
      </c>
      <c r="N4" s="48" t="str">
        <f>IFERROR(LEFT(M4,FIND("],",M4)+#REF!),M4)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 t="s">
        <v>230</v>
      </c>
      <c r="AA4" s="52"/>
      <c r="AB4" s="50"/>
    </row>
    <row r="5" spans="1:28" ht="21" customHeight="1" x14ac:dyDescent="0.15">
      <c r="A5" s="108">
        <v>41006004</v>
      </c>
      <c r="B5" s="47" t="s">
        <v>234</v>
      </c>
      <c r="C5" s="50">
        <v>3</v>
      </c>
      <c r="D5" s="50" t="s">
        <v>197</v>
      </c>
      <c r="E5" s="51" t="s">
        <v>235</v>
      </c>
      <c r="F5" s="51" t="s">
        <v>236</v>
      </c>
      <c r="G5" s="63" t="str">
        <f t="shared" si="0"/>
        <v>[effect:freq_turn, target:myself, turn:-1, val:1, animation:enemy_freq_turn]</v>
      </c>
      <c r="H5" s="63">
        <f t="shared" si="1"/>
        <v>9</v>
      </c>
      <c r="I5" s="63">
        <f t="shared" si="2"/>
        <v>18</v>
      </c>
      <c r="J5" s="63">
        <f t="shared" si="3"/>
        <v>27</v>
      </c>
      <c r="K5" s="63">
        <f t="shared" si="4"/>
        <v>33</v>
      </c>
      <c r="L5" s="63" t="str">
        <f>IFERROR(VLOOKUP(MID(G5,J5,K5-J5),[5]skilldef!$C:$D,2,FALSE),"-") &amp; " / " &amp; IFERROR(VLOOKUP(MID(G5,H5,I5-H5),[5]skilldef!$A:$B,2,FALSE),"-")</f>
        <v>自分自身に / 攻撃頻度がUP</v>
      </c>
      <c r="M5" s="63" t="str">
        <f t="shared" si="5"/>
        <v>none</v>
      </c>
      <c r="N5" s="48" t="str">
        <f>IFERROR(LEFT(M5,FIND("],",M5)+#REF!),M5)</f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 t="s">
        <v>230</v>
      </c>
      <c r="AA5" s="52"/>
      <c r="AB5" s="50"/>
    </row>
    <row r="6" spans="1:28" ht="21" customHeight="1" x14ac:dyDescent="0.15">
      <c r="A6" s="108">
        <v>41006005</v>
      </c>
      <c r="B6" s="47" t="s">
        <v>418</v>
      </c>
      <c r="C6" s="50">
        <v>3</v>
      </c>
      <c r="D6" s="50" t="s">
        <v>197</v>
      </c>
      <c r="E6" s="51" t="s">
        <v>237</v>
      </c>
      <c r="F6" s="51" t="s">
        <v>417</v>
      </c>
      <c r="G6" s="63" t="str">
        <f t="shared" si="0"/>
        <v>[effect:dark, target:unit_all, turn:3, animation:enemy_dark]</v>
      </c>
      <c r="H6" s="63">
        <f t="shared" si="1"/>
        <v>9</v>
      </c>
      <c r="I6" s="63">
        <f t="shared" si="2"/>
        <v>13</v>
      </c>
      <c r="J6" s="63">
        <f t="shared" si="3"/>
        <v>22</v>
      </c>
      <c r="K6" s="63">
        <f t="shared" si="4"/>
        <v>30</v>
      </c>
      <c r="L6" s="63" t="str">
        <f>IFERROR(VLOOKUP(MID(G6,J6,K6-J6),[5]skilldef!$C:$D,2,FALSE),"-") &amp; " / " &amp; IFERROR(VLOOKUP(MID(G6,H6,I6-H6),[5]skilldef!$A:$B,2,FALSE),"-")</f>
        <v>味方全体に / 暗黒</v>
      </c>
      <c r="M6" s="63" t="str">
        <f t="shared" si="5"/>
        <v>none</v>
      </c>
      <c r="N6" s="48" t="str">
        <f>IFERROR(LEFT(M6,FIND("],",M6)+#REF!),M6)</f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 t="s">
        <v>230</v>
      </c>
      <c r="AA6" s="52"/>
      <c r="AB6" s="50"/>
    </row>
    <row r="7" spans="1:28" ht="21" customHeight="1" x14ac:dyDescent="0.15">
      <c r="A7" s="108">
        <v>41006006</v>
      </c>
      <c r="B7" s="47" t="s">
        <v>402</v>
      </c>
      <c r="C7" s="50">
        <v>3</v>
      </c>
      <c r="D7" s="50" t="s">
        <v>197</v>
      </c>
      <c r="E7" s="51" t="s">
        <v>238</v>
      </c>
      <c r="F7" s="51" t="s">
        <v>239</v>
      </c>
      <c r="G7" s="63" t="str">
        <f t="shared" si="0"/>
        <v>[effect:spread, val:0.2]</v>
      </c>
      <c r="H7" s="63">
        <f t="shared" si="1"/>
        <v>9</v>
      </c>
      <c r="I7" s="63">
        <f t="shared" si="2"/>
        <v>15</v>
      </c>
      <c r="J7" s="63" t="e">
        <f t="shared" si="3"/>
        <v>#VALUE!</v>
      </c>
      <c r="K7" s="63" t="e">
        <f t="shared" si="4"/>
        <v>#VALUE!</v>
      </c>
      <c r="L7" s="63" t="str">
        <f>IFERROR(VLOOKUP(MID(G7,J7,K7-J7),[5]skilldef!$C:$D,2,FALSE),"-") &amp; " / " &amp; IFERROR(VLOOKUP(MID(G7,H7,I7-H7),[5]skilldef!$A:$B,2,FALSE),"-")</f>
        <v>- / 全体攻撃</v>
      </c>
      <c r="M7" s="63" t="str">
        <f t="shared" si="5"/>
        <v>[effect:rush, count:6, val:0.25]</v>
      </c>
      <c r="N7" s="48" t="str">
        <f>IFERROR(LEFT(M7,FIND("],",M7)+#REF!),M7)</f>
        <v>[effect:rush, count:6, val:0.25]</v>
      </c>
      <c r="O7" s="63">
        <f t="shared" si="6"/>
        <v>9</v>
      </c>
      <c r="P7" s="63">
        <f t="shared" si="7"/>
        <v>13</v>
      </c>
      <c r="Q7" s="63" t="e">
        <f t="shared" si="8"/>
        <v>#VALUE!</v>
      </c>
      <c r="R7" s="63">
        <f t="shared" si="9"/>
        <v>22</v>
      </c>
      <c r="S7" s="63" t="str">
        <f>IFERROR(VLOOKUP(MID(N7,Q7,R7-Q7),[5]skilldef!$C:$D,2,FALSE),"-") &amp; " / " &amp; IFERROR(VLOOKUP(MID(N7,O7,P7-O7),[5]skilldef!$A:$B,2,FALSE),"-")</f>
        <v>- / 連続攻撃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 t="s">
        <v>230</v>
      </c>
      <c r="AA7" s="52"/>
      <c r="AB7" s="50"/>
    </row>
    <row r="8" spans="1:28" ht="21" customHeight="1" x14ac:dyDescent="0.15">
      <c r="A8" s="108">
        <v>41006007</v>
      </c>
      <c r="B8" s="47" t="s">
        <v>358</v>
      </c>
      <c r="C8" s="50">
        <v>3</v>
      </c>
      <c r="D8" s="50" t="s">
        <v>197</v>
      </c>
      <c r="E8" s="51" t="s">
        <v>359</v>
      </c>
      <c r="F8" s="51" t="s">
        <v>360</v>
      </c>
      <c r="G8" s="63" t="str">
        <f t="shared" si="0"/>
        <v>[effect:fix_speed,target:myself,turn:3]</v>
      </c>
      <c r="H8" s="63">
        <f t="shared" si="1"/>
        <v>9</v>
      </c>
      <c r="I8" s="63">
        <f t="shared" si="2"/>
        <v>18</v>
      </c>
      <c r="J8" s="63">
        <f t="shared" si="3"/>
        <v>26</v>
      </c>
      <c r="K8" s="63">
        <f t="shared" si="4"/>
        <v>32</v>
      </c>
      <c r="L8" s="63" t="str">
        <f>IFERROR(VLOOKUP(MID(G8,J8,K8-J8),[5]skilldef!$C:$D,2,FALSE),"-") &amp; " / " &amp; IFERROR(VLOOKUP(MID(G8,H8,I8-H8),[5]skilldef!$A:$B,2,FALSE),"-")</f>
        <v>自分自身に / 行動値設定</v>
      </c>
      <c r="M8" s="63" t="str">
        <f t="shared" si="5"/>
        <v>none</v>
      </c>
      <c r="N8" s="48" t="str">
        <f>IFERROR(LEFT(M8,FIND("],",M8)+#REF!),M8)</f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 t="s">
        <v>230</v>
      </c>
      <c r="AA8" s="52"/>
      <c r="AB8" s="50"/>
    </row>
    <row r="9" spans="1:28" ht="21" customHeight="1" x14ac:dyDescent="0.15">
      <c r="A9" s="108">
        <v>41006008</v>
      </c>
      <c r="B9" s="47" t="s">
        <v>240</v>
      </c>
      <c r="C9" s="50">
        <v>3</v>
      </c>
      <c r="D9" s="50" t="s">
        <v>197</v>
      </c>
      <c r="E9" s="51" t="s">
        <v>241</v>
      </c>
      <c r="F9" s="51" t="s">
        <v>394</v>
      </c>
      <c r="G9" s="63" t="str">
        <f t="shared" si="0"/>
        <v>[effect:break_attack, val:0.07, lowest_val:1, count:8, block:block_heart, target:unit_all]</v>
      </c>
      <c r="H9" s="63">
        <f t="shared" si="1"/>
        <v>9</v>
      </c>
      <c r="I9" s="63">
        <f t="shared" si="2"/>
        <v>21</v>
      </c>
      <c r="J9" s="63">
        <f t="shared" si="3"/>
        <v>82</v>
      </c>
      <c r="K9" s="63">
        <f t="shared" si="4"/>
        <v>31</v>
      </c>
      <c r="L9" s="63" t="str">
        <f>IFERROR(VLOOKUP(MID(G9,J9,K9-J9),[5]skilldef!$C:$D,2,FALSE),"-") &amp; " / " &amp; IFERROR(VLOOKUP(MID(G9,H9,I9-H9),[5]skilldef!$A:$B,2,FALSE),"-")</f>
        <v>- / -</v>
      </c>
      <c r="M9" s="63" t="str">
        <f t="shared" si="5"/>
        <v>none</v>
      </c>
      <c r="N9" s="48" t="str">
        <f>IFERROR(LEFT(M9,FIND("],",M9)+#REF!),M9)</f>
        <v>none</v>
      </c>
      <c r="O9" s="63" t="e">
        <f t="shared" si="6"/>
        <v>#VALUE!</v>
      </c>
      <c r="P9" s="63">
        <f t="shared" si="7"/>
        <v>4</v>
      </c>
      <c r="Q9" s="63" t="e">
        <f t="shared" si="8"/>
        <v>#VALUE!</v>
      </c>
      <c r="R9" s="63" t="e">
        <f t="shared" si="9"/>
        <v>#VALUE!</v>
      </c>
      <c r="S9" s="63" t="str">
        <f>IFERROR(VLOOKUP(MID(N9,Q9,R9-Q9),[5]skilldef!$C:$D,2,FALSE),"-") &amp; " / " &amp; IFERROR(VLOOKUP(MID(N9,O9,P9-O9),[5]skilldef!$A:$B,2,FALSE),"-")</f>
        <v>- / -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 t="s">
        <v>230</v>
      </c>
      <c r="AA9" s="52"/>
      <c r="AB9" s="50"/>
    </row>
    <row r="10" spans="1:28" ht="21" customHeight="1" x14ac:dyDescent="0.15">
      <c r="A10" s="108">
        <v>41006009</v>
      </c>
      <c r="B10" s="47" t="s">
        <v>242</v>
      </c>
      <c r="C10" s="50">
        <v>3</v>
      </c>
      <c r="D10" s="50" t="s">
        <v>197</v>
      </c>
      <c r="E10" s="51" t="s">
        <v>243</v>
      </c>
      <c r="F10" s="51" t="s">
        <v>244</v>
      </c>
      <c r="G10" s="63" t="str">
        <f t="shared" si="0"/>
        <v>[effect:freq_turn, target:myself, turn:1, val:1, animation:enemy_freq_turn]</v>
      </c>
      <c r="H10" s="63">
        <f t="shared" si="1"/>
        <v>9</v>
      </c>
      <c r="I10" s="63">
        <f t="shared" si="2"/>
        <v>18</v>
      </c>
      <c r="J10" s="63">
        <f t="shared" si="3"/>
        <v>27</v>
      </c>
      <c r="K10" s="63">
        <f t="shared" si="4"/>
        <v>33</v>
      </c>
      <c r="L10" s="63" t="str">
        <f>IFERROR(VLOOKUP(MID(G10,J10,K10-J10),[5]skilldef!$C:$D,2,FALSE),"-") &amp; " / " &amp; IFERROR(VLOOKUP(MID(G10,H10,I10-H10),[5]skilldef!$A:$B,2,FALSE),"-")</f>
        <v>自分自身に / 攻撃頻度がUP</v>
      </c>
      <c r="M10" s="63" t="str">
        <f t="shared" si="5"/>
        <v>[effect:rush, count:1, val:1.0]</v>
      </c>
      <c r="N10" s="48" t="str">
        <f>IFERROR(LEFT(M10,FIND("],",M10)+#REF!),M10)</f>
        <v>[effect:rush, count:1, val:1.0]</v>
      </c>
      <c r="O10" s="63">
        <f t="shared" si="6"/>
        <v>9</v>
      </c>
      <c r="P10" s="63">
        <f t="shared" si="7"/>
        <v>13</v>
      </c>
      <c r="Q10" s="63" t="e">
        <f t="shared" si="8"/>
        <v>#VALUE!</v>
      </c>
      <c r="R10" s="63">
        <f t="shared" si="9"/>
        <v>22</v>
      </c>
      <c r="S10" s="63" t="str">
        <f>IFERROR(VLOOKUP(MID(N10,Q10,R10-Q10),[5]skilldef!$C:$D,2,FALSE),"-") &amp; " / " &amp; IFERROR(VLOOKUP(MID(N10,O10,P10-O10),[5]skilldef!$A:$B,2,FALSE),"-")</f>
        <v>- / 連続攻撃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 t="s">
        <v>230</v>
      </c>
      <c r="AA10" s="52"/>
      <c r="AB10" s="50"/>
    </row>
    <row r="11" spans="1:28" ht="21" customHeight="1" x14ac:dyDescent="0.15">
      <c r="A11" s="108">
        <v>41006010</v>
      </c>
      <c r="B11" s="47" t="s">
        <v>245</v>
      </c>
      <c r="C11" s="50">
        <v>3</v>
      </c>
      <c r="D11" s="50" t="s">
        <v>197</v>
      </c>
      <c r="E11" s="51" t="s">
        <v>246</v>
      </c>
      <c r="F11" s="51" t="s">
        <v>247</v>
      </c>
      <c r="G11" s="63" t="str">
        <f t="shared" si="0"/>
        <v>[effect:degrade_unit, target:unit_all, turn:3, status:action, val:1.0,animation:enemy_tap_down]</v>
      </c>
      <c r="H11" s="63">
        <f t="shared" si="1"/>
        <v>9</v>
      </c>
      <c r="I11" s="63">
        <f t="shared" si="2"/>
        <v>21</v>
      </c>
      <c r="J11" s="63">
        <f t="shared" si="3"/>
        <v>30</v>
      </c>
      <c r="K11" s="63">
        <f t="shared" si="4"/>
        <v>38</v>
      </c>
      <c r="L11" s="63" t="str">
        <f>IFERROR(VLOOKUP(MID(G11,J11,K11-J11),[5]skilldef!$C:$D,2,FALSE),"-") &amp; " / " &amp; IFERROR(VLOOKUP(MID(G11,H11,I11-H11),[5]skilldef!$A:$B,2,FALSE),"-")</f>
        <v>味方全体に / ステータスDOWN</v>
      </c>
      <c r="M11" s="63" t="str">
        <f t="shared" si="5"/>
        <v>[effect:spread, val:0.25]</v>
      </c>
      <c r="N11" s="48" t="str">
        <f>IFERROR(LEFT(M11,FIND("],",M11)+#REF!),M11)</f>
        <v>[effect:spread, val:0.25]</v>
      </c>
      <c r="O11" s="63">
        <f t="shared" si="6"/>
        <v>9</v>
      </c>
      <c r="P11" s="63">
        <f t="shared" si="7"/>
        <v>15</v>
      </c>
      <c r="Q11" s="63" t="e">
        <f t="shared" si="8"/>
        <v>#VALUE!</v>
      </c>
      <c r="R11" s="63" t="e">
        <f t="shared" si="9"/>
        <v>#VALUE!</v>
      </c>
      <c r="S11" s="63" t="str">
        <f>IFERROR(VLOOKUP(MID(N11,Q11,R11-Q11),[5]skilldef!$C:$D,2,FALSE),"-") &amp; " / " &amp; IFERROR(VLOOKUP(MID(N11,O11,P11-O11),[5]skilldef!$A:$B,2,FALSE),"-")</f>
        <v>- / 全体攻撃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IFERROR(VLOOKUP(MID(T11,W11,X11-W11),[5]skilldef!$C:$D,2,FALSE),"-") &amp; " / " &amp; IFERROR(VLOOKUP(MID(T11,U11,V11-U11),[5]skilldef!$A:$B,2,FALSE),"-")</f>
        <v>- / -</v>
      </c>
      <c r="Z11" s="50" t="s">
        <v>230</v>
      </c>
      <c r="AA11" s="52"/>
      <c r="AB11" s="50"/>
    </row>
    <row r="12" spans="1:28" ht="21" customHeight="1" x14ac:dyDescent="0.15">
      <c r="A12" s="108">
        <v>41006011</v>
      </c>
      <c r="B12" s="47" t="s">
        <v>248</v>
      </c>
      <c r="C12" s="50">
        <v>3</v>
      </c>
      <c r="D12" s="50" t="s">
        <v>197</v>
      </c>
      <c r="E12" s="51" t="s">
        <v>249</v>
      </c>
      <c r="F12" s="51" t="s">
        <v>250</v>
      </c>
      <c r="G12" s="63" t="str">
        <f t="shared" si="0"/>
        <v>[effect:spread, val:0.4]</v>
      </c>
      <c r="H12" s="63">
        <f t="shared" si="1"/>
        <v>9</v>
      </c>
      <c r="I12" s="63">
        <f t="shared" si="2"/>
        <v>15</v>
      </c>
      <c r="J12" s="63" t="e">
        <f t="shared" si="3"/>
        <v>#VALUE!</v>
      </c>
      <c r="K12" s="63" t="e">
        <f t="shared" si="4"/>
        <v>#VALUE!</v>
      </c>
      <c r="L12" s="63" t="str">
        <f>IFERROR(VLOOKUP(MID(G12,J12,K12-J12),[5]skilldef!$C:$D,2,FALSE),"-") &amp; " / " &amp; IFERROR(VLOOKUP(MID(G12,H12,I12-H12),[5]skilldef!$A:$B,2,FALSE),"-")</f>
        <v>- / 全体攻撃</v>
      </c>
      <c r="M12" s="63" t="str">
        <f t="shared" si="5"/>
        <v>none</v>
      </c>
      <c r="N12" s="48" t="str">
        <f>IFERROR(LEFT(M12,FIND("],",M12)+#REF!),M12)</f>
        <v>none</v>
      </c>
      <c r="O12" s="63" t="e">
        <f t="shared" si="6"/>
        <v>#VALUE!</v>
      </c>
      <c r="P12" s="63">
        <f t="shared" si="7"/>
        <v>4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IFERROR(VLOOKUP(MID(N12,Q12,R12-Q12),[5]skilldef!$C:$D,2,FALSE),"-") &amp; " / " &amp; IFERROR(VLOOKUP(MID(N12,O12,P12-O12),[5]skilldef!$A:$B,2,FALSE),"-")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IFERROR(VLOOKUP(MID(T12,W12,X12-W12),[5]skilldef!$C:$D,2,FALSE),"-") &amp; " / " &amp; IFERROR(VLOOKUP(MID(T12,U12,V12-U12),[5]skilldef!$A:$B,2,FALSE),"-")</f>
        <v>- / -</v>
      </c>
      <c r="Z12" s="50" t="s">
        <v>230</v>
      </c>
      <c r="AA12" s="52"/>
      <c r="AB12" s="50"/>
    </row>
    <row r="13" spans="1:28" ht="21" customHeight="1" x14ac:dyDescent="0.15">
      <c r="A13" s="108">
        <v>41006012</v>
      </c>
      <c r="B13" s="47" t="s">
        <v>251</v>
      </c>
      <c r="C13" s="50">
        <v>3</v>
      </c>
      <c r="D13" s="50" t="s">
        <v>197</v>
      </c>
      <c r="E13" s="51" t="s">
        <v>252</v>
      </c>
      <c r="F13" s="51" t="s">
        <v>253</v>
      </c>
      <c r="G13" s="63" t="str">
        <f t="shared" si="0"/>
        <v>[effect:spread, val:0.6]</v>
      </c>
      <c r="H13" s="63">
        <f t="shared" si="1"/>
        <v>9</v>
      </c>
      <c r="I13" s="63">
        <f t="shared" si="2"/>
        <v>15</v>
      </c>
      <c r="J13" s="63" t="e">
        <f t="shared" si="3"/>
        <v>#VALUE!</v>
      </c>
      <c r="K13" s="63" t="e">
        <f t="shared" si="4"/>
        <v>#VALUE!</v>
      </c>
      <c r="L13" s="63" t="str">
        <f>IFERROR(VLOOKUP(MID(G13,J13,K13-J13),[5]skilldef!$C:$D,2,FALSE),"-") &amp; " / " &amp; IFERROR(VLOOKUP(MID(G13,H13,I13-H13),[5]skilldef!$A:$B,2,FALSE),"-")</f>
        <v>- / 全体攻撃</v>
      </c>
      <c r="M13" s="63" t="str">
        <f t="shared" si="5"/>
        <v>none</v>
      </c>
      <c r="N13" s="48" t="str">
        <f>IFERROR(LEFT(M13,FIND("],",M13)+#REF!),M13)</f>
        <v>none</v>
      </c>
      <c r="O13" s="63" t="e">
        <f t="shared" si="6"/>
        <v>#VALUE!</v>
      </c>
      <c r="P13" s="63">
        <f t="shared" si="7"/>
        <v>4</v>
      </c>
      <c r="Q13" s="63" t="e">
        <f t="shared" si="8"/>
        <v>#VALUE!</v>
      </c>
      <c r="R13" s="63" t="e">
        <f t="shared" si="9"/>
        <v>#VALUE!</v>
      </c>
      <c r="S13" s="63" t="str">
        <f>IFERROR(VLOOKUP(MID(N13,Q13,R13-Q13),[5]skilldef!$C:$D,2,FALSE),"-") &amp; " / " &amp; IFERROR(VLOOKUP(MID(N13,O13,P13-O13),[5]skilldef!$A:$B,2,FALSE),"-")</f>
        <v>- / -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 t="s">
        <v>230</v>
      </c>
      <c r="AA13" s="52"/>
      <c r="AB13" s="50"/>
    </row>
    <row r="14" spans="1:28" ht="21" customHeight="1" x14ac:dyDescent="0.15">
      <c r="A14" s="108">
        <v>41006013</v>
      </c>
      <c r="B14" s="47" t="s">
        <v>257</v>
      </c>
      <c r="C14" s="50">
        <v>3</v>
      </c>
      <c r="D14" s="50" t="s">
        <v>258</v>
      </c>
      <c r="E14" s="51" t="s">
        <v>259</v>
      </c>
      <c r="F14" s="51" t="s">
        <v>411</v>
      </c>
      <c r="G14" s="63" t="str">
        <f t="shared" si="0"/>
        <v>[effect:rush, count:1, val:1.3]</v>
      </c>
      <c r="H14" s="63">
        <f t="shared" si="1"/>
        <v>9</v>
      </c>
      <c r="I14" s="63">
        <f t="shared" si="2"/>
        <v>13</v>
      </c>
      <c r="J14" s="63" t="e">
        <f t="shared" si="3"/>
        <v>#VALUE!</v>
      </c>
      <c r="K14" s="63">
        <f t="shared" si="4"/>
        <v>22</v>
      </c>
      <c r="L14" s="63" t="str">
        <f>IFERROR(VLOOKUP(MID(G14,J14,K14-J14),[5]skilldef!$C:$D,2,FALSE),"-") &amp; " / " &amp; IFERROR(VLOOKUP(MID(G14,H14,I14-H14),[5]skilldef!$A:$B,2,FALSE),"-")</f>
        <v>- / 連続攻撃</v>
      </c>
      <c r="M14" s="63" t="str">
        <f t="shared" si="5"/>
        <v>none</v>
      </c>
      <c r="N14" s="48" t="str">
        <f>IFERROR(LEFT(M14,FIND("],",M14)+#REF!),M14)</f>
        <v>none</v>
      </c>
      <c r="O14" s="63" t="e">
        <f t="shared" si="6"/>
        <v>#VALUE!</v>
      </c>
      <c r="P14" s="63">
        <f t="shared" si="7"/>
        <v>4</v>
      </c>
      <c r="Q14" s="63" t="e">
        <f t="shared" si="8"/>
        <v>#VALUE!</v>
      </c>
      <c r="R14" s="63" t="e">
        <f t="shared" si="9"/>
        <v>#VALUE!</v>
      </c>
      <c r="S14" s="63" t="str">
        <f>IFERROR(VLOOKUP(MID(N14,Q14,R14-Q14),[5]skilldef!$C:$D,2,FALSE),"-") &amp; " / " &amp; IFERROR(VLOOKUP(MID(N14,O14,P14-O14),[5]skilldef!$A:$B,2,FALSE),"-")</f>
        <v>- / -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 t="s">
        <v>230</v>
      </c>
      <c r="AA14" s="52"/>
      <c r="AB14" s="50"/>
    </row>
    <row r="15" spans="1:28" ht="21" customHeight="1" x14ac:dyDescent="0.15">
      <c r="A15" s="108">
        <v>41006014</v>
      </c>
      <c r="B15" s="108" t="s">
        <v>512</v>
      </c>
      <c r="C15" s="109">
        <v>3</v>
      </c>
      <c r="D15" s="109" t="s">
        <v>197</v>
      </c>
      <c r="E15" s="110" t="s">
        <v>361</v>
      </c>
      <c r="F15" s="110" t="s">
        <v>362</v>
      </c>
      <c r="G15" s="63" t="str">
        <f t="shared" si="0"/>
        <v>[effect:force_change_block, new_block:block_heart, target:block_all, ignore01:block_positive, ignore02:block_negative, ignore03:block_heart, count:8, val:0]</v>
      </c>
      <c r="H15" s="63">
        <f t="shared" si="1"/>
        <v>9</v>
      </c>
      <c r="I15" s="63">
        <f t="shared" si="2"/>
        <v>27</v>
      </c>
      <c r="J15" s="63">
        <f t="shared" si="3"/>
        <v>59</v>
      </c>
      <c r="K15" s="63">
        <f t="shared" si="4"/>
        <v>50</v>
      </c>
      <c r="L15" s="63" t="str">
        <f>IFERROR(VLOOKUP(MID(G15,J15,K15-J15),[5]skilldef!$C:$D,2,FALSE),"-") &amp; " / " &amp; IFERROR(VLOOKUP(MID(G15,H15,I15-H15),[5]skilldef!$A:$B,2,FALSE),"-")</f>
        <v>- / -</v>
      </c>
      <c r="M15" s="63" t="str">
        <f t="shared" si="5"/>
        <v>none</v>
      </c>
      <c r="N15" s="48" t="str">
        <f>IFERROR(LEFT(M15,FIND("],",M15)+#REF!),M15)</f>
        <v>none</v>
      </c>
      <c r="O15" s="63" t="e">
        <f t="shared" si="6"/>
        <v>#VALUE!</v>
      </c>
      <c r="P15" s="63">
        <f t="shared" si="7"/>
        <v>4</v>
      </c>
      <c r="Q15" s="63" t="e">
        <f t="shared" si="8"/>
        <v>#VALUE!</v>
      </c>
      <c r="R15" s="63" t="e">
        <f t="shared" si="9"/>
        <v>#VALUE!</v>
      </c>
      <c r="S15" s="63" t="str">
        <f>IFERROR(VLOOKUP(MID(N15,Q15,R15-Q15),[5]skilldef!$C:$D,2,FALSE),"-") &amp; " / " &amp; IFERROR(VLOOKUP(MID(N15,O15,P15-O15),[5]skilldef!$A:$B,2,FALSE),"-")</f>
        <v>- / -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 t="s">
        <v>230</v>
      </c>
      <c r="AA15" s="52"/>
      <c r="AB15" s="50"/>
    </row>
    <row r="16" spans="1:28" ht="21" customHeight="1" x14ac:dyDescent="0.15">
      <c r="A16" s="108">
        <v>41006015</v>
      </c>
      <c r="B16" s="47" t="s">
        <v>254</v>
      </c>
      <c r="C16" s="50">
        <v>3</v>
      </c>
      <c r="D16" s="50" t="s">
        <v>197</v>
      </c>
      <c r="E16" s="51" t="s">
        <v>255</v>
      </c>
      <c r="F16" s="51" t="s">
        <v>256</v>
      </c>
      <c r="G16" s="63" t="str">
        <f t="shared" si="0"/>
        <v>[effect:charge, status:attack, val:3.0]</v>
      </c>
      <c r="H16" s="63">
        <f t="shared" si="1"/>
        <v>9</v>
      </c>
      <c r="I16" s="63">
        <f t="shared" si="2"/>
        <v>15</v>
      </c>
      <c r="J16" s="63" t="e">
        <f t="shared" si="3"/>
        <v>#VALUE!</v>
      </c>
      <c r="K16" s="63">
        <f t="shared" si="4"/>
        <v>30</v>
      </c>
      <c r="L16" s="63" t="str">
        <f>IFERROR(VLOOKUP(MID(G16,J16,K16-J16),[5]skilldef!$C:$D,2,FALSE),"-") &amp; " / " &amp; IFERROR(VLOOKUP(MID(G16,H16,I16-H16),[5]skilldef!$A:$B,2,FALSE),"-")</f>
        <v>- / 溜め</v>
      </c>
      <c r="M16" s="63" t="str">
        <f t="shared" si="5"/>
        <v>none</v>
      </c>
      <c r="N16" s="48" t="str">
        <f>IFERROR(LEFT(M16,FIND("],",M16)+#REF!),M16)</f>
        <v>none</v>
      </c>
      <c r="O16" s="63" t="e">
        <f t="shared" si="6"/>
        <v>#VALUE!</v>
      </c>
      <c r="P16" s="63">
        <f t="shared" si="7"/>
        <v>4</v>
      </c>
      <c r="Q16" s="63" t="e">
        <f t="shared" si="8"/>
        <v>#VALUE!</v>
      </c>
      <c r="R16" s="63" t="e">
        <f t="shared" si="9"/>
        <v>#VALUE!</v>
      </c>
      <c r="S16" s="63" t="str">
        <f>IFERROR(VLOOKUP(MID(N16,Q16,R16-Q16),[5]skilldef!$C:$D,2,FALSE),"-") &amp; " / " &amp; IFERROR(VLOOKUP(MID(N16,O16,P16-O16),[5]skilldef!$A:$B,2,FALSE),"-")</f>
        <v>- / -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IFERROR(VLOOKUP(MID(T16,W16,X16-W16),[5]skilldef!$C:$D,2,FALSE),"-") &amp; " / " &amp; IFERROR(VLOOKUP(MID(T16,U16,V16-U16),[5]skilldef!$A:$B,2,FALSE),"-")</f>
        <v>- / -</v>
      </c>
      <c r="Z16" s="50" t="s">
        <v>230</v>
      </c>
      <c r="AA16" s="52"/>
      <c r="AB16" s="50"/>
    </row>
    <row r="17" spans="1:28" ht="21" customHeight="1" x14ac:dyDescent="0.15">
      <c r="A17" s="108">
        <v>41006016</v>
      </c>
      <c r="B17" s="47" t="s">
        <v>363</v>
      </c>
      <c r="C17" s="50">
        <v>3</v>
      </c>
      <c r="D17" s="50" t="s">
        <v>197</v>
      </c>
      <c r="E17" s="51" t="s">
        <v>364</v>
      </c>
      <c r="F17" s="51" t="s">
        <v>365</v>
      </c>
      <c r="G17" s="63" t="str">
        <f t="shared" si="0"/>
        <v>[effect:fix_speed,target:myself,turn:1]</v>
      </c>
      <c r="H17" s="63">
        <f t="shared" si="1"/>
        <v>9</v>
      </c>
      <c r="I17" s="63">
        <f t="shared" si="2"/>
        <v>18</v>
      </c>
      <c r="J17" s="63">
        <f t="shared" si="3"/>
        <v>26</v>
      </c>
      <c r="K17" s="63">
        <f t="shared" si="4"/>
        <v>32</v>
      </c>
      <c r="L17" s="63" t="str">
        <f>IFERROR(VLOOKUP(MID(G17,J17,K17-J17),[5]skilldef!$C:$D,2,FALSE),"-") &amp; " / " &amp; IFERROR(VLOOKUP(MID(G17,H17,I17-H17),[5]skilldef!$A:$B,2,FALSE),"-")</f>
        <v>自分自身に / 行動値設定</v>
      </c>
      <c r="M17" s="63" t="str">
        <f t="shared" si="5"/>
        <v>none</v>
      </c>
      <c r="N17" s="48" t="str">
        <f>IFERROR(LEFT(M17,FIND("],",M17)+#REF!),M17)</f>
        <v>none</v>
      </c>
      <c r="O17" s="63" t="e">
        <f t="shared" si="6"/>
        <v>#VALUE!</v>
      </c>
      <c r="P17" s="63">
        <f t="shared" si="7"/>
        <v>4</v>
      </c>
      <c r="Q17" s="63" t="e">
        <f t="shared" si="8"/>
        <v>#VALUE!</v>
      </c>
      <c r="R17" s="63" t="e">
        <f t="shared" si="9"/>
        <v>#VALUE!</v>
      </c>
      <c r="S17" s="63" t="str">
        <f>IFERROR(VLOOKUP(MID(N17,Q17,R17-Q17),[5]skilldef!$C:$D,2,FALSE),"-") &amp; " / " &amp; IFERROR(VLOOKUP(MID(N17,O17,P17-O17),[5]skilldef!$A:$B,2,FALSE),"-")</f>
        <v>- / -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IFERROR(VLOOKUP(MID(T17,W17,X17-W17),[5]skilldef!$C:$D,2,FALSE),"-") &amp; " / " &amp; IFERROR(VLOOKUP(MID(T17,U17,V17-U17),[5]skilldef!$A:$B,2,FALSE),"-")</f>
        <v>- / -</v>
      </c>
      <c r="Z17" s="50" t="s">
        <v>230</v>
      </c>
      <c r="AA17" s="52"/>
      <c r="AB17" s="50"/>
    </row>
    <row r="18" spans="1:28" ht="21" customHeight="1" x14ac:dyDescent="0.15">
      <c r="A18" s="108">
        <v>41006017</v>
      </c>
      <c r="B18" s="47" t="s">
        <v>260</v>
      </c>
      <c r="C18" s="50">
        <v>3</v>
      </c>
      <c r="D18" s="50" t="s">
        <v>261</v>
      </c>
      <c r="E18" s="51" t="s">
        <v>262</v>
      </c>
      <c r="F18" s="51" t="s">
        <v>395</v>
      </c>
      <c r="G18" s="63" t="str">
        <f t="shared" si="0"/>
        <v>[effect:critical, val:1.5]</v>
      </c>
      <c r="H18" s="63">
        <f t="shared" si="1"/>
        <v>9</v>
      </c>
      <c r="I18" s="63">
        <f t="shared" si="2"/>
        <v>17</v>
      </c>
      <c r="J18" s="63" t="e">
        <f t="shared" si="3"/>
        <v>#VALUE!</v>
      </c>
      <c r="K18" s="63" t="e">
        <f t="shared" si="4"/>
        <v>#VALUE!</v>
      </c>
      <c r="L18" s="63" t="str">
        <f>IFERROR(VLOOKUP(MID(G18,J18,K18-J18),[5]skilldef!$C:$D,2,FALSE),"-") &amp; " / " &amp; IFERROR(VLOOKUP(MID(G18,H18,I18-H18),[5]skilldef!$A:$B,2,FALSE),"-")</f>
        <v>- / 大攻撃</v>
      </c>
      <c r="M18" s="63" t="str">
        <f t="shared" si="5"/>
        <v>none</v>
      </c>
      <c r="N18" s="48" t="str">
        <f>IFERROR(LEFT(M18,FIND("],",M18)+#REF!),M18)</f>
        <v>none</v>
      </c>
      <c r="O18" s="63" t="e">
        <f t="shared" si="6"/>
        <v>#VALUE!</v>
      </c>
      <c r="P18" s="63">
        <f t="shared" si="7"/>
        <v>4</v>
      </c>
      <c r="Q18" s="63" t="e">
        <f t="shared" si="8"/>
        <v>#VALUE!</v>
      </c>
      <c r="R18" s="63" t="e">
        <f t="shared" si="9"/>
        <v>#VALUE!</v>
      </c>
      <c r="S18" s="63" t="str">
        <f>IFERROR(VLOOKUP(MID(N18,Q18,R18-Q18),[5]skilldef!$C:$D,2,FALSE),"-") &amp; " / " &amp; IFERROR(VLOOKUP(MID(N18,O18,P18-O18),[5]skilldef!$A:$B,2,FALSE),"-")</f>
        <v>- / -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IFERROR(VLOOKUP(MID(T18,W18,X18-W18),[5]skilldef!$C:$D,2,FALSE),"-") &amp; " / " &amp; IFERROR(VLOOKUP(MID(T18,U18,V18-U18),[5]skilldef!$A:$B,2,FALSE),"-")</f>
        <v>- / -</v>
      </c>
      <c r="Z18" s="50" t="s">
        <v>230</v>
      </c>
      <c r="AA18" s="52"/>
      <c r="AB18" s="50"/>
    </row>
    <row r="19" spans="1:28" ht="21" customHeight="1" x14ac:dyDescent="0.15">
      <c r="A19" s="108">
        <v>41006018</v>
      </c>
      <c r="B19" s="47" t="s">
        <v>514</v>
      </c>
      <c r="C19" s="50">
        <v>3</v>
      </c>
      <c r="D19" s="50" t="s">
        <v>197</v>
      </c>
      <c r="E19" s="51" t="s">
        <v>369</v>
      </c>
      <c r="F19" s="51" t="s">
        <v>370</v>
      </c>
      <c r="G19" s="63" t="str">
        <f t="shared" si="0"/>
        <v>[effect:force_change_block, new_block:jammer, target:block_all, ignore01:block_positive, ignore02:block_negative, count:1, val:0]</v>
      </c>
      <c r="H19" s="63">
        <f t="shared" si="1"/>
        <v>9</v>
      </c>
      <c r="I19" s="63">
        <f t="shared" si="2"/>
        <v>27</v>
      </c>
      <c r="J19" s="63">
        <f t="shared" si="3"/>
        <v>54</v>
      </c>
      <c r="K19" s="63">
        <f t="shared" si="4"/>
        <v>45</v>
      </c>
      <c r="L19" s="63" t="str">
        <f>IFERROR(VLOOKUP(MID(G19,J19,K19-J19),[5]skilldef!$C:$D,2,FALSE),"-") &amp; " / " &amp; IFERROR(VLOOKUP(MID(G19,H19,I19-H19),[5]skilldef!$A:$B,2,FALSE),"-")</f>
        <v>- / -</v>
      </c>
      <c r="M19" s="63" t="str">
        <f t="shared" si="5"/>
        <v>[effect:rush, count:1, val:0.8]</v>
      </c>
      <c r="N19" s="48" t="str">
        <f>IFERROR(LEFT(M19,FIND("],",M19)+#REF!),M19)</f>
        <v>[effect:rush, count:1, val:0.8]</v>
      </c>
      <c r="O19" s="63">
        <f t="shared" si="6"/>
        <v>9</v>
      </c>
      <c r="P19" s="63">
        <f t="shared" si="7"/>
        <v>13</v>
      </c>
      <c r="Q19" s="63" t="e">
        <f t="shared" si="8"/>
        <v>#VALUE!</v>
      </c>
      <c r="R19" s="63">
        <f t="shared" si="9"/>
        <v>22</v>
      </c>
      <c r="S19" s="63" t="str">
        <f>IFERROR(VLOOKUP(MID(N19,Q19,R19-Q19),[5]skilldef!$C:$D,2,FALSE),"-") &amp; " / " &amp; IFERROR(VLOOKUP(MID(N19,O19,P19-O19),[5]skilldef!$A:$B,2,FALSE),"-")</f>
        <v>- / 連続攻撃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 t="s">
        <v>230</v>
      </c>
      <c r="AA19" s="52"/>
      <c r="AB19" s="50"/>
    </row>
    <row r="20" spans="1:28" ht="21" customHeight="1" x14ac:dyDescent="0.15">
      <c r="A20" s="108">
        <v>41006019</v>
      </c>
      <c r="B20" s="47" t="s">
        <v>263</v>
      </c>
      <c r="C20" s="50">
        <v>3</v>
      </c>
      <c r="D20" s="50" t="s">
        <v>197</v>
      </c>
      <c r="E20" s="51" t="s">
        <v>264</v>
      </c>
      <c r="F20" s="51" t="s">
        <v>265</v>
      </c>
      <c r="G20" s="63" t="str">
        <f t="shared" si="0"/>
        <v>[effect:sleep, target:unit_one, turn:3, rate:1, animation:sleep01]</v>
      </c>
      <c r="H20" s="63">
        <f t="shared" si="1"/>
        <v>9</v>
      </c>
      <c r="I20" s="63">
        <f t="shared" si="2"/>
        <v>14</v>
      </c>
      <c r="J20" s="63">
        <f t="shared" si="3"/>
        <v>23</v>
      </c>
      <c r="K20" s="63">
        <f t="shared" si="4"/>
        <v>31</v>
      </c>
      <c r="L20" s="63" t="str">
        <f>IFERROR(VLOOKUP(MID(G20,J20,K20-J20),[5]skilldef!$C:$D,2,FALSE),"-") &amp; " / " &amp; IFERROR(VLOOKUP(MID(G20,H20,I20-H20),[5]skilldef!$A:$B,2,FALSE),"-")</f>
        <v>味方単体に / スリープ</v>
      </c>
      <c r="M20" s="63" t="str">
        <f t="shared" si="5"/>
        <v>none</v>
      </c>
      <c r="N20" s="48" t="str">
        <f>IFERROR(LEFT(M20,FIND("],",M20)+#REF!),M20)</f>
        <v>none</v>
      </c>
      <c r="O20" s="63" t="e">
        <f t="shared" si="6"/>
        <v>#VALUE!</v>
      </c>
      <c r="P20" s="63">
        <f t="shared" si="7"/>
        <v>4</v>
      </c>
      <c r="Q20" s="63" t="e">
        <f t="shared" si="8"/>
        <v>#VALUE!</v>
      </c>
      <c r="R20" s="63" t="e">
        <f t="shared" si="9"/>
        <v>#VALUE!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 t="s">
        <v>230</v>
      </c>
      <c r="AA20" s="52"/>
      <c r="AB20" s="50"/>
    </row>
    <row r="21" spans="1:28" ht="21" customHeight="1" x14ac:dyDescent="0.15">
      <c r="A21" s="108">
        <v>41006020</v>
      </c>
      <c r="B21" s="47" t="s">
        <v>375</v>
      </c>
      <c r="C21" s="50">
        <v>3</v>
      </c>
      <c r="D21" s="50" t="s">
        <v>197</v>
      </c>
      <c r="E21" s="51" t="s">
        <v>376</v>
      </c>
      <c r="F21" s="51" t="s">
        <v>377</v>
      </c>
      <c r="G21" s="63" t="str">
        <f t="shared" si="0"/>
        <v>[effect:hungup, target:unit_one, turn:3, rate:1, animation:hungup01]</v>
      </c>
      <c r="H21" s="63">
        <f t="shared" si="1"/>
        <v>9</v>
      </c>
      <c r="I21" s="63">
        <f t="shared" si="2"/>
        <v>15</v>
      </c>
      <c r="J21" s="63">
        <f t="shared" si="3"/>
        <v>24</v>
      </c>
      <c r="K21" s="63">
        <f t="shared" si="4"/>
        <v>32</v>
      </c>
      <c r="L21" s="63" t="str">
        <f>IFERROR(VLOOKUP(MID(G21,J21,K21-J21),[5]skilldef!$C:$D,2,FALSE),"-") &amp; " / " &amp; IFERROR(VLOOKUP(MID(G21,H21,I21-H21),[5]skilldef!$A:$B,2,FALSE),"-")</f>
        <v>味方単体に / ハングアップ</v>
      </c>
      <c r="M21" s="63" t="str">
        <f t="shared" si="5"/>
        <v>none</v>
      </c>
      <c r="N21" s="48" t="str">
        <f>IFERROR(LEFT(M21,FIND("],",M21)+#REF!),M21)</f>
        <v>none</v>
      </c>
      <c r="O21" s="63" t="e">
        <f t="shared" si="6"/>
        <v>#VALUE!</v>
      </c>
      <c r="P21" s="63">
        <f t="shared" si="7"/>
        <v>4</v>
      </c>
      <c r="Q21" s="63" t="e">
        <f t="shared" si="8"/>
        <v>#VALUE!</v>
      </c>
      <c r="R21" s="63" t="e">
        <f t="shared" si="9"/>
        <v>#VALUE!</v>
      </c>
      <c r="S21" s="63" t="str">
        <f>IFERROR(VLOOKUP(MID(N21,Q21,R21-Q21),[5]skilldef!$C:$D,2,FALSE),"-") &amp; " / " &amp; IFERROR(VLOOKUP(MID(N21,O21,P21-O21),[5]skilldef!$A:$B,2,FALSE),"-")</f>
        <v>- / -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 t="s">
        <v>230</v>
      </c>
      <c r="AA21" s="52"/>
      <c r="AB21" s="50"/>
    </row>
    <row r="22" spans="1:28" ht="21" customHeight="1" x14ac:dyDescent="0.15">
      <c r="A22" s="108">
        <v>41006021</v>
      </c>
      <c r="B22" s="47" t="s">
        <v>366</v>
      </c>
      <c r="C22" s="50">
        <v>3</v>
      </c>
      <c r="D22" s="50" t="s">
        <v>197</v>
      </c>
      <c r="E22" s="51" t="s">
        <v>367</v>
      </c>
      <c r="F22" s="51" t="s">
        <v>368</v>
      </c>
      <c r="G22" s="63" t="str">
        <f t="shared" si="0"/>
        <v>[effect:enhance_enemy, target:myself, turn:-1, status:attack, val:0.4, animation:enemy_enhance_attack]</v>
      </c>
      <c r="H22" s="63">
        <f t="shared" si="1"/>
        <v>9</v>
      </c>
      <c r="I22" s="63">
        <f t="shared" si="2"/>
        <v>22</v>
      </c>
      <c r="J22" s="63">
        <f t="shared" si="3"/>
        <v>31</v>
      </c>
      <c r="K22" s="63">
        <f t="shared" si="4"/>
        <v>37</v>
      </c>
      <c r="L22" s="63" t="str">
        <f>IFERROR(VLOOKUP(MID(G22,J22,K22-J22),[5]skilldef!$C:$D,2,FALSE),"-") &amp; " / " &amp; IFERROR(VLOOKUP(MID(G22,H22,I22-H22),[5]skilldef!$A:$B,2,FALSE),"-")</f>
        <v>自分自身に / ステータス強化</v>
      </c>
      <c r="M22" s="63" t="str">
        <f t="shared" si="5"/>
        <v>none</v>
      </c>
      <c r="N22" s="48" t="str">
        <f>IFERROR(LEFT(M22,FIND("],",M22)+#REF!),M22)</f>
        <v>none</v>
      </c>
      <c r="O22" s="63" t="e">
        <f t="shared" si="6"/>
        <v>#VALUE!</v>
      </c>
      <c r="P22" s="63">
        <f t="shared" si="7"/>
        <v>4</v>
      </c>
      <c r="Q22" s="63" t="e">
        <f t="shared" si="8"/>
        <v>#VALUE!</v>
      </c>
      <c r="R22" s="63" t="e">
        <f t="shared" si="9"/>
        <v>#VALUE!</v>
      </c>
      <c r="S22" s="63" t="str">
        <f>IFERROR(VLOOKUP(MID(N22,Q22,R22-Q22),[5]skilldef!$C:$D,2,FALSE),"-") &amp; " / " &amp; IFERROR(VLOOKUP(MID(N22,O22,P22-O22),[5]skilldef!$A:$B,2,FALSE),"-")</f>
        <v>- / -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0" t="s">
        <v>230</v>
      </c>
      <c r="AA22" s="52"/>
      <c r="AB22" s="50"/>
    </row>
    <row r="23" spans="1:28" ht="21" customHeight="1" x14ac:dyDescent="0.15">
      <c r="A23" s="108">
        <v>41006022</v>
      </c>
      <c r="B23" s="47" t="s">
        <v>266</v>
      </c>
      <c r="C23" s="50">
        <v>3</v>
      </c>
      <c r="D23" s="50" t="s">
        <v>267</v>
      </c>
      <c r="E23" s="51" t="s">
        <v>268</v>
      </c>
      <c r="F23" s="51" t="s">
        <v>269</v>
      </c>
      <c r="G23" s="63" t="str">
        <f t="shared" si="0"/>
        <v>[effect:dis_panel, target:block_red, turn:5, animation:enemy_dis_red]</v>
      </c>
      <c r="H23" s="63">
        <f t="shared" si="1"/>
        <v>9</v>
      </c>
      <c r="I23" s="63">
        <f t="shared" si="2"/>
        <v>18</v>
      </c>
      <c r="J23" s="63">
        <f t="shared" si="3"/>
        <v>27</v>
      </c>
      <c r="K23" s="63">
        <f t="shared" si="4"/>
        <v>36</v>
      </c>
      <c r="L23" s="63" t="str">
        <f>IFERROR(VLOOKUP(MID(G23,J23,K23-J23),[5]skilldef!$C:$D,2,FALSE),"-") &amp; " / " &amp; IFERROR(VLOOKUP(MID(G23,H23,I23-H23),[5]skilldef!$A:$B,2,FALSE),"-")</f>
        <v>赤パネルを / ディスパネル</v>
      </c>
      <c r="M23" s="63" t="str">
        <f t="shared" si="5"/>
        <v>[effect:rush, count:1, val:1.0]</v>
      </c>
      <c r="N23" s="48" t="str">
        <f>IFERROR(LEFT(M23,FIND("],",M23)+#REF!),M23)</f>
        <v>[effect:rush, count:1, val:1.0]</v>
      </c>
      <c r="O23" s="63">
        <f t="shared" si="6"/>
        <v>9</v>
      </c>
      <c r="P23" s="63">
        <f t="shared" si="7"/>
        <v>13</v>
      </c>
      <c r="Q23" s="63" t="e">
        <f t="shared" si="8"/>
        <v>#VALUE!</v>
      </c>
      <c r="R23" s="63">
        <f t="shared" si="9"/>
        <v>22</v>
      </c>
      <c r="S23" s="63" t="str">
        <f>IFERROR(VLOOKUP(MID(N23,Q23,R23-Q23),[5]skilldef!$C:$D,2,FALSE),"-") &amp; " / " &amp; IFERROR(VLOOKUP(MID(N23,O23,P23-O23),[5]skilldef!$A:$B,2,FALSE),"-")</f>
        <v>- / 連続攻撃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IFERROR(VLOOKUP(MID(T23,W23,X23-W23),[5]skilldef!$C:$D,2,FALSE),"-") &amp; " / " &amp; IFERROR(VLOOKUP(MID(T23,U23,V23-U23),[5]skilldef!$A:$B,2,FALSE),"-")</f>
        <v>- / -</v>
      </c>
      <c r="Z23" s="50" t="s">
        <v>230</v>
      </c>
      <c r="AA23" s="52"/>
      <c r="AB23" s="50"/>
    </row>
    <row r="24" spans="1:28" ht="21" customHeight="1" x14ac:dyDescent="0.15">
      <c r="A24" s="108">
        <v>41006023</v>
      </c>
      <c r="B24" s="47" t="s">
        <v>270</v>
      </c>
      <c r="C24" s="50">
        <v>3</v>
      </c>
      <c r="D24" s="50" t="s">
        <v>267</v>
      </c>
      <c r="E24" s="51" t="s">
        <v>271</v>
      </c>
      <c r="F24" s="51" t="s">
        <v>272</v>
      </c>
      <c r="G24" s="63" t="str">
        <f t="shared" si="0"/>
        <v>[effect:dis_panel, target:block_yellow, turn:5, animation:enemy_dis_yellow]</v>
      </c>
      <c r="H24" s="63">
        <f t="shared" si="1"/>
        <v>9</v>
      </c>
      <c r="I24" s="63">
        <f t="shared" si="2"/>
        <v>18</v>
      </c>
      <c r="J24" s="63">
        <f t="shared" si="3"/>
        <v>27</v>
      </c>
      <c r="K24" s="63">
        <f t="shared" si="4"/>
        <v>39</v>
      </c>
      <c r="L24" s="63" t="str">
        <f>IFERROR(VLOOKUP(MID(G24,J24,K24-J24),[5]skilldef!$C:$D,2,FALSE),"-") &amp; " / " &amp; IFERROR(VLOOKUP(MID(G24,H24,I24-H24),[5]skilldef!$A:$B,2,FALSE),"-")</f>
        <v>黄色パネルを / ディスパネル</v>
      </c>
      <c r="M24" s="63" t="str">
        <f t="shared" si="5"/>
        <v>[effect:rush, count:1, val:1.0]</v>
      </c>
      <c r="N24" s="48" t="str">
        <f>IFERROR(LEFT(M24,FIND("],",M24)+#REF!),M24)</f>
        <v>[effect:rush, count:1, val:1.0]</v>
      </c>
      <c r="O24" s="63">
        <f t="shared" si="6"/>
        <v>9</v>
      </c>
      <c r="P24" s="63">
        <f t="shared" si="7"/>
        <v>13</v>
      </c>
      <c r="Q24" s="63" t="e">
        <f t="shared" si="8"/>
        <v>#VALUE!</v>
      </c>
      <c r="R24" s="63">
        <f t="shared" si="9"/>
        <v>22</v>
      </c>
      <c r="S24" s="63" t="str">
        <f>IFERROR(VLOOKUP(MID(N24,Q24,R24-Q24),[5]skilldef!$C:$D,2,FALSE),"-") &amp; " / " &amp; IFERROR(VLOOKUP(MID(N24,O24,P24-O24),[5]skilldef!$A:$B,2,FALSE),"-")</f>
        <v>- / 連続攻撃</v>
      </c>
      <c r="T24" s="48" t="str">
        <f t="shared" si="10"/>
        <v>none</v>
      </c>
      <c r="U24" s="63" t="e">
        <f t="shared" si="11"/>
        <v>#VALUE!</v>
      </c>
      <c r="V24" s="63">
        <f t="shared" si="12"/>
        <v>4</v>
      </c>
      <c r="W24" s="63" t="e">
        <f t="shared" si="13"/>
        <v>#VALUE!</v>
      </c>
      <c r="X24" s="63" t="e">
        <f t="shared" si="14"/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0" t="s">
        <v>230</v>
      </c>
      <c r="AA24" s="52"/>
      <c r="AB24" s="50"/>
    </row>
    <row r="25" spans="1:28" ht="21" customHeight="1" x14ac:dyDescent="0.15">
      <c r="A25" s="108">
        <v>41006024</v>
      </c>
      <c r="B25" s="47" t="s">
        <v>273</v>
      </c>
      <c r="C25" s="50">
        <v>3</v>
      </c>
      <c r="D25" s="50" t="s">
        <v>197</v>
      </c>
      <c r="E25" s="51" t="s">
        <v>274</v>
      </c>
      <c r="F25" s="51" t="s">
        <v>275</v>
      </c>
      <c r="G25" s="63" t="str">
        <f t="shared" si="0"/>
        <v>[effect:dis_panel, target:block_green, turn:5, animation:enemy_dis_green]</v>
      </c>
      <c r="H25" s="63">
        <f t="shared" si="1"/>
        <v>9</v>
      </c>
      <c r="I25" s="63">
        <f t="shared" si="2"/>
        <v>18</v>
      </c>
      <c r="J25" s="63">
        <f t="shared" si="3"/>
        <v>27</v>
      </c>
      <c r="K25" s="63">
        <f t="shared" si="4"/>
        <v>38</v>
      </c>
      <c r="L25" s="63" t="str">
        <f>IFERROR(VLOOKUP(MID(G25,J25,K25-J25),[5]skilldef!$C:$D,2,FALSE),"-") &amp; " / " &amp; IFERROR(VLOOKUP(MID(G25,H25,I25-H25),[5]skilldef!$A:$B,2,FALSE),"-")</f>
        <v>緑パネルを / ディスパネル</v>
      </c>
      <c r="M25" s="63" t="str">
        <f t="shared" si="5"/>
        <v>[effect:rush, count:1, val:1.0]</v>
      </c>
      <c r="N25" s="48" t="str">
        <f>IFERROR(LEFT(M25,FIND("],",M25)+#REF!),M25)</f>
        <v>[effect:rush, count:1, val:1.0]</v>
      </c>
      <c r="O25" s="63">
        <f t="shared" si="6"/>
        <v>9</v>
      </c>
      <c r="P25" s="63">
        <f t="shared" si="7"/>
        <v>13</v>
      </c>
      <c r="Q25" s="63" t="e">
        <f t="shared" si="8"/>
        <v>#VALUE!</v>
      </c>
      <c r="R25" s="63">
        <f t="shared" si="9"/>
        <v>22</v>
      </c>
      <c r="S25" s="63" t="str">
        <f>IFERROR(VLOOKUP(MID(N25,Q25,R25-Q25),[5]skilldef!$C:$D,2,FALSE),"-") &amp; " / " &amp; IFERROR(VLOOKUP(MID(N25,O25,P25-O25),[5]skilldef!$A:$B,2,FALSE),"-")</f>
        <v>- / 連続攻撃</v>
      </c>
      <c r="T25" s="48" t="str">
        <f t="shared" si="10"/>
        <v>none</v>
      </c>
      <c r="U25" s="63" t="e">
        <f t="shared" si="11"/>
        <v>#VALUE!</v>
      </c>
      <c r="V25" s="63">
        <f t="shared" si="12"/>
        <v>4</v>
      </c>
      <c r="W25" s="63" t="e">
        <f t="shared" si="13"/>
        <v>#VALUE!</v>
      </c>
      <c r="X25" s="63" t="e">
        <f t="shared" si="14"/>
        <v>#VALUE!</v>
      </c>
      <c r="Y25" s="63" t="str">
        <f>IFERROR(VLOOKUP(MID(T25,W25,X25-W25),[5]skilldef!$C:$D,2,FALSE),"-") &amp; " / " &amp; IFERROR(VLOOKUP(MID(T25,U25,V25-U25),[5]skilldef!$A:$B,2,FALSE),"-")</f>
        <v>- / -</v>
      </c>
      <c r="Z25" s="50" t="s">
        <v>230</v>
      </c>
      <c r="AA25" s="52"/>
      <c r="AB25" s="50"/>
    </row>
    <row r="26" spans="1:28" ht="21" customHeight="1" x14ac:dyDescent="0.15">
      <c r="A26" s="108">
        <v>41006025</v>
      </c>
      <c r="B26" s="47" t="s">
        <v>508</v>
      </c>
      <c r="C26" s="50">
        <v>3</v>
      </c>
      <c r="D26" s="50" t="s">
        <v>197</v>
      </c>
      <c r="E26" s="51" t="s">
        <v>276</v>
      </c>
      <c r="F26" s="51" t="s">
        <v>277</v>
      </c>
      <c r="G26" s="63" t="str">
        <f t="shared" si="0"/>
        <v>[effect:degrade_fever, val:1000, animation:fevergauge_down]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IFERROR(VLOOKUP(MID(G26,J26,K26-J26),[5]skilldef!$C:$D,2,FALSE),"-") &amp; " / " &amp; IFERROR(VLOOKUP(MID(G26,H26,I26-H26),[5]skilldef!$A:$B,2,FALSE),"-")</f>
        <v>- / フィーバーゲージ減少</v>
      </c>
      <c r="M26" s="63" t="str">
        <f t="shared" si="5"/>
        <v>[effect:fix_speed,target:myself,turn:1]</v>
      </c>
      <c r="N26" s="48" t="str">
        <f>IFERROR(LEFT(M26,FIND("],",M26)+#REF!),M26)</f>
        <v>[effect:fix_speed,target:myself,turn:1]</v>
      </c>
      <c r="O26" s="63">
        <f t="shared" si="6"/>
        <v>9</v>
      </c>
      <c r="P26" s="63">
        <f t="shared" si="7"/>
        <v>18</v>
      </c>
      <c r="Q26" s="63">
        <f t="shared" si="8"/>
        <v>26</v>
      </c>
      <c r="R26" s="63">
        <f t="shared" si="9"/>
        <v>32</v>
      </c>
      <c r="S26" s="63" t="str">
        <f>IFERROR(VLOOKUP(MID(N26,Q26,R26-Q26),[5]skilldef!$C:$D,2,FALSE),"-") &amp; " / " &amp; IFERROR(VLOOKUP(MID(N26,O26,P26-O26),[5]skilldef!$A:$B,2,FALSE),"-")</f>
        <v>自分自身に / 行動値設定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 t="s">
        <v>230</v>
      </c>
      <c r="AA26" s="52"/>
      <c r="AB26" s="50"/>
    </row>
    <row r="27" spans="1:28" ht="21" customHeight="1" x14ac:dyDescent="0.15">
      <c r="A27" s="108">
        <v>41006026</v>
      </c>
      <c r="B27" s="47" t="s">
        <v>278</v>
      </c>
      <c r="C27" s="50">
        <v>3</v>
      </c>
      <c r="D27" s="50" t="s">
        <v>279</v>
      </c>
      <c r="E27" s="51" t="s">
        <v>280</v>
      </c>
      <c r="F27" s="51" t="s">
        <v>281</v>
      </c>
      <c r="G27" s="63" t="str">
        <f t="shared" si="0"/>
        <v>[effect:rush, count:6, val:0.25]</v>
      </c>
      <c r="H27" s="63">
        <f t="shared" si="1"/>
        <v>9</v>
      </c>
      <c r="I27" s="63">
        <f t="shared" si="2"/>
        <v>13</v>
      </c>
      <c r="J27" s="63" t="e">
        <f t="shared" si="3"/>
        <v>#VALUE!</v>
      </c>
      <c r="K27" s="63">
        <f t="shared" si="4"/>
        <v>22</v>
      </c>
      <c r="L27" s="63" t="str">
        <f>IFERROR(VLOOKUP(MID(G27,J27,K27-J27),[5]skilldef!$C:$D,2,FALSE),"-") &amp; " / " &amp; IFERROR(VLOOKUP(MID(G27,H27,I27-H27),[5]skilldef!$A:$B,2,FALSE),"-")</f>
        <v>- / 連続攻撃</v>
      </c>
      <c r="M27" s="63" t="str">
        <f t="shared" si="5"/>
        <v>none</v>
      </c>
      <c r="N27" s="48" t="str">
        <f>IFERROR(LEFT(M27,FIND("],",M27)+#REF!),M27)</f>
        <v>none</v>
      </c>
      <c r="O27" s="63" t="e">
        <f t="shared" si="6"/>
        <v>#VALUE!</v>
      </c>
      <c r="P27" s="63">
        <f t="shared" si="7"/>
        <v>4</v>
      </c>
      <c r="Q27" s="63" t="e">
        <f t="shared" si="8"/>
        <v>#VALUE!</v>
      </c>
      <c r="R27" s="63" t="e">
        <f t="shared" si="9"/>
        <v>#VALUE!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IFERROR(VLOOKUP(MID(T27,W27,X27-W27),[5]skilldef!$C:$D,2,FALSE),"-") &amp; " / " &amp; IFERROR(VLOOKUP(MID(T27,U27,V27-U27),[5]skilldef!$A:$B,2,FALSE),"-")</f>
        <v>- / -</v>
      </c>
      <c r="Z27" s="50" t="s">
        <v>230</v>
      </c>
      <c r="AA27" s="52"/>
      <c r="AB27" s="50"/>
    </row>
    <row r="28" spans="1:28" ht="21" customHeight="1" x14ac:dyDescent="0.15">
      <c r="A28" s="108">
        <v>41006027</v>
      </c>
      <c r="B28" s="47" t="s">
        <v>282</v>
      </c>
      <c r="C28" s="50">
        <v>3</v>
      </c>
      <c r="D28" s="50" t="s">
        <v>197</v>
      </c>
      <c r="E28" s="51" t="s">
        <v>283</v>
      </c>
      <c r="F28" s="51" t="s">
        <v>284</v>
      </c>
      <c r="G28" s="63" t="str">
        <f t="shared" si="0"/>
        <v>[effect:spread, val:0.3]</v>
      </c>
      <c r="H28" s="63">
        <f t="shared" si="1"/>
        <v>9</v>
      </c>
      <c r="I28" s="63">
        <f t="shared" si="2"/>
        <v>15</v>
      </c>
      <c r="J28" s="63" t="e">
        <f t="shared" si="3"/>
        <v>#VALUE!</v>
      </c>
      <c r="K28" s="63" t="e">
        <f t="shared" si="4"/>
        <v>#VALUE!</v>
      </c>
      <c r="L28" s="63" t="str">
        <f>IFERROR(VLOOKUP(MID(G28,J28,K28-J28),[5]skilldef!$C:$D,2,FALSE),"-") &amp; " / " &amp; IFERROR(VLOOKUP(MID(G28,H28,I28-H28),[5]skilldef!$A:$B,2,FALSE),"-")</f>
        <v>- / 全体攻撃</v>
      </c>
      <c r="M28" s="63" t="str">
        <f t="shared" si="5"/>
        <v>[effect:heal, target:enemy_one, val:0.1, animation:enemy_heal]</v>
      </c>
      <c r="N28" s="48" t="str">
        <f>IFERROR(LEFT(M28,FIND("],",M28)+#REF!),M28)</f>
        <v>[effect:heal, target:enemy_one, val:0.1, animation:enemy_heal]</v>
      </c>
      <c r="O28" s="63">
        <f t="shared" si="6"/>
        <v>9</v>
      </c>
      <c r="P28" s="63">
        <f t="shared" si="7"/>
        <v>13</v>
      </c>
      <c r="Q28" s="63">
        <f t="shared" si="8"/>
        <v>22</v>
      </c>
      <c r="R28" s="63">
        <f t="shared" si="9"/>
        <v>31</v>
      </c>
      <c r="S28" s="63" t="str">
        <f>IFERROR(VLOOKUP(MID(N28,Q28,R28-Q28),[5]skilldef!$C:$D,2,FALSE),"-") &amp; " / " &amp; IFERROR(VLOOKUP(MID(N28,O28,P28-O28),[5]skilldef!$A:$B,2,FALSE),"-")</f>
        <v>敵単体に / 回復</v>
      </c>
      <c r="T28" s="48" t="str">
        <f t="shared" si="10"/>
        <v>none</v>
      </c>
      <c r="U28" s="63" t="e">
        <f t="shared" si="11"/>
        <v>#VALUE!</v>
      </c>
      <c r="V28" s="63">
        <f t="shared" si="12"/>
        <v>4</v>
      </c>
      <c r="W28" s="63" t="e">
        <f t="shared" si="13"/>
        <v>#VALUE!</v>
      </c>
      <c r="X28" s="63" t="e">
        <f t="shared" si="14"/>
        <v>#VALUE!</v>
      </c>
      <c r="Y28" s="63" t="str">
        <f>IFERROR(VLOOKUP(MID(T28,W28,X28-W28),[5]skilldef!$C:$D,2,FALSE),"-") &amp; " / " &amp; IFERROR(VLOOKUP(MID(T28,U28,V28-U28),[5]skilldef!$A:$B,2,FALSE),"-")</f>
        <v>- / -</v>
      </c>
      <c r="Z28" s="50" t="s">
        <v>230</v>
      </c>
      <c r="AA28" s="52"/>
      <c r="AB28" s="50"/>
    </row>
    <row r="29" spans="1:28" ht="21" customHeight="1" x14ac:dyDescent="0.15">
      <c r="A29" s="108">
        <v>41006028</v>
      </c>
      <c r="B29" s="47" t="s">
        <v>515</v>
      </c>
      <c r="C29" s="50">
        <v>3</v>
      </c>
      <c r="D29" s="50" t="s">
        <v>285</v>
      </c>
      <c r="E29" s="51" t="s">
        <v>286</v>
      </c>
      <c r="F29" s="51" t="s">
        <v>397</v>
      </c>
      <c r="G29" s="63" t="str">
        <f t="shared" si="0"/>
        <v>[effect:force_change_block, new_block:jammer, target:block_all, ignore01:block_positive, ignore02:block_negative, count:4, val:0]</v>
      </c>
      <c r="H29" s="63">
        <f t="shared" si="1"/>
        <v>9</v>
      </c>
      <c r="I29" s="63">
        <f t="shared" si="2"/>
        <v>27</v>
      </c>
      <c r="J29" s="63">
        <f t="shared" si="3"/>
        <v>54</v>
      </c>
      <c r="K29" s="63">
        <f t="shared" si="4"/>
        <v>45</v>
      </c>
      <c r="L29" s="63" t="str">
        <f>IFERROR(VLOOKUP(MID(G29,J29,K29-J29),[5]skilldef!$C:$D,2,FALSE),"-") &amp; " / " &amp; IFERROR(VLOOKUP(MID(G29,H29,I29-H29),[5]skilldef!$A:$B,2,FALSE),"-")</f>
        <v>- / -</v>
      </c>
      <c r="M29" s="63" t="str">
        <f t="shared" si="5"/>
        <v>none</v>
      </c>
      <c r="N29" s="48" t="str">
        <f>IFERROR(LEFT(M29,FIND("],",M29)+#REF!),M29)</f>
        <v>none</v>
      </c>
      <c r="O29" s="63" t="e">
        <f t="shared" si="6"/>
        <v>#VALUE!</v>
      </c>
      <c r="P29" s="63">
        <f t="shared" si="7"/>
        <v>4</v>
      </c>
      <c r="Q29" s="63" t="e">
        <f t="shared" si="8"/>
        <v>#VALUE!</v>
      </c>
      <c r="R29" s="63" t="e">
        <f t="shared" si="9"/>
        <v>#VALUE!</v>
      </c>
      <c r="S29" s="63" t="str">
        <f>IFERROR(VLOOKUP(MID(N29,Q29,R29-Q29),[5]skilldef!$C:$D,2,FALSE),"-") &amp; " / " &amp; IFERROR(VLOOKUP(MID(N29,O29,P29-O29),[5]skilldef!$A:$B,2,FALSE),"-")</f>
        <v>- / -</v>
      </c>
      <c r="T29" s="48" t="str">
        <f t="shared" si="10"/>
        <v>none</v>
      </c>
      <c r="U29" s="63" t="e">
        <f t="shared" si="11"/>
        <v>#VALUE!</v>
      </c>
      <c r="V29" s="63">
        <f t="shared" si="12"/>
        <v>4</v>
      </c>
      <c r="W29" s="63" t="e">
        <f t="shared" si="13"/>
        <v>#VALUE!</v>
      </c>
      <c r="X29" s="63" t="e">
        <f t="shared" si="14"/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 t="s">
        <v>230</v>
      </c>
      <c r="AA29" s="52"/>
      <c r="AB29" s="50"/>
    </row>
    <row r="30" spans="1:28" ht="21" customHeight="1" x14ac:dyDescent="0.15">
      <c r="A30" s="108">
        <v>41006029</v>
      </c>
      <c r="B30" s="47" t="s">
        <v>287</v>
      </c>
      <c r="C30" s="50">
        <v>3</v>
      </c>
      <c r="D30" s="50" t="s">
        <v>197</v>
      </c>
      <c r="E30" s="51" t="s">
        <v>288</v>
      </c>
      <c r="F30" s="51" t="s">
        <v>398</v>
      </c>
      <c r="G30" s="63" t="str">
        <f t="shared" si="0"/>
        <v>[effect:break_attack_fix, val:1250, lowest_val:666, count:-1, block:jammer, target:unit_one]</v>
      </c>
      <c r="H30" s="63">
        <f t="shared" si="1"/>
        <v>9</v>
      </c>
      <c r="I30" s="63">
        <f t="shared" si="2"/>
        <v>25</v>
      </c>
      <c r="J30" s="63">
        <f t="shared" si="3"/>
        <v>84</v>
      </c>
      <c r="K30" s="63">
        <f t="shared" si="4"/>
        <v>35</v>
      </c>
      <c r="L30" s="63" t="str">
        <f>IFERROR(VLOOKUP(MID(G30,J30,K30-J30),[5]skilldef!$C:$D,2,FALSE),"-") &amp; " / " &amp; IFERROR(VLOOKUP(MID(G30,H30,I30-H30),[5]skilldef!$A:$B,2,FALSE),"-")</f>
        <v>- / -</v>
      </c>
      <c r="M30" s="63" t="str">
        <f t="shared" si="5"/>
        <v>none</v>
      </c>
      <c r="N30" s="48" t="str">
        <f>IFERROR(LEFT(M30,FIND("],",M30)+#REF!),M30)</f>
        <v>none</v>
      </c>
      <c r="O30" s="63" t="e">
        <f t="shared" si="6"/>
        <v>#VALUE!</v>
      </c>
      <c r="P30" s="63">
        <f t="shared" si="7"/>
        <v>4</v>
      </c>
      <c r="Q30" s="63" t="e">
        <f t="shared" si="8"/>
        <v>#VALUE!</v>
      </c>
      <c r="R30" s="63" t="e">
        <f t="shared" si="9"/>
        <v>#VALUE!</v>
      </c>
      <c r="S30" s="63" t="str">
        <f>IFERROR(VLOOKUP(MID(N30,Q30,R30-Q30),[5]skilldef!$C:$D,2,FALSE),"-") &amp; " / " &amp; IFERROR(VLOOKUP(MID(N30,O30,P30-O30),[5]skilldef!$A:$B,2,FALSE),"-")</f>
        <v>- / -</v>
      </c>
      <c r="T30" s="48" t="str">
        <f t="shared" si="10"/>
        <v>none</v>
      </c>
      <c r="U30" s="63" t="e">
        <f t="shared" si="11"/>
        <v>#VALUE!</v>
      </c>
      <c r="V30" s="63">
        <f t="shared" si="12"/>
        <v>4</v>
      </c>
      <c r="W30" s="63" t="e">
        <f t="shared" si="13"/>
        <v>#VALUE!</v>
      </c>
      <c r="X30" s="63" t="e">
        <f t="shared" si="14"/>
        <v>#VALUE!</v>
      </c>
      <c r="Y30" s="63" t="str">
        <f>IFERROR(VLOOKUP(MID(T30,W30,X30-W30),[5]skilldef!$C:$D,2,FALSE),"-") &amp; " / " &amp; IFERROR(VLOOKUP(MID(T30,U30,V30-U30),[5]skilldef!$A:$B,2,FALSE),"-")</f>
        <v>- / -</v>
      </c>
      <c r="Z30" s="50" t="s">
        <v>230</v>
      </c>
      <c r="AA30" s="52"/>
      <c r="AB30" s="50"/>
    </row>
    <row r="31" spans="1:28" ht="21" customHeight="1" x14ac:dyDescent="0.15">
      <c r="A31" s="108">
        <v>41006030</v>
      </c>
      <c r="B31" s="47" t="s">
        <v>289</v>
      </c>
      <c r="C31" s="50">
        <v>3</v>
      </c>
      <c r="D31" s="50" t="s">
        <v>197</v>
      </c>
      <c r="E31" s="51" t="s">
        <v>290</v>
      </c>
      <c r="F31" s="51" t="s">
        <v>291</v>
      </c>
      <c r="G31" s="63" t="str">
        <f t="shared" si="0"/>
        <v>[effect:tolerance, target:myself, turn:-1, tolerance_effect:hungup, count:-1, animation:enemy_tolerance]</v>
      </c>
      <c r="H31" s="63">
        <f t="shared" si="1"/>
        <v>9</v>
      </c>
      <c r="I31" s="63">
        <f t="shared" si="2"/>
        <v>18</v>
      </c>
      <c r="J31" s="63">
        <f t="shared" si="3"/>
        <v>27</v>
      </c>
      <c r="K31" s="63">
        <f t="shared" si="4"/>
        <v>33</v>
      </c>
      <c r="L31" s="63" t="str">
        <f>IFERROR(VLOOKUP(MID(G31,J31,K31-J31),[5]skilldef!$C:$D,2,FALSE),"-") &amp; " / " &amp; IFERROR(VLOOKUP(MID(G31,H31,I31-H31),[5]skilldef!$A:$B,2,FALSE),"-")</f>
        <v>自分自身に / 状態異常耐性</v>
      </c>
      <c r="M31" s="63" t="str">
        <f t="shared" si="5"/>
        <v>none</v>
      </c>
      <c r="N31" s="48" t="str">
        <f>IFERROR(LEFT(M31,FIND("],",M31)+#REF!),M31)</f>
        <v>none</v>
      </c>
      <c r="O31" s="63" t="e">
        <f t="shared" si="6"/>
        <v>#VALUE!</v>
      </c>
      <c r="P31" s="63">
        <f t="shared" si="7"/>
        <v>4</v>
      </c>
      <c r="Q31" s="63" t="e">
        <f t="shared" si="8"/>
        <v>#VALUE!</v>
      </c>
      <c r="R31" s="63" t="e">
        <f t="shared" si="9"/>
        <v>#VALUE!</v>
      </c>
      <c r="S31" s="63" t="str">
        <f>IFERROR(VLOOKUP(MID(N31,Q31,R31-Q31),[5]skilldef!$C:$D,2,FALSE),"-") &amp; " / " &amp; IFERROR(VLOOKUP(MID(N31,O31,P31-O31),[5]skilldef!$A:$B,2,FALSE),"-")</f>
        <v>- / -</v>
      </c>
      <c r="T31" s="48" t="str">
        <f t="shared" si="10"/>
        <v>none</v>
      </c>
      <c r="U31" s="63" t="e">
        <f t="shared" si="11"/>
        <v>#VALUE!</v>
      </c>
      <c r="V31" s="63">
        <f t="shared" si="12"/>
        <v>4</v>
      </c>
      <c r="W31" s="63" t="e">
        <f t="shared" si="13"/>
        <v>#VALUE!</v>
      </c>
      <c r="X31" s="63" t="e">
        <f t="shared" si="14"/>
        <v>#VALUE!</v>
      </c>
      <c r="Y31" s="63" t="str">
        <f>IFERROR(VLOOKUP(MID(T31,W31,X31-W31),[5]skilldef!$C:$D,2,FALSE),"-") &amp; " / " &amp; IFERROR(VLOOKUP(MID(T31,U31,V31-U31),[5]skilldef!$A:$B,2,FALSE),"-")</f>
        <v>- / -</v>
      </c>
      <c r="Z31" s="50" t="s">
        <v>230</v>
      </c>
      <c r="AA31" s="52"/>
      <c r="AB31" s="50"/>
    </row>
    <row r="32" spans="1:28" ht="21" customHeight="1" x14ac:dyDescent="0.15">
      <c r="A32" s="108">
        <v>41006031</v>
      </c>
      <c r="B32" s="47" t="s">
        <v>309</v>
      </c>
      <c r="C32" s="50">
        <v>3</v>
      </c>
      <c r="D32" s="50" t="s">
        <v>197</v>
      </c>
      <c r="E32" s="51" t="s">
        <v>310</v>
      </c>
      <c r="F32" s="51" t="s">
        <v>311</v>
      </c>
      <c r="G32" s="63" t="str">
        <f t="shared" si="0"/>
        <v>[effect:enhance_enemy, target:myself, turn:5, status:attack, val:0.3, animation:enemy_enhance_attack]</v>
      </c>
      <c r="H32" s="63">
        <f t="shared" si="1"/>
        <v>9</v>
      </c>
      <c r="I32" s="63">
        <f t="shared" si="2"/>
        <v>22</v>
      </c>
      <c r="J32" s="63">
        <f t="shared" si="3"/>
        <v>31</v>
      </c>
      <c r="K32" s="63">
        <f t="shared" si="4"/>
        <v>37</v>
      </c>
      <c r="L32" s="63" t="str">
        <f>IFERROR(VLOOKUP(MID(G32,J32,K32-J32),[5]skilldef!$C:$D,2,FALSE),"-") &amp; " / " &amp; IFERROR(VLOOKUP(MID(G32,H32,I32-H32),[5]skilldef!$A:$B,2,FALSE),"-")</f>
        <v>自分自身に / ステータス強化</v>
      </c>
      <c r="M32" s="63" t="str">
        <f t="shared" si="5"/>
        <v>none</v>
      </c>
      <c r="N32" s="48" t="str">
        <f>IFERROR(LEFT(M32,FIND("],",M32)+#REF!),M32)</f>
        <v>none</v>
      </c>
      <c r="O32" s="63" t="e">
        <f t="shared" si="6"/>
        <v>#VALUE!</v>
      </c>
      <c r="P32" s="63">
        <f t="shared" si="7"/>
        <v>4</v>
      </c>
      <c r="Q32" s="63" t="e">
        <f t="shared" si="8"/>
        <v>#VALUE!</v>
      </c>
      <c r="R32" s="63" t="e">
        <f t="shared" si="9"/>
        <v>#VALUE!</v>
      </c>
      <c r="S32" s="63" t="str">
        <f>IFERROR(VLOOKUP(MID(N32,Q32,R32-Q32),[5]skilldef!$C:$D,2,FALSE),"-") &amp; " / " &amp; IFERROR(VLOOKUP(MID(N32,O32,P32-O32),[5]skilldef!$A:$B,2,FALSE),"-")</f>
        <v>- / -</v>
      </c>
      <c r="T32" s="48" t="str">
        <f t="shared" si="10"/>
        <v>none</v>
      </c>
      <c r="U32" s="63" t="e">
        <f t="shared" si="11"/>
        <v>#VALUE!</v>
      </c>
      <c r="V32" s="63">
        <f t="shared" si="12"/>
        <v>4</v>
      </c>
      <c r="W32" s="63" t="e">
        <f t="shared" si="13"/>
        <v>#VALUE!</v>
      </c>
      <c r="X32" s="63" t="e">
        <f t="shared" si="14"/>
        <v>#VALUE!</v>
      </c>
      <c r="Y32" s="63" t="str">
        <f>IFERROR(VLOOKUP(MID(T32,W32,X32-W32),[5]skilldef!$C:$D,2,FALSE),"-") &amp; " / " &amp; IFERROR(VLOOKUP(MID(T32,U32,V32-U32),[5]skilldef!$A:$B,2,FALSE),"-")</f>
        <v>- / -</v>
      </c>
      <c r="Z32" s="50" t="s">
        <v>230</v>
      </c>
      <c r="AA32" s="52"/>
      <c r="AB32" s="50"/>
    </row>
    <row r="33" spans="1:28" ht="21" customHeight="1" x14ac:dyDescent="0.15">
      <c r="A33" s="108">
        <v>41006032</v>
      </c>
      <c r="B33" s="47" t="s">
        <v>401</v>
      </c>
      <c r="C33" s="50">
        <v>3</v>
      </c>
      <c r="D33" s="50" t="s">
        <v>197</v>
      </c>
      <c r="E33" s="51" t="s">
        <v>371</v>
      </c>
      <c r="F33" s="51" t="s">
        <v>400</v>
      </c>
      <c r="G33" s="63" t="str">
        <f t="shared" si="0"/>
        <v>[effect:dark, target:unit_all, turn:5, animation:enemy_dark]</v>
      </c>
      <c r="H33" s="63">
        <f t="shared" si="1"/>
        <v>9</v>
      </c>
      <c r="I33" s="63">
        <f t="shared" si="2"/>
        <v>13</v>
      </c>
      <c r="J33" s="63">
        <f t="shared" si="3"/>
        <v>22</v>
      </c>
      <c r="K33" s="63">
        <f t="shared" si="4"/>
        <v>30</v>
      </c>
      <c r="L33" s="63" t="str">
        <f>IFERROR(VLOOKUP(MID(G33,J33,K33-J33),[5]skilldef!$C:$D,2,FALSE),"-") &amp; " / " &amp; IFERROR(VLOOKUP(MID(G33,H33,I33-H33),[5]skilldef!$A:$B,2,FALSE),"-")</f>
        <v>味方全体に / 暗黒</v>
      </c>
      <c r="M33" s="63" t="str">
        <f t="shared" si="5"/>
        <v>none</v>
      </c>
      <c r="N33" s="48" t="str">
        <f>IFERROR(LEFT(M33,FIND("],",M33)+#REF!),M33)</f>
        <v>none</v>
      </c>
      <c r="O33" s="63" t="e">
        <f t="shared" si="6"/>
        <v>#VALUE!</v>
      </c>
      <c r="P33" s="63">
        <f t="shared" si="7"/>
        <v>4</v>
      </c>
      <c r="Q33" s="63" t="e">
        <f t="shared" si="8"/>
        <v>#VALUE!</v>
      </c>
      <c r="R33" s="63" t="e">
        <f t="shared" si="9"/>
        <v>#VALUE!</v>
      </c>
      <c r="S33" s="63" t="str">
        <f>IFERROR(VLOOKUP(MID(N33,Q33,R33-Q33),[5]skilldef!$C:$D,2,FALSE),"-") &amp; " / " &amp; IFERROR(VLOOKUP(MID(N33,O33,P33-O33),[5]skilldef!$A:$B,2,FALSE),"-")</f>
        <v>- / -</v>
      </c>
      <c r="T33" s="48" t="str">
        <f t="shared" si="10"/>
        <v>none</v>
      </c>
      <c r="U33" s="63" t="e">
        <f t="shared" si="11"/>
        <v>#VALUE!</v>
      </c>
      <c r="V33" s="63">
        <f t="shared" si="12"/>
        <v>4</v>
      </c>
      <c r="W33" s="63" t="e">
        <f t="shared" si="13"/>
        <v>#VALUE!</v>
      </c>
      <c r="X33" s="63" t="e">
        <f t="shared" si="14"/>
        <v>#VALUE!</v>
      </c>
      <c r="Y33" s="63" t="str">
        <f>IFERROR(VLOOKUP(MID(T33,W33,X33-W33),[5]skilldef!$C:$D,2,FALSE),"-") &amp; " / " &amp; IFERROR(VLOOKUP(MID(T33,U33,V33-U33),[5]skilldef!$A:$B,2,FALSE),"-")</f>
        <v>- / -</v>
      </c>
      <c r="Z33" s="50" t="s">
        <v>230</v>
      </c>
      <c r="AA33" s="52"/>
      <c r="AB33" s="50"/>
    </row>
    <row r="34" spans="1:28" ht="21" customHeight="1" x14ac:dyDescent="0.15">
      <c r="A34" s="108">
        <v>41006033</v>
      </c>
      <c r="B34" s="47" t="s">
        <v>292</v>
      </c>
      <c r="C34" s="50">
        <v>3</v>
      </c>
      <c r="D34" s="50" t="s">
        <v>197</v>
      </c>
      <c r="E34" s="51" t="s">
        <v>293</v>
      </c>
      <c r="F34" s="51" t="s">
        <v>294</v>
      </c>
      <c r="G34" s="63" t="str">
        <f t="shared" si="0"/>
        <v>[effect:rush, count:3, val:0.36]</v>
      </c>
      <c r="H34" s="63">
        <f t="shared" si="1"/>
        <v>9</v>
      </c>
      <c r="I34" s="63">
        <f t="shared" si="2"/>
        <v>13</v>
      </c>
      <c r="J34" s="63" t="e">
        <f t="shared" si="3"/>
        <v>#VALUE!</v>
      </c>
      <c r="K34" s="63">
        <f t="shared" si="4"/>
        <v>22</v>
      </c>
      <c r="L34" s="63" t="str">
        <f>IFERROR(VLOOKUP(MID(G34,J34,K34-J34),[5]skilldef!$C:$D,2,FALSE),"-") &amp; " / " &amp; IFERROR(VLOOKUP(MID(G34,H34,I34-H34),[5]skilldef!$A:$B,2,FALSE),"-")</f>
        <v>- / 連続攻撃</v>
      </c>
      <c r="M34" s="63" t="str">
        <f t="shared" si="5"/>
        <v>none</v>
      </c>
      <c r="N34" s="48" t="str">
        <f>IFERROR(LEFT(M34,FIND("],",M34)+#REF!),M34)</f>
        <v>none</v>
      </c>
      <c r="O34" s="63" t="e">
        <f t="shared" si="6"/>
        <v>#VALUE!</v>
      </c>
      <c r="P34" s="63">
        <f t="shared" si="7"/>
        <v>4</v>
      </c>
      <c r="Q34" s="63" t="e">
        <f t="shared" si="8"/>
        <v>#VALUE!</v>
      </c>
      <c r="R34" s="63" t="e">
        <f t="shared" si="9"/>
        <v>#VALUE!</v>
      </c>
      <c r="S34" s="63" t="str">
        <f>IFERROR(VLOOKUP(MID(N34,Q34,R34-Q34),[5]skilldef!$C:$D,2,FALSE),"-") &amp; " / " &amp; IFERROR(VLOOKUP(MID(N34,O34,P34-O34),[5]skilldef!$A:$B,2,FALSE),"-")</f>
        <v>- / -</v>
      </c>
      <c r="T34" s="48" t="str">
        <f t="shared" si="10"/>
        <v>none</v>
      </c>
      <c r="U34" s="63" t="e">
        <f t="shared" si="11"/>
        <v>#VALUE!</v>
      </c>
      <c r="V34" s="63">
        <f t="shared" si="12"/>
        <v>4</v>
      </c>
      <c r="W34" s="63" t="e">
        <f t="shared" si="13"/>
        <v>#VALUE!</v>
      </c>
      <c r="X34" s="63" t="e">
        <f t="shared" si="14"/>
        <v>#VALUE!</v>
      </c>
      <c r="Y34" s="63" t="str">
        <f>IFERROR(VLOOKUP(MID(T34,W34,X34-W34),[5]skilldef!$C:$D,2,FALSE),"-") &amp; " / " &amp; IFERROR(VLOOKUP(MID(T34,U34,V34-U34),[5]skilldef!$A:$B,2,FALSE),"-")</f>
        <v>- / -</v>
      </c>
      <c r="Z34" s="50" t="s">
        <v>230</v>
      </c>
      <c r="AA34" s="52"/>
      <c r="AB34" s="50"/>
    </row>
    <row r="35" spans="1:28" ht="21" customHeight="1" x14ac:dyDescent="0.15">
      <c r="A35" s="108">
        <v>41006034</v>
      </c>
      <c r="B35" s="47" t="s">
        <v>295</v>
      </c>
      <c r="C35" s="50">
        <v>3</v>
      </c>
      <c r="D35" s="50" t="s">
        <v>197</v>
      </c>
      <c r="E35" s="51" t="s">
        <v>296</v>
      </c>
      <c r="F35" s="51" t="s">
        <v>297</v>
      </c>
      <c r="G35" s="63" t="str">
        <f t="shared" si="0"/>
        <v>[effect:rush, count:4, val:0.34]</v>
      </c>
      <c r="H35" s="63">
        <f t="shared" si="1"/>
        <v>9</v>
      </c>
      <c r="I35" s="63">
        <f t="shared" si="2"/>
        <v>13</v>
      </c>
      <c r="J35" s="63" t="e">
        <f t="shared" si="3"/>
        <v>#VALUE!</v>
      </c>
      <c r="K35" s="63">
        <f t="shared" si="4"/>
        <v>22</v>
      </c>
      <c r="L35" s="63" t="str">
        <f>IFERROR(VLOOKUP(MID(G35,J35,K35-J35),[5]skilldef!$C:$D,2,FALSE),"-") &amp; " / " &amp; IFERROR(VLOOKUP(MID(G35,H35,I35-H35),[5]skilldef!$A:$B,2,FALSE),"-")</f>
        <v>- / 連続攻撃</v>
      </c>
      <c r="M35" s="63" t="str">
        <f t="shared" si="5"/>
        <v>none</v>
      </c>
      <c r="N35" s="48" t="str">
        <f>IFERROR(LEFT(M35,FIND("],",M35)+#REF!),M35)</f>
        <v>none</v>
      </c>
      <c r="O35" s="63" t="e">
        <f t="shared" si="6"/>
        <v>#VALUE!</v>
      </c>
      <c r="P35" s="63">
        <f t="shared" si="7"/>
        <v>4</v>
      </c>
      <c r="Q35" s="63" t="e">
        <f t="shared" si="8"/>
        <v>#VALUE!</v>
      </c>
      <c r="R35" s="63" t="e">
        <f t="shared" si="9"/>
        <v>#VALUE!</v>
      </c>
      <c r="S35" s="63" t="str">
        <f>IFERROR(VLOOKUP(MID(N35,Q35,R35-Q35),[5]skilldef!$C:$D,2,FALSE),"-") &amp; " / " &amp; IFERROR(VLOOKUP(MID(N35,O35,P35-O35),[5]skilldef!$A:$B,2,FALSE),"-")</f>
        <v>- / -</v>
      </c>
      <c r="T35" s="48" t="str">
        <f t="shared" si="10"/>
        <v>none</v>
      </c>
      <c r="U35" s="63" t="e">
        <f t="shared" si="11"/>
        <v>#VALUE!</v>
      </c>
      <c r="V35" s="63">
        <f t="shared" si="12"/>
        <v>4</v>
      </c>
      <c r="W35" s="63" t="e">
        <f t="shared" si="13"/>
        <v>#VALUE!</v>
      </c>
      <c r="X35" s="63" t="e">
        <f t="shared" si="14"/>
        <v>#VALUE!</v>
      </c>
      <c r="Y35" s="63" t="str">
        <f>IFERROR(VLOOKUP(MID(T35,W35,X35-W35),[5]skilldef!$C:$D,2,FALSE),"-") &amp; " / " &amp; IFERROR(VLOOKUP(MID(T35,U35,V35-U35),[5]skilldef!$A:$B,2,FALSE),"-")</f>
        <v>- / -</v>
      </c>
      <c r="Z35" s="50" t="s">
        <v>230</v>
      </c>
      <c r="AA35" s="52"/>
      <c r="AB35" s="50"/>
    </row>
    <row r="36" spans="1:28" ht="21" customHeight="1" x14ac:dyDescent="0.15">
      <c r="A36" s="108">
        <v>41006035</v>
      </c>
      <c r="B36" s="47" t="s">
        <v>298</v>
      </c>
      <c r="C36" s="50">
        <v>3</v>
      </c>
      <c r="D36" s="50" t="s">
        <v>299</v>
      </c>
      <c r="E36" s="51" t="s">
        <v>300</v>
      </c>
      <c r="F36" s="51" t="s">
        <v>301</v>
      </c>
      <c r="G36" s="63" t="str">
        <f t="shared" si="0"/>
        <v>[effect:rush, count:5, val:0.32]</v>
      </c>
      <c r="H36" s="63">
        <f t="shared" si="1"/>
        <v>9</v>
      </c>
      <c r="I36" s="63">
        <f t="shared" si="2"/>
        <v>13</v>
      </c>
      <c r="J36" s="63" t="e">
        <f t="shared" si="3"/>
        <v>#VALUE!</v>
      </c>
      <c r="K36" s="63">
        <f t="shared" si="4"/>
        <v>22</v>
      </c>
      <c r="L36" s="63" t="str">
        <f>IFERROR(VLOOKUP(MID(G36,J36,K36-J36),[5]skilldef!$C:$D,2,FALSE),"-") &amp; " / " &amp; IFERROR(VLOOKUP(MID(G36,H36,I36-H36),[5]skilldef!$A:$B,2,FALSE),"-")</f>
        <v>- / 連続攻撃</v>
      </c>
      <c r="M36" s="63" t="str">
        <f t="shared" si="5"/>
        <v>none</v>
      </c>
      <c r="N36" s="48" t="str">
        <f>IFERROR(LEFT(M36,FIND("],",M36)+#REF!),M36)</f>
        <v>none</v>
      </c>
      <c r="O36" s="63" t="e">
        <f t="shared" si="6"/>
        <v>#VALUE!</v>
      </c>
      <c r="P36" s="63">
        <f t="shared" si="7"/>
        <v>4</v>
      </c>
      <c r="Q36" s="63" t="e">
        <f t="shared" si="8"/>
        <v>#VALUE!</v>
      </c>
      <c r="R36" s="63" t="e">
        <f t="shared" si="9"/>
        <v>#VALUE!</v>
      </c>
      <c r="S36" s="63" t="str">
        <f>IFERROR(VLOOKUP(MID(N36,Q36,R36-Q36),[5]skilldef!$C:$D,2,FALSE),"-") &amp; " / " &amp; IFERROR(VLOOKUP(MID(N36,O36,P36-O36),[5]skilldef!$A:$B,2,FALSE),"-")</f>
        <v>- / -</v>
      </c>
      <c r="T36" s="48" t="str">
        <f t="shared" si="10"/>
        <v>none</v>
      </c>
      <c r="U36" s="63" t="e">
        <f t="shared" si="11"/>
        <v>#VALUE!</v>
      </c>
      <c r="V36" s="63">
        <f t="shared" si="12"/>
        <v>4</v>
      </c>
      <c r="W36" s="63" t="e">
        <f t="shared" si="13"/>
        <v>#VALUE!</v>
      </c>
      <c r="X36" s="63" t="e">
        <f t="shared" si="14"/>
        <v>#VALUE!</v>
      </c>
      <c r="Y36" s="63" t="str">
        <f>IFERROR(VLOOKUP(MID(T36,W36,X36-W36),[5]skilldef!$C:$D,2,FALSE),"-") &amp; " / " &amp; IFERROR(VLOOKUP(MID(T36,U36,V36-U36),[5]skilldef!$A:$B,2,FALSE),"-")</f>
        <v>- / -</v>
      </c>
      <c r="Z36" s="50" t="s">
        <v>230</v>
      </c>
      <c r="AA36" s="52"/>
      <c r="AB36" s="50"/>
    </row>
    <row r="37" spans="1:28" ht="21" customHeight="1" x14ac:dyDescent="0.15">
      <c r="A37" s="108">
        <v>41006036</v>
      </c>
      <c r="B37" s="47" t="s">
        <v>302</v>
      </c>
      <c r="C37" s="50">
        <v>3</v>
      </c>
      <c r="D37" s="50" t="s">
        <v>303</v>
      </c>
      <c r="E37" s="51" t="s">
        <v>304</v>
      </c>
      <c r="F37" s="51" t="s">
        <v>305</v>
      </c>
      <c r="G37" s="63" t="str">
        <f t="shared" si="0"/>
        <v>[effect:rush, count:6, val:0.3]</v>
      </c>
      <c r="H37" s="63">
        <f t="shared" si="1"/>
        <v>9</v>
      </c>
      <c r="I37" s="63">
        <f t="shared" si="2"/>
        <v>13</v>
      </c>
      <c r="J37" s="63" t="e">
        <f t="shared" si="3"/>
        <v>#VALUE!</v>
      </c>
      <c r="K37" s="63">
        <f t="shared" si="4"/>
        <v>22</v>
      </c>
      <c r="L37" s="63" t="str">
        <f>IFERROR(VLOOKUP(MID(G37,J37,K37-J37),[5]skilldef!$C:$D,2,FALSE),"-") &amp; " / " &amp; IFERROR(VLOOKUP(MID(G37,H37,I37-H37),[5]skilldef!$A:$B,2,FALSE),"-")</f>
        <v>- / 連続攻撃</v>
      </c>
      <c r="M37" s="63" t="str">
        <f t="shared" si="5"/>
        <v>none</v>
      </c>
      <c r="N37" s="48" t="str">
        <f>IFERROR(LEFT(M37,FIND("],",M37)+#REF!),M37)</f>
        <v>none</v>
      </c>
      <c r="O37" s="63" t="e">
        <f t="shared" si="6"/>
        <v>#VALUE!</v>
      </c>
      <c r="P37" s="63">
        <f t="shared" si="7"/>
        <v>4</v>
      </c>
      <c r="Q37" s="63" t="e">
        <f t="shared" si="8"/>
        <v>#VALUE!</v>
      </c>
      <c r="R37" s="63" t="e">
        <f t="shared" si="9"/>
        <v>#VALUE!</v>
      </c>
      <c r="S37" s="63" t="str">
        <f>IFERROR(VLOOKUP(MID(N37,Q37,R37-Q37),[5]skilldef!$C:$D,2,FALSE),"-") &amp; " / " &amp; IFERROR(VLOOKUP(MID(N37,O37,P37-O37),[5]skilldef!$A:$B,2,FALSE),"-")</f>
        <v>- / -</v>
      </c>
      <c r="T37" s="48" t="str">
        <f t="shared" si="10"/>
        <v>none</v>
      </c>
      <c r="U37" s="63" t="e">
        <f t="shared" si="11"/>
        <v>#VALUE!</v>
      </c>
      <c r="V37" s="63">
        <f t="shared" si="12"/>
        <v>4</v>
      </c>
      <c r="W37" s="63" t="e">
        <f t="shared" si="13"/>
        <v>#VALUE!</v>
      </c>
      <c r="X37" s="63" t="e">
        <f t="shared" si="14"/>
        <v>#VALUE!</v>
      </c>
      <c r="Y37" s="63" t="str">
        <f>IFERROR(VLOOKUP(MID(T37,W37,X37-W37),[5]skilldef!$C:$D,2,FALSE),"-") &amp; " / " &amp; IFERROR(VLOOKUP(MID(T37,U37,V37-U37),[5]skilldef!$A:$B,2,FALSE),"-")</f>
        <v>- / -</v>
      </c>
      <c r="Z37" s="50" t="s">
        <v>230</v>
      </c>
      <c r="AA37" s="52"/>
      <c r="AB37" s="50"/>
    </row>
    <row r="38" spans="1:28" ht="21" customHeight="1" x14ac:dyDescent="0.15">
      <c r="A38" s="108">
        <v>41006037</v>
      </c>
      <c r="B38" s="47" t="s">
        <v>306</v>
      </c>
      <c r="C38" s="50">
        <v>3</v>
      </c>
      <c r="D38" s="50" t="s">
        <v>307</v>
      </c>
      <c r="E38" s="51" t="s">
        <v>308</v>
      </c>
      <c r="F38" s="51" t="s">
        <v>250</v>
      </c>
      <c r="G38" s="63" t="str">
        <f t="shared" si="0"/>
        <v>[effect:spread, val:0.3]</v>
      </c>
      <c r="H38" s="63">
        <f t="shared" si="1"/>
        <v>9</v>
      </c>
      <c r="I38" s="63">
        <f t="shared" si="2"/>
        <v>15</v>
      </c>
      <c r="J38" s="63" t="e">
        <f t="shared" si="3"/>
        <v>#VALUE!</v>
      </c>
      <c r="K38" s="63" t="e">
        <f t="shared" si="4"/>
        <v>#VALUE!</v>
      </c>
      <c r="L38" s="63" t="str">
        <f>IFERROR(VLOOKUP(MID(G38,J38,K38-J38),[5]skilldef!$C:$D,2,FALSE),"-") &amp; " / " &amp; IFERROR(VLOOKUP(MID(G38,H38,I38-H38),[5]skilldef!$A:$B,2,FALSE),"-")</f>
        <v>- / 全体攻撃</v>
      </c>
      <c r="M38" s="63" t="str">
        <f t="shared" si="5"/>
        <v>none</v>
      </c>
      <c r="N38" s="48" t="str">
        <f>IFERROR(LEFT(M38,FIND("],",M38)+#REF!),M38)</f>
        <v>none</v>
      </c>
      <c r="O38" s="63" t="e">
        <f t="shared" si="6"/>
        <v>#VALUE!</v>
      </c>
      <c r="P38" s="63">
        <f t="shared" si="7"/>
        <v>4</v>
      </c>
      <c r="Q38" s="63" t="e">
        <f t="shared" si="8"/>
        <v>#VALUE!</v>
      </c>
      <c r="R38" s="63" t="e">
        <f t="shared" si="9"/>
        <v>#VALUE!</v>
      </c>
      <c r="S38" s="63" t="str">
        <f>IFERROR(VLOOKUP(MID(N38,Q38,R38-Q38),[5]skilldef!$C:$D,2,FALSE),"-") &amp; " / " &amp; IFERROR(VLOOKUP(MID(N38,O38,P38-O38),[5]skilldef!$A:$B,2,FALSE),"-")</f>
        <v>- / -</v>
      </c>
      <c r="T38" s="48" t="str">
        <f t="shared" si="10"/>
        <v>none</v>
      </c>
      <c r="U38" s="63" t="e">
        <f t="shared" si="11"/>
        <v>#VALUE!</v>
      </c>
      <c r="V38" s="63">
        <f t="shared" si="12"/>
        <v>4</v>
      </c>
      <c r="W38" s="63" t="e">
        <f t="shared" si="13"/>
        <v>#VALUE!</v>
      </c>
      <c r="X38" s="63" t="e">
        <f t="shared" si="14"/>
        <v>#VALUE!</v>
      </c>
      <c r="Y38" s="63" t="str">
        <f>IFERROR(VLOOKUP(MID(T38,W38,X38-W38),[5]skilldef!$C:$D,2,FALSE),"-") &amp; " / " &amp; IFERROR(VLOOKUP(MID(T38,U38,V38-U38),[5]skilldef!$A:$B,2,FALSE),"-")</f>
        <v>- / -</v>
      </c>
      <c r="Z38" s="50" t="s">
        <v>230</v>
      </c>
      <c r="AA38" s="52"/>
      <c r="AB38" s="50"/>
    </row>
    <row r="39" spans="1:28" ht="21" customHeight="1" x14ac:dyDescent="0.15">
      <c r="A39" s="108">
        <v>41006038</v>
      </c>
      <c r="B39" s="47" t="s">
        <v>312</v>
      </c>
      <c r="C39" s="50">
        <v>3</v>
      </c>
      <c r="D39" s="50" t="s">
        <v>197</v>
      </c>
      <c r="E39" s="51" t="s">
        <v>313</v>
      </c>
      <c r="F39" s="51" t="s">
        <v>314</v>
      </c>
      <c r="G39" s="63" t="str">
        <f t="shared" si="0"/>
        <v>[effect:break_enchance_enemy, val:0.03, lowest_val:0.06, count:8, status:attack, turn:-1, block:block_heart, target:myself, calc:mul, animation:enemy_enhance_attack]</v>
      </c>
      <c r="H39" s="63">
        <f t="shared" si="1"/>
        <v>9</v>
      </c>
      <c r="I39" s="63">
        <f t="shared" si="2"/>
        <v>29</v>
      </c>
      <c r="J39" s="63">
        <f t="shared" si="3"/>
        <v>117</v>
      </c>
      <c r="K39" s="63">
        <f t="shared" si="4"/>
        <v>39</v>
      </c>
      <c r="L39" s="63" t="str">
        <f>IFERROR(VLOOKUP(MID(G39,J39,K39-J39),[5]skilldef!$C:$D,2,FALSE),"-") &amp; " / " &amp; IFERROR(VLOOKUP(MID(G39,H39,I39-H39),[5]skilldef!$A:$B,2,FALSE),"-")</f>
        <v>- / -</v>
      </c>
      <c r="M39" s="63" t="str">
        <f t="shared" si="5"/>
        <v>[effect:tolerance, target:myself, turn:-1, tolerance_effect:hungup, count:-1, animation:enemy_tolerance]</v>
      </c>
      <c r="N39" s="48" t="str">
        <f>IFERROR(LEFT(M39,FIND("],",M39)+#REF!),M39)</f>
        <v>[effect:tolerance, target:myself, turn:-1, tolerance_effect:hungup, count:-1, animation:enemy_tolerance]</v>
      </c>
      <c r="O39" s="63">
        <f t="shared" si="6"/>
        <v>9</v>
      </c>
      <c r="P39" s="63">
        <f t="shared" si="7"/>
        <v>18</v>
      </c>
      <c r="Q39" s="63">
        <f t="shared" si="8"/>
        <v>27</v>
      </c>
      <c r="R39" s="63">
        <f t="shared" si="9"/>
        <v>33</v>
      </c>
      <c r="S39" s="63" t="str">
        <f>IFERROR(VLOOKUP(MID(N39,Q39,R39-Q39),[5]skilldef!$C:$D,2,FALSE),"-") &amp; " / " &amp; IFERROR(VLOOKUP(MID(N39,O39,P39-O39),[5]skilldef!$A:$B,2,FALSE),"-")</f>
        <v>自分自身に / 状態異常耐性</v>
      </c>
      <c r="T39" s="48" t="str">
        <f t="shared" si="10"/>
        <v>none</v>
      </c>
      <c r="U39" s="63" t="e">
        <f t="shared" si="11"/>
        <v>#VALUE!</v>
      </c>
      <c r="V39" s="63">
        <f t="shared" si="12"/>
        <v>4</v>
      </c>
      <c r="W39" s="63" t="e">
        <f t="shared" si="13"/>
        <v>#VALUE!</v>
      </c>
      <c r="X39" s="63" t="e">
        <f t="shared" si="14"/>
        <v>#VALUE!</v>
      </c>
      <c r="Y39" s="63" t="str">
        <f>IFERROR(VLOOKUP(MID(T39,W39,X39-W39),[5]skilldef!$C:$D,2,FALSE),"-") &amp; " / " &amp; IFERROR(VLOOKUP(MID(T39,U39,V39-U39),[5]skilldef!$A:$B,2,FALSE),"-")</f>
        <v>- / -</v>
      </c>
      <c r="Z39" s="50" t="s">
        <v>230</v>
      </c>
      <c r="AA39" s="52"/>
      <c r="AB39" s="50"/>
    </row>
    <row r="40" spans="1:28" ht="21" customHeight="1" x14ac:dyDescent="0.15">
      <c r="A40" s="108">
        <v>41006039</v>
      </c>
      <c r="B40" s="47" t="s">
        <v>516</v>
      </c>
      <c r="C40" s="50">
        <v>3</v>
      </c>
      <c r="D40" s="50" t="s">
        <v>197</v>
      </c>
      <c r="E40" s="51" t="s">
        <v>315</v>
      </c>
      <c r="F40" s="51" t="s">
        <v>316</v>
      </c>
      <c r="G40" s="63" t="str">
        <f t="shared" si="0"/>
        <v>[effect:force_change_block, new_block:jammer, target:block_all, ignore01:block_positive, ignore02:block_negative, count:6, val:0]</v>
      </c>
      <c r="H40" s="63">
        <f t="shared" si="1"/>
        <v>9</v>
      </c>
      <c r="I40" s="63">
        <f t="shared" si="2"/>
        <v>27</v>
      </c>
      <c r="J40" s="63">
        <f t="shared" si="3"/>
        <v>54</v>
      </c>
      <c r="K40" s="63">
        <f t="shared" si="4"/>
        <v>45</v>
      </c>
      <c r="L40" s="63" t="str">
        <f>IFERROR(VLOOKUP(MID(G40,J40,K40-J40),[5]skilldef!$C:$D,2,FALSE),"-") &amp; " / " &amp; IFERROR(VLOOKUP(MID(G40,H40,I40-H40),[5]skilldef!$A:$B,2,FALSE),"-")</f>
        <v>- / -</v>
      </c>
      <c r="M40" s="63" t="str">
        <f t="shared" si="5"/>
        <v>none</v>
      </c>
      <c r="N40" s="48" t="str">
        <f>IFERROR(LEFT(M40,FIND("],",M40)+#REF!),M40)</f>
        <v>none</v>
      </c>
      <c r="O40" s="63" t="e">
        <f t="shared" si="6"/>
        <v>#VALUE!</v>
      </c>
      <c r="P40" s="63">
        <f t="shared" si="7"/>
        <v>4</v>
      </c>
      <c r="Q40" s="63" t="e">
        <f t="shared" si="8"/>
        <v>#VALUE!</v>
      </c>
      <c r="R40" s="63" t="e">
        <f t="shared" si="9"/>
        <v>#VALUE!</v>
      </c>
      <c r="S40" s="63" t="str">
        <f>IFERROR(VLOOKUP(MID(N40,Q40,R40-Q40),[5]skilldef!$C:$D,2,FALSE),"-") &amp; " / " &amp; IFERROR(VLOOKUP(MID(N40,O40,P40-O40),[5]skilldef!$A:$B,2,FALSE),"-")</f>
        <v>- / -</v>
      </c>
      <c r="T40" s="48" t="str">
        <f t="shared" si="10"/>
        <v>none</v>
      </c>
      <c r="U40" s="63" t="e">
        <f t="shared" si="11"/>
        <v>#VALUE!</v>
      </c>
      <c r="V40" s="63">
        <f t="shared" si="12"/>
        <v>4</v>
      </c>
      <c r="W40" s="63" t="e">
        <f t="shared" si="13"/>
        <v>#VALUE!</v>
      </c>
      <c r="X40" s="63" t="e">
        <f t="shared" si="14"/>
        <v>#VALUE!</v>
      </c>
      <c r="Y40" s="63" t="str">
        <f>IFERROR(VLOOKUP(MID(T40,W40,X40-W40),[5]skilldef!$C:$D,2,FALSE),"-") &amp; " / " &amp; IFERROR(VLOOKUP(MID(T40,U40,V40-U40),[5]skilldef!$A:$B,2,FALSE),"-")</f>
        <v>- / -</v>
      </c>
      <c r="Z40" s="50" t="s">
        <v>230</v>
      </c>
      <c r="AA40" s="52"/>
      <c r="AB40" s="50"/>
    </row>
    <row r="41" spans="1:28" ht="21" customHeight="1" x14ac:dyDescent="0.15">
      <c r="A41" s="108">
        <v>41006040</v>
      </c>
      <c r="B41" s="108" t="s">
        <v>372</v>
      </c>
      <c r="C41" s="109">
        <v>3</v>
      </c>
      <c r="D41" s="109" t="s">
        <v>373</v>
      </c>
      <c r="E41" s="110" t="s">
        <v>374</v>
      </c>
      <c r="F41" s="51" t="s">
        <v>394</v>
      </c>
      <c r="G41" s="63" t="str">
        <f t="shared" si="0"/>
        <v>[effect:break_attack, val:0.08, lowest_val:1, count:8, block:block_heart, target:unit_all]</v>
      </c>
      <c r="H41" s="63">
        <f t="shared" si="1"/>
        <v>9</v>
      </c>
      <c r="I41" s="63">
        <f t="shared" si="2"/>
        <v>21</v>
      </c>
      <c r="J41" s="63">
        <f t="shared" si="3"/>
        <v>82</v>
      </c>
      <c r="K41" s="63">
        <f t="shared" si="4"/>
        <v>31</v>
      </c>
      <c r="L41" s="63" t="str">
        <f>IFERROR(VLOOKUP(MID(G41,J41,K41-J41),[5]skilldef!$C:$D,2,FALSE),"-") &amp; " / " &amp; IFERROR(VLOOKUP(MID(G41,H41,I41-H41),[5]skilldef!$A:$B,2,FALSE),"-")</f>
        <v>- / -</v>
      </c>
      <c r="M41" s="63" t="str">
        <f t="shared" si="5"/>
        <v>none</v>
      </c>
      <c r="N41" s="48" t="str">
        <f>IFERROR(LEFT(M41,FIND("],",M41)+#REF!),M41)</f>
        <v>none</v>
      </c>
      <c r="O41" s="63" t="e">
        <f t="shared" si="6"/>
        <v>#VALUE!</v>
      </c>
      <c r="P41" s="63">
        <f t="shared" si="7"/>
        <v>4</v>
      </c>
      <c r="Q41" s="63" t="e">
        <f t="shared" si="8"/>
        <v>#VALUE!</v>
      </c>
      <c r="R41" s="63" t="e">
        <f t="shared" si="9"/>
        <v>#VALUE!</v>
      </c>
      <c r="S41" s="63" t="str">
        <f>IFERROR(VLOOKUP(MID(N41,Q41,R41-Q41),[5]skilldef!$C:$D,2,FALSE),"-") &amp; " / " &amp; IFERROR(VLOOKUP(MID(N41,O41,P41-O41),[5]skilldef!$A:$B,2,FALSE),"-")</f>
        <v>- / -</v>
      </c>
      <c r="T41" s="48" t="str">
        <f t="shared" si="10"/>
        <v>none</v>
      </c>
      <c r="U41" s="63" t="e">
        <f t="shared" si="11"/>
        <v>#VALUE!</v>
      </c>
      <c r="V41" s="63">
        <f t="shared" si="12"/>
        <v>4</v>
      </c>
      <c r="W41" s="63" t="e">
        <f t="shared" si="13"/>
        <v>#VALUE!</v>
      </c>
      <c r="X41" s="63" t="e">
        <f t="shared" si="14"/>
        <v>#VALUE!</v>
      </c>
      <c r="Y41" s="63" t="str">
        <f>IFERROR(VLOOKUP(MID(T41,W41,X41-W41),[5]skilldef!$C:$D,2,FALSE),"-") &amp; " / " &amp; IFERROR(VLOOKUP(MID(T41,U41,V41-U41),[5]skilldef!$A:$B,2,FALSE),"-")</f>
        <v>- / -</v>
      </c>
      <c r="Z41" s="50" t="s">
        <v>230</v>
      </c>
      <c r="AA41" s="52"/>
      <c r="AB41" s="50"/>
    </row>
    <row r="42" spans="1:28" ht="21" customHeight="1" x14ac:dyDescent="0.15">
      <c r="A42" s="108">
        <v>41006041</v>
      </c>
      <c r="B42" s="47" t="s">
        <v>317</v>
      </c>
      <c r="C42" s="50">
        <v>3</v>
      </c>
      <c r="D42" s="50" t="s">
        <v>197</v>
      </c>
      <c r="E42" s="51" t="s">
        <v>318</v>
      </c>
      <c r="F42" s="51" t="s">
        <v>319</v>
      </c>
      <c r="G42" s="63" t="str">
        <f t="shared" si="0"/>
        <v>[effect:rush, count:6, val:0.28]</v>
      </c>
      <c r="H42" s="63">
        <f t="shared" si="1"/>
        <v>9</v>
      </c>
      <c r="I42" s="63">
        <f t="shared" si="2"/>
        <v>13</v>
      </c>
      <c r="J42" s="63" t="e">
        <f t="shared" si="3"/>
        <v>#VALUE!</v>
      </c>
      <c r="K42" s="63">
        <f t="shared" si="4"/>
        <v>22</v>
      </c>
      <c r="L42" s="63" t="str">
        <f>IFERROR(VLOOKUP(MID(G42,J42,K42-J42),[5]skilldef!$C:$D,2,FALSE),"-") &amp; " / " &amp; IFERROR(VLOOKUP(MID(G42,H42,I42-H42),[5]skilldef!$A:$B,2,FALSE),"-")</f>
        <v>- / 連続攻撃</v>
      </c>
      <c r="M42" s="63" t="str">
        <f t="shared" si="5"/>
        <v>none</v>
      </c>
      <c r="N42" s="48" t="str">
        <f>IFERROR(LEFT(M42,FIND("],",M42)+#REF!),M42)</f>
        <v>none</v>
      </c>
      <c r="O42" s="63" t="e">
        <f t="shared" si="6"/>
        <v>#VALUE!</v>
      </c>
      <c r="P42" s="63">
        <f t="shared" si="7"/>
        <v>4</v>
      </c>
      <c r="Q42" s="63" t="e">
        <f t="shared" si="8"/>
        <v>#VALUE!</v>
      </c>
      <c r="R42" s="63" t="e">
        <f t="shared" si="9"/>
        <v>#VALUE!</v>
      </c>
      <c r="S42" s="63" t="str">
        <f>IFERROR(VLOOKUP(MID(N42,Q42,R42-Q42),[5]skilldef!$C:$D,2,FALSE),"-") &amp; " / " &amp; IFERROR(VLOOKUP(MID(N42,O42,P42-O42),[5]skilldef!$A:$B,2,FALSE),"-")</f>
        <v>- / -</v>
      </c>
      <c r="T42" s="48" t="str">
        <f t="shared" si="10"/>
        <v>none</v>
      </c>
      <c r="U42" s="63" t="e">
        <f t="shared" si="11"/>
        <v>#VALUE!</v>
      </c>
      <c r="V42" s="63">
        <f t="shared" si="12"/>
        <v>4</v>
      </c>
      <c r="W42" s="63" t="e">
        <f t="shared" si="13"/>
        <v>#VALUE!</v>
      </c>
      <c r="X42" s="63" t="e">
        <f t="shared" si="14"/>
        <v>#VALUE!</v>
      </c>
      <c r="Y42" s="63" t="str">
        <f>IFERROR(VLOOKUP(MID(T42,W42,X42-W42),[5]skilldef!$C:$D,2,FALSE),"-") &amp; " / " &amp; IFERROR(VLOOKUP(MID(T42,U42,V42-U42),[5]skilldef!$A:$B,2,FALSE),"-")</f>
        <v>- / -</v>
      </c>
      <c r="Z42" s="50" t="s">
        <v>230</v>
      </c>
      <c r="AA42" s="52"/>
      <c r="AB42" s="50"/>
    </row>
    <row r="43" spans="1:28" ht="21" customHeight="1" x14ac:dyDescent="0.15">
      <c r="A43" s="108">
        <v>41006042</v>
      </c>
      <c r="B43" s="47" t="s">
        <v>320</v>
      </c>
      <c r="C43" s="50">
        <v>3</v>
      </c>
      <c r="D43" s="50" t="s">
        <v>321</v>
      </c>
      <c r="E43" s="51" t="s">
        <v>322</v>
      </c>
      <c r="F43" s="51" t="s">
        <v>323</v>
      </c>
      <c r="G43" s="63" t="str">
        <f t="shared" si="0"/>
        <v>[effect:rush, count:7, val:0.26]</v>
      </c>
      <c r="H43" s="63">
        <f t="shared" si="1"/>
        <v>9</v>
      </c>
      <c r="I43" s="63">
        <f t="shared" si="2"/>
        <v>13</v>
      </c>
      <c r="J43" s="63" t="e">
        <f t="shared" si="3"/>
        <v>#VALUE!</v>
      </c>
      <c r="K43" s="63">
        <f t="shared" si="4"/>
        <v>22</v>
      </c>
      <c r="L43" s="63" t="str">
        <f>IFERROR(VLOOKUP(MID(G43,J43,K43-J43),[5]skilldef!$C:$D,2,FALSE),"-") &amp; " / " &amp; IFERROR(VLOOKUP(MID(G43,H43,I43-H43),[5]skilldef!$A:$B,2,FALSE),"-")</f>
        <v>- / 連続攻撃</v>
      </c>
      <c r="M43" s="63" t="str">
        <f t="shared" si="5"/>
        <v>none</v>
      </c>
      <c r="N43" s="48" t="str">
        <f>IFERROR(LEFT(M43,FIND("],",M43)+#REF!),M43)</f>
        <v>none</v>
      </c>
      <c r="O43" s="63" t="e">
        <f t="shared" si="6"/>
        <v>#VALUE!</v>
      </c>
      <c r="P43" s="63">
        <f t="shared" si="7"/>
        <v>4</v>
      </c>
      <c r="Q43" s="63" t="e">
        <f t="shared" si="8"/>
        <v>#VALUE!</v>
      </c>
      <c r="R43" s="63" t="e">
        <f t="shared" si="9"/>
        <v>#VALUE!</v>
      </c>
      <c r="S43" s="63" t="str">
        <f>IFERROR(VLOOKUP(MID(N43,Q43,R43-Q43),[5]skilldef!$C:$D,2,FALSE),"-") &amp; " / " &amp; IFERROR(VLOOKUP(MID(N43,O43,P43-O43),[5]skilldef!$A:$B,2,FALSE),"-")</f>
        <v>- / -</v>
      </c>
      <c r="T43" s="48" t="str">
        <f t="shared" si="10"/>
        <v>none</v>
      </c>
      <c r="U43" s="63" t="e">
        <f t="shared" si="11"/>
        <v>#VALUE!</v>
      </c>
      <c r="V43" s="63">
        <f t="shared" si="12"/>
        <v>4</v>
      </c>
      <c r="W43" s="63" t="e">
        <f t="shared" si="13"/>
        <v>#VALUE!</v>
      </c>
      <c r="X43" s="63" t="e">
        <f t="shared" si="14"/>
        <v>#VALUE!</v>
      </c>
      <c r="Y43" s="63" t="str">
        <f>IFERROR(VLOOKUP(MID(T43,W43,X43-W43),[5]skilldef!$C:$D,2,FALSE),"-") &amp; " / " &amp; IFERROR(VLOOKUP(MID(T43,U43,V43-U43),[5]skilldef!$A:$B,2,FALSE),"-")</f>
        <v>- / -</v>
      </c>
      <c r="Z43" s="50" t="s">
        <v>230</v>
      </c>
      <c r="AA43" s="52"/>
      <c r="AB43" s="50"/>
    </row>
    <row r="44" spans="1:28" ht="21" customHeight="1" x14ac:dyDescent="0.15">
      <c r="A44" s="108">
        <v>41006043</v>
      </c>
      <c r="B44" s="47" t="s">
        <v>324</v>
      </c>
      <c r="C44" s="50">
        <v>3</v>
      </c>
      <c r="D44" s="50" t="s">
        <v>321</v>
      </c>
      <c r="E44" s="51" t="s">
        <v>325</v>
      </c>
      <c r="F44" s="51" t="s">
        <v>326</v>
      </c>
      <c r="G44" s="63" t="str">
        <f t="shared" si="0"/>
        <v>[effect:rush, count:8, val:0.24]</v>
      </c>
      <c r="H44" s="63">
        <f t="shared" si="1"/>
        <v>9</v>
      </c>
      <c r="I44" s="63">
        <f t="shared" si="2"/>
        <v>13</v>
      </c>
      <c r="J44" s="63" t="e">
        <f t="shared" si="3"/>
        <v>#VALUE!</v>
      </c>
      <c r="K44" s="63">
        <f t="shared" si="4"/>
        <v>22</v>
      </c>
      <c r="L44" s="63" t="str">
        <f>IFERROR(VLOOKUP(MID(G44,J44,K44-J44),[5]skilldef!$C:$D,2,FALSE),"-") &amp; " / " &amp; IFERROR(VLOOKUP(MID(G44,H44,I44-H44),[5]skilldef!$A:$B,2,FALSE),"-")</f>
        <v>- / 連続攻撃</v>
      </c>
      <c r="M44" s="63" t="str">
        <f t="shared" si="5"/>
        <v>none</v>
      </c>
      <c r="N44" s="48" t="str">
        <f>IFERROR(LEFT(M44,FIND("],",M44)+#REF!),M44)</f>
        <v>none</v>
      </c>
      <c r="O44" s="63" t="e">
        <f t="shared" si="6"/>
        <v>#VALUE!</v>
      </c>
      <c r="P44" s="63">
        <f t="shared" si="7"/>
        <v>4</v>
      </c>
      <c r="Q44" s="63" t="e">
        <f t="shared" si="8"/>
        <v>#VALUE!</v>
      </c>
      <c r="R44" s="63" t="e">
        <f t="shared" si="9"/>
        <v>#VALUE!</v>
      </c>
      <c r="S44" s="63" t="str">
        <f>IFERROR(VLOOKUP(MID(N44,Q44,R44-Q44),[5]skilldef!$C:$D,2,FALSE),"-") &amp; " / " &amp; IFERROR(VLOOKUP(MID(N44,O44,P44-O44),[5]skilldef!$A:$B,2,FALSE),"-")</f>
        <v>- / -</v>
      </c>
      <c r="T44" s="48" t="str">
        <f t="shared" si="10"/>
        <v>none</v>
      </c>
      <c r="U44" s="63" t="e">
        <f t="shared" si="11"/>
        <v>#VALUE!</v>
      </c>
      <c r="V44" s="63">
        <f t="shared" si="12"/>
        <v>4</v>
      </c>
      <c r="W44" s="63" t="e">
        <f t="shared" si="13"/>
        <v>#VALUE!</v>
      </c>
      <c r="X44" s="63" t="e">
        <f t="shared" si="14"/>
        <v>#VALUE!</v>
      </c>
      <c r="Y44" s="63" t="str">
        <f>IFERROR(VLOOKUP(MID(T44,W44,X44-W44),[5]skilldef!$C:$D,2,FALSE),"-") &amp; " / " &amp; IFERROR(VLOOKUP(MID(T44,U44,V44-U44),[5]skilldef!$A:$B,2,FALSE),"-")</f>
        <v>- / -</v>
      </c>
      <c r="Z44" s="50" t="s">
        <v>230</v>
      </c>
      <c r="AA44" s="52"/>
      <c r="AB44" s="50"/>
    </row>
    <row r="45" spans="1:28" ht="21" customHeight="1" x14ac:dyDescent="0.15">
      <c r="A45" s="108">
        <v>41006044</v>
      </c>
      <c r="B45" s="47" t="s">
        <v>327</v>
      </c>
      <c r="C45" s="50">
        <v>3</v>
      </c>
      <c r="D45" s="50" t="s">
        <v>227</v>
      </c>
      <c r="E45" s="51" t="s">
        <v>328</v>
      </c>
      <c r="F45" s="51" t="s">
        <v>329</v>
      </c>
      <c r="G45" s="63" t="str">
        <f t="shared" si="0"/>
        <v>[effect:change_block, new_block:time_bomb, target:block_red, count:6, val:0.15, min_time_count:2, max_time_count:2, animation:change_block]</v>
      </c>
      <c r="H45" s="63">
        <f t="shared" si="1"/>
        <v>9</v>
      </c>
      <c r="I45" s="63">
        <f t="shared" si="2"/>
        <v>21</v>
      </c>
      <c r="J45" s="63">
        <f t="shared" si="3"/>
        <v>51</v>
      </c>
      <c r="K45" s="63">
        <f t="shared" si="4"/>
        <v>42</v>
      </c>
      <c r="L45" s="63" t="str">
        <f>IFERROR(VLOOKUP(MID(G45,J45,K45-J45),[5]skilldef!$C:$D,2,FALSE),"-") &amp; " / " &amp; IFERROR(VLOOKUP(MID(G45,H45,I45-H45),[5]skilldef!$A:$B,2,FALSE),"-")</f>
        <v>- / ブロック変換</v>
      </c>
      <c r="M45" s="63" t="str">
        <f t="shared" si="5"/>
        <v>none</v>
      </c>
      <c r="N45" s="48" t="str">
        <f>IFERROR(LEFT(M45,FIND("],",M45)+#REF!),M45)</f>
        <v>none</v>
      </c>
      <c r="O45" s="63" t="e">
        <f t="shared" si="6"/>
        <v>#VALUE!</v>
      </c>
      <c r="P45" s="63">
        <f t="shared" si="7"/>
        <v>4</v>
      </c>
      <c r="Q45" s="63" t="e">
        <f t="shared" si="8"/>
        <v>#VALUE!</v>
      </c>
      <c r="R45" s="63" t="e">
        <f t="shared" si="9"/>
        <v>#VALUE!</v>
      </c>
      <c r="S45" s="63" t="str">
        <f>IFERROR(VLOOKUP(MID(N45,Q45,R45-Q45),[5]skilldef!$C:$D,2,FALSE),"-") &amp; " / " &amp; IFERROR(VLOOKUP(MID(N45,O45,P45-O45),[5]skilldef!$A:$B,2,FALSE),"-")</f>
        <v>- / -</v>
      </c>
      <c r="T45" s="48" t="str">
        <f t="shared" si="10"/>
        <v>none</v>
      </c>
      <c r="U45" s="63" t="e">
        <f t="shared" si="11"/>
        <v>#VALUE!</v>
      </c>
      <c r="V45" s="63">
        <f t="shared" si="12"/>
        <v>4</v>
      </c>
      <c r="W45" s="63" t="e">
        <f t="shared" si="13"/>
        <v>#VALUE!</v>
      </c>
      <c r="X45" s="63" t="e">
        <f t="shared" si="14"/>
        <v>#VALUE!</v>
      </c>
      <c r="Y45" s="63" t="str">
        <f>IFERROR(VLOOKUP(MID(T45,W45,X45-W45),[5]skilldef!$C:$D,2,FALSE),"-") &amp; " / " &amp; IFERROR(VLOOKUP(MID(T45,U45,V45-U45),[5]skilldef!$A:$B,2,FALSE),"-")</f>
        <v>- / -</v>
      </c>
      <c r="Z45" s="50" t="s">
        <v>230</v>
      </c>
      <c r="AA45" s="52"/>
      <c r="AB45" s="50"/>
    </row>
    <row r="46" spans="1:28" ht="21" customHeight="1" x14ac:dyDescent="0.15">
      <c r="A46" s="108">
        <v>41006045</v>
      </c>
      <c r="B46" s="47" t="s">
        <v>330</v>
      </c>
      <c r="C46" s="50">
        <v>3</v>
      </c>
      <c r="D46" s="50" t="s">
        <v>227</v>
      </c>
      <c r="E46" s="51" t="s">
        <v>328</v>
      </c>
      <c r="F46" s="51" t="s">
        <v>331</v>
      </c>
      <c r="G46" s="63" t="str">
        <f t="shared" si="0"/>
        <v>[effect:change_block, new_block:time_bomb, target:block_red, count:4, val:0.25, min_time_count:3, max_time_count:3, animation:change_block]</v>
      </c>
      <c r="H46" s="63">
        <f t="shared" si="1"/>
        <v>9</v>
      </c>
      <c r="I46" s="63">
        <f t="shared" si="2"/>
        <v>21</v>
      </c>
      <c r="J46" s="63">
        <f t="shared" si="3"/>
        <v>51</v>
      </c>
      <c r="K46" s="63">
        <f t="shared" si="4"/>
        <v>42</v>
      </c>
      <c r="L46" s="63" t="str">
        <f>IFERROR(VLOOKUP(MID(G46,J46,K46-J46),[5]skilldef!$C:$D,2,FALSE),"-") &amp; " / " &amp; IFERROR(VLOOKUP(MID(G46,H46,I46-H46),[5]skilldef!$A:$B,2,FALSE),"-")</f>
        <v>- / ブロック変換</v>
      </c>
      <c r="M46" s="63" t="str">
        <f t="shared" si="5"/>
        <v>none</v>
      </c>
      <c r="N46" s="48" t="str">
        <f>IFERROR(LEFT(M46,FIND("],",M46)+#REF!),M46)</f>
        <v>none</v>
      </c>
      <c r="O46" s="63" t="e">
        <f t="shared" si="6"/>
        <v>#VALUE!</v>
      </c>
      <c r="P46" s="63">
        <f t="shared" si="7"/>
        <v>4</v>
      </c>
      <c r="Q46" s="63" t="e">
        <f t="shared" si="8"/>
        <v>#VALUE!</v>
      </c>
      <c r="R46" s="63" t="e">
        <f t="shared" si="9"/>
        <v>#VALUE!</v>
      </c>
      <c r="S46" s="63" t="str">
        <f>IFERROR(VLOOKUP(MID(N46,Q46,R46-Q46),[5]skilldef!$C:$D,2,FALSE),"-") &amp; " / " &amp; IFERROR(VLOOKUP(MID(N46,O46,P46-O46),[5]skilldef!$A:$B,2,FALSE),"-")</f>
        <v>- / -</v>
      </c>
      <c r="T46" s="48" t="str">
        <f t="shared" si="10"/>
        <v>none</v>
      </c>
      <c r="U46" s="63" t="e">
        <f t="shared" si="11"/>
        <v>#VALUE!</v>
      </c>
      <c r="V46" s="63">
        <f t="shared" si="12"/>
        <v>4</v>
      </c>
      <c r="W46" s="63" t="e">
        <f t="shared" si="13"/>
        <v>#VALUE!</v>
      </c>
      <c r="X46" s="63" t="e">
        <f t="shared" si="14"/>
        <v>#VALUE!</v>
      </c>
      <c r="Y46" s="63" t="str">
        <f>IFERROR(VLOOKUP(MID(T46,W46,X46-W46),[5]skilldef!$C:$D,2,FALSE),"-") &amp; " / " &amp; IFERROR(VLOOKUP(MID(T46,U46,V46-U46),[5]skilldef!$A:$B,2,FALSE),"-")</f>
        <v>- / -</v>
      </c>
      <c r="Z46" s="50" t="s">
        <v>230</v>
      </c>
      <c r="AA46" s="52"/>
      <c r="AB46" s="50"/>
    </row>
    <row r="47" spans="1:28" ht="21" customHeight="1" x14ac:dyDescent="0.15">
      <c r="A47" s="108">
        <v>41006046</v>
      </c>
      <c r="B47" s="47" t="s">
        <v>332</v>
      </c>
      <c r="C47" s="50">
        <v>3</v>
      </c>
      <c r="D47" s="50" t="s">
        <v>197</v>
      </c>
      <c r="E47" s="51" t="s">
        <v>333</v>
      </c>
      <c r="F47" s="51" t="s">
        <v>334</v>
      </c>
      <c r="G47" s="63" t="str">
        <f t="shared" si="0"/>
        <v>[effect:freq_turn, target:myself, turn:2, val:1, animation:enemy_freq_turn]</v>
      </c>
      <c r="H47" s="63">
        <f t="shared" si="1"/>
        <v>9</v>
      </c>
      <c r="I47" s="63">
        <f t="shared" si="2"/>
        <v>18</v>
      </c>
      <c r="J47" s="63">
        <f t="shared" si="3"/>
        <v>27</v>
      </c>
      <c r="K47" s="63">
        <f t="shared" si="4"/>
        <v>33</v>
      </c>
      <c r="L47" s="63" t="str">
        <f>IFERROR(VLOOKUP(MID(G47,J47,K47-J47),[5]skilldef!$C:$D,2,FALSE),"-") &amp; " / " &amp; IFERROR(VLOOKUP(MID(G47,H47,I47-H47),[5]skilldef!$A:$B,2,FALSE),"-")</f>
        <v>自分自身に / 攻撃頻度がUP</v>
      </c>
      <c r="M47" s="63" t="str">
        <f t="shared" si="5"/>
        <v>none</v>
      </c>
      <c r="N47" s="48" t="str">
        <f>IFERROR(LEFT(M47,FIND("],",M47)+#REF!),M47)</f>
        <v>none</v>
      </c>
      <c r="O47" s="63" t="e">
        <f t="shared" si="6"/>
        <v>#VALUE!</v>
      </c>
      <c r="P47" s="63">
        <f t="shared" si="7"/>
        <v>4</v>
      </c>
      <c r="Q47" s="63" t="e">
        <f t="shared" si="8"/>
        <v>#VALUE!</v>
      </c>
      <c r="R47" s="63" t="e">
        <f t="shared" si="9"/>
        <v>#VALUE!</v>
      </c>
      <c r="S47" s="63" t="str">
        <f>IFERROR(VLOOKUP(MID(N47,Q47,R47-Q47),[5]skilldef!$C:$D,2,FALSE),"-") &amp; " / " &amp; IFERROR(VLOOKUP(MID(N47,O47,P47-O47),[5]skilldef!$A:$B,2,FALSE),"-")</f>
        <v>- / -</v>
      </c>
      <c r="T47" s="48" t="str">
        <f t="shared" si="10"/>
        <v>none</v>
      </c>
      <c r="U47" s="63" t="e">
        <f t="shared" si="11"/>
        <v>#VALUE!</v>
      </c>
      <c r="V47" s="63">
        <f t="shared" si="12"/>
        <v>4</v>
      </c>
      <c r="W47" s="63" t="e">
        <f t="shared" si="13"/>
        <v>#VALUE!</v>
      </c>
      <c r="X47" s="63" t="e">
        <f t="shared" si="14"/>
        <v>#VALUE!</v>
      </c>
      <c r="Y47" s="63" t="str">
        <f>IFERROR(VLOOKUP(MID(T47,W47,X47-W47),[5]skilldef!$C:$D,2,FALSE),"-") &amp; " / " &amp; IFERROR(VLOOKUP(MID(T47,U47,V47-U47),[5]skilldef!$A:$B,2,FALSE),"-")</f>
        <v>- / -</v>
      </c>
      <c r="Z47" s="50" t="s">
        <v>230</v>
      </c>
      <c r="AA47" s="52"/>
      <c r="AB47" s="50"/>
    </row>
    <row r="48" spans="1:28" ht="21" customHeight="1" x14ac:dyDescent="0.15">
      <c r="A48" s="108">
        <v>41006047</v>
      </c>
      <c r="B48" s="47" t="s">
        <v>335</v>
      </c>
      <c r="C48" s="50">
        <v>3</v>
      </c>
      <c r="D48" s="50" t="s">
        <v>197</v>
      </c>
      <c r="E48" s="51" t="s">
        <v>336</v>
      </c>
      <c r="F48" s="51" t="s">
        <v>337</v>
      </c>
      <c r="G48" s="63" t="str">
        <f t="shared" si="0"/>
        <v>[effect:tolerance, target:myself, turn:-1, tolerance_effect:all, count:-1, animation:enemy_tolerance]</v>
      </c>
      <c r="H48" s="63">
        <f t="shared" si="1"/>
        <v>9</v>
      </c>
      <c r="I48" s="63">
        <f t="shared" si="2"/>
        <v>18</v>
      </c>
      <c r="J48" s="63">
        <f t="shared" si="3"/>
        <v>27</v>
      </c>
      <c r="K48" s="63">
        <f t="shared" si="4"/>
        <v>33</v>
      </c>
      <c r="L48" s="63" t="str">
        <f>IFERROR(VLOOKUP(MID(G48,J48,K48-J48),[5]skilldef!$C:$D,2,FALSE),"-") &amp; " / " &amp; IFERROR(VLOOKUP(MID(G48,H48,I48-H48),[5]skilldef!$A:$B,2,FALSE),"-")</f>
        <v>自分自身に / 状態異常耐性</v>
      </c>
      <c r="M48" s="63" t="str">
        <f t="shared" si="5"/>
        <v>[effect:fix_speed,target:myself,turn:2]</v>
      </c>
      <c r="N48" s="48" t="str">
        <f>IFERROR(LEFT(M48,FIND("],",M48)+#REF!),M48)</f>
        <v>[effect:fix_speed,target:myself,turn:2]</v>
      </c>
      <c r="O48" s="63">
        <f t="shared" si="6"/>
        <v>9</v>
      </c>
      <c r="P48" s="63">
        <f t="shared" si="7"/>
        <v>18</v>
      </c>
      <c r="Q48" s="63">
        <f t="shared" si="8"/>
        <v>26</v>
      </c>
      <c r="R48" s="63">
        <f t="shared" si="9"/>
        <v>32</v>
      </c>
      <c r="S48" s="63" t="str">
        <f>IFERROR(VLOOKUP(MID(N48,Q48,R48-Q48),[5]skilldef!$C:$D,2,FALSE),"-") &amp; " / " &amp; IFERROR(VLOOKUP(MID(N48,O48,P48-O48),[5]skilldef!$A:$B,2,FALSE),"-")</f>
        <v>自分自身に / 行動値設定</v>
      </c>
      <c r="T48" s="48" t="str">
        <f t="shared" si="10"/>
        <v>none</v>
      </c>
      <c r="U48" s="63" t="e">
        <f t="shared" si="11"/>
        <v>#VALUE!</v>
      </c>
      <c r="V48" s="63">
        <f t="shared" si="12"/>
        <v>4</v>
      </c>
      <c r="W48" s="63" t="e">
        <f t="shared" si="13"/>
        <v>#VALUE!</v>
      </c>
      <c r="X48" s="63" t="e">
        <f t="shared" si="14"/>
        <v>#VALUE!</v>
      </c>
      <c r="Y48" s="63" t="str">
        <f>IFERROR(VLOOKUP(MID(T48,W48,X48-W48),[5]skilldef!$C:$D,2,FALSE),"-") &amp; " / " &amp; IFERROR(VLOOKUP(MID(T48,U48,V48-U48),[5]skilldef!$A:$B,2,FALSE),"-")</f>
        <v>- / -</v>
      </c>
      <c r="Z48" s="50" t="s">
        <v>230</v>
      </c>
      <c r="AA48" s="52"/>
      <c r="AB48" s="50"/>
    </row>
    <row r="49" spans="1:28" ht="21" customHeight="1" x14ac:dyDescent="0.15">
      <c r="A49" s="108">
        <v>41006048</v>
      </c>
      <c r="B49" s="47" t="s">
        <v>338</v>
      </c>
      <c r="C49" s="50">
        <v>3</v>
      </c>
      <c r="D49" s="50" t="s">
        <v>197</v>
      </c>
      <c r="E49" s="51" t="s">
        <v>339</v>
      </c>
      <c r="F49" s="51" t="s">
        <v>340</v>
      </c>
      <c r="G49" s="63" t="str">
        <f t="shared" si="0"/>
        <v>[effect:spread, val:0.8]</v>
      </c>
      <c r="H49" s="63">
        <f t="shared" si="1"/>
        <v>9</v>
      </c>
      <c r="I49" s="63">
        <f t="shared" si="2"/>
        <v>15</v>
      </c>
      <c r="J49" s="63" t="e">
        <f t="shared" si="3"/>
        <v>#VALUE!</v>
      </c>
      <c r="K49" s="63" t="e">
        <f t="shared" si="4"/>
        <v>#VALUE!</v>
      </c>
      <c r="L49" s="63" t="str">
        <f>IFERROR(VLOOKUP(MID(G49,J49,K49-J49),[5]skilldef!$C:$D,2,FALSE),"-") &amp; " / " &amp; IFERROR(VLOOKUP(MID(G49,H49,I49-H49),[5]skilldef!$A:$B,2,FALSE),"-")</f>
        <v>- / 全体攻撃</v>
      </c>
      <c r="M49" s="63" t="str">
        <f t="shared" si="5"/>
        <v>none</v>
      </c>
      <c r="N49" s="48" t="str">
        <f>IFERROR(LEFT(M49,FIND("],",M49)+#REF!),M49)</f>
        <v>none</v>
      </c>
      <c r="O49" s="63" t="e">
        <f t="shared" si="6"/>
        <v>#VALUE!</v>
      </c>
      <c r="P49" s="63">
        <f t="shared" si="7"/>
        <v>4</v>
      </c>
      <c r="Q49" s="63" t="e">
        <f t="shared" si="8"/>
        <v>#VALUE!</v>
      </c>
      <c r="R49" s="63" t="e">
        <f t="shared" si="9"/>
        <v>#VALUE!</v>
      </c>
      <c r="S49" s="63" t="str">
        <f>IFERROR(VLOOKUP(MID(N49,Q49,R49-Q49),[5]skilldef!$C:$D,2,FALSE),"-") &amp; " / " &amp; IFERROR(VLOOKUP(MID(N49,O49,P49-O49),[5]skilldef!$A:$B,2,FALSE),"-")</f>
        <v>- / -</v>
      </c>
      <c r="T49" s="48" t="str">
        <f t="shared" si="10"/>
        <v>none</v>
      </c>
      <c r="U49" s="63" t="e">
        <f t="shared" si="11"/>
        <v>#VALUE!</v>
      </c>
      <c r="V49" s="63">
        <f t="shared" si="12"/>
        <v>4</v>
      </c>
      <c r="W49" s="63" t="e">
        <f t="shared" si="13"/>
        <v>#VALUE!</v>
      </c>
      <c r="X49" s="63" t="e">
        <f t="shared" si="14"/>
        <v>#VALUE!</v>
      </c>
      <c r="Y49" s="63" t="str">
        <f>IFERROR(VLOOKUP(MID(T49,W49,X49-W49),[5]skilldef!$C:$D,2,FALSE),"-") &amp; " / " &amp; IFERROR(VLOOKUP(MID(T49,U49,V49-U49),[5]skilldef!$A:$B,2,FALSE),"-")</f>
        <v>- / -</v>
      </c>
      <c r="Z49" s="50" t="s">
        <v>230</v>
      </c>
      <c r="AA49" s="52"/>
      <c r="AB49" s="50"/>
    </row>
    <row r="50" spans="1:28" ht="21" customHeight="1" x14ac:dyDescent="0.15">
      <c r="A50" s="108">
        <v>41006049</v>
      </c>
      <c r="B50" s="47" t="s">
        <v>251</v>
      </c>
      <c r="C50" s="50">
        <v>3</v>
      </c>
      <c r="D50" s="50" t="s">
        <v>197</v>
      </c>
      <c r="E50" s="51" t="s">
        <v>339</v>
      </c>
      <c r="F50" s="51" t="s">
        <v>340</v>
      </c>
      <c r="G50" s="63" t="str">
        <f t="shared" si="0"/>
        <v>[effect:spread, val:0.6]</v>
      </c>
      <c r="H50" s="63">
        <f t="shared" si="1"/>
        <v>9</v>
      </c>
      <c r="I50" s="63">
        <f t="shared" si="2"/>
        <v>15</v>
      </c>
      <c r="J50" s="63" t="e">
        <f t="shared" si="3"/>
        <v>#VALUE!</v>
      </c>
      <c r="K50" s="63" t="e">
        <f t="shared" si="4"/>
        <v>#VALUE!</v>
      </c>
      <c r="L50" s="63" t="str">
        <f>IFERROR(VLOOKUP(MID(G50,J50,K50-J50),[5]skilldef!$C:$D,2,FALSE),"-") &amp; " / " &amp; IFERROR(VLOOKUP(MID(G50,H50,I50-H50),[5]skilldef!$A:$B,2,FALSE),"-")</f>
        <v>- / 全体攻撃</v>
      </c>
      <c r="M50" s="63" t="str">
        <f t="shared" si="5"/>
        <v>none</v>
      </c>
      <c r="N50" s="48" t="str">
        <f>IFERROR(LEFT(M50,FIND("],",M50)+#REF!),M50)</f>
        <v>none</v>
      </c>
      <c r="O50" s="63" t="e">
        <f t="shared" si="6"/>
        <v>#VALUE!</v>
      </c>
      <c r="P50" s="63">
        <f t="shared" si="7"/>
        <v>4</v>
      </c>
      <c r="Q50" s="63" t="e">
        <f t="shared" si="8"/>
        <v>#VALUE!</v>
      </c>
      <c r="R50" s="63" t="e">
        <f t="shared" si="9"/>
        <v>#VALUE!</v>
      </c>
      <c r="S50" s="63" t="str">
        <f>IFERROR(VLOOKUP(MID(N50,Q50,R50-Q50),[5]skilldef!$C:$D,2,FALSE),"-") &amp; " / " &amp; IFERROR(VLOOKUP(MID(N50,O50,P50-O50),[5]skilldef!$A:$B,2,FALSE),"-")</f>
        <v>- / -</v>
      </c>
      <c r="T50" s="48" t="str">
        <f t="shared" si="10"/>
        <v>none</v>
      </c>
      <c r="U50" s="63" t="e">
        <f t="shared" si="11"/>
        <v>#VALUE!</v>
      </c>
      <c r="V50" s="63">
        <f t="shared" si="12"/>
        <v>4</v>
      </c>
      <c r="W50" s="63" t="e">
        <f t="shared" si="13"/>
        <v>#VALUE!</v>
      </c>
      <c r="X50" s="63" t="e">
        <f t="shared" si="14"/>
        <v>#VALUE!</v>
      </c>
      <c r="Y50" s="63" t="str">
        <f>IFERROR(VLOOKUP(MID(T50,W50,X50-W50),[5]skilldef!$C:$D,2,FALSE),"-") &amp; " / " &amp; IFERROR(VLOOKUP(MID(T50,U50,V50-U50),[5]skilldef!$A:$B,2,FALSE),"-")</f>
        <v>- / -</v>
      </c>
      <c r="Z50" s="50" t="s">
        <v>230</v>
      </c>
      <c r="AA50" s="52"/>
      <c r="AB50" s="50"/>
    </row>
    <row r="51" spans="1:28" ht="21" customHeight="1" x14ac:dyDescent="0.15">
      <c r="A51" s="108">
        <v>41006050</v>
      </c>
      <c r="B51" s="47" t="s">
        <v>248</v>
      </c>
      <c r="C51" s="50">
        <v>3</v>
      </c>
      <c r="D51" s="50" t="s">
        <v>197</v>
      </c>
      <c r="E51" s="51" t="s">
        <v>339</v>
      </c>
      <c r="F51" s="51" t="s">
        <v>340</v>
      </c>
      <c r="G51" s="63" t="str">
        <f t="shared" si="0"/>
        <v>[effect:spread, val:0.4]</v>
      </c>
      <c r="H51" s="63">
        <f t="shared" si="1"/>
        <v>9</v>
      </c>
      <c r="I51" s="63">
        <f t="shared" si="2"/>
        <v>15</v>
      </c>
      <c r="J51" s="63" t="e">
        <f t="shared" si="3"/>
        <v>#VALUE!</v>
      </c>
      <c r="K51" s="63" t="e">
        <f t="shared" si="4"/>
        <v>#VALUE!</v>
      </c>
      <c r="L51" s="63" t="str">
        <f>IFERROR(VLOOKUP(MID(G51,J51,K51-J51),[5]skilldef!$C:$D,2,FALSE),"-") &amp; " / " &amp; IFERROR(VLOOKUP(MID(G51,H51,I51-H51),[5]skilldef!$A:$B,2,FALSE),"-")</f>
        <v>- / 全体攻撃</v>
      </c>
      <c r="M51" s="63" t="str">
        <f t="shared" si="5"/>
        <v>none</v>
      </c>
      <c r="N51" s="48" t="str">
        <f>IFERROR(LEFT(M51,FIND("],",M51)+#REF!),M51)</f>
        <v>none</v>
      </c>
      <c r="O51" s="63" t="e">
        <f t="shared" si="6"/>
        <v>#VALUE!</v>
      </c>
      <c r="P51" s="63">
        <f t="shared" si="7"/>
        <v>4</v>
      </c>
      <c r="Q51" s="63" t="e">
        <f t="shared" si="8"/>
        <v>#VALUE!</v>
      </c>
      <c r="R51" s="63" t="e">
        <f t="shared" si="9"/>
        <v>#VALUE!</v>
      </c>
      <c r="S51" s="63" t="str">
        <f>IFERROR(VLOOKUP(MID(N51,Q51,R51-Q51),[5]skilldef!$C:$D,2,FALSE),"-") &amp; " / " &amp; IFERROR(VLOOKUP(MID(N51,O51,P51-O51),[5]skilldef!$A:$B,2,FALSE),"-")</f>
        <v>- / -</v>
      </c>
      <c r="T51" s="48" t="str">
        <f t="shared" si="10"/>
        <v>none</v>
      </c>
      <c r="U51" s="63" t="e">
        <f t="shared" si="11"/>
        <v>#VALUE!</v>
      </c>
      <c r="V51" s="63">
        <f t="shared" si="12"/>
        <v>4</v>
      </c>
      <c r="W51" s="63" t="e">
        <f t="shared" si="13"/>
        <v>#VALUE!</v>
      </c>
      <c r="X51" s="63" t="e">
        <f t="shared" si="14"/>
        <v>#VALUE!</v>
      </c>
      <c r="Y51" s="63" t="str">
        <f>IFERROR(VLOOKUP(MID(T51,W51,X51-W51),[5]skilldef!$C:$D,2,FALSE),"-") &amp; " / " &amp; IFERROR(VLOOKUP(MID(T51,U51,V51-U51),[5]skilldef!$A:$B,2,FALSE),"-")</f>
        <v>- / -</v>
      </c>
      <c r="Z51" s="50" t="s">
        <v>230</v>
      </c>
      <c r="AA51" s="52"/>
      <c r="AB51" s="50"/>
    </row>
    <row r="52" spans="1:28" ht="21" customHeight="1" x14ac:dyDescent="0.15">
      <c r="A52" s="108">
        <v>41006051</v>
      </c>
      <c r="B52" s="47" t="s">
        <v>341</v>
      </c>
      <c r="C52" s="50">
        <v>3</v>
      </c>
      <c r="D52" s="50" t="s">
        <v>197</v>
      </c>
      <c r="E52" s="51" t="s">
        <v>342</v>
      </c>
      <c r="F52" s="51" t="s">
        <v>343</v>
      </c>
      <c r="G52" s="63" t="str">
        <f t="shared" si="0"/>
        <v>[effect:rush, count:9, val:0.2]</v>
      </c>
      <c r="H52" s="63">
        <f t="shared" si="1"/>
        <v>9</v>
      </c>
      <c r="I52" s="63">
        <f t="shared" si="2"/>
        <v>13</v>
      </c>
      <c r="J52" s="63" t="e">
        <f t="shared" si="3"/>
        <v>#VALUE!</v>
      </c>
      <c r="K52" s="63">
        <f t="shared" si="4"/>
        <v>22</v>
      </c>
      <c r="L52" s="63" t="str">
        <f>IFERROR(VLOOKUP(MID(G52,J52,K52-J52),[5]skilldef!$C:$D,2,FALSE),"-") &amp; " / " &amp; IFERROR(VLOOKUP(MID(G52,H52,I52-H52),[5]skilldef!$A:$B,2,FALSE),"-")</f>
        <v>- / 連続攻撃</v>
      </c>
      <c r="M52" s="63" t="str">
        <f t="shared" si="5"/>
        <v>none</v>
      </c>
      <c r="N52" s="48" t="str">
        <f>IFERROR(LEFT(M52,FIND("],",M52)+#REF!),M52)</f>
        <v>none</v>
      </c>
      <c r="O52" s="63" t="e">
        <f t="shared" si="6"/>
        <v>#VALUE!</v>
      </c>
      <c r="P52" s="63">
        <f t="shared" si="7"/>
        <v>4</v>
      </c>
      <c r="Q52" s="63" t="e">
        <f t="shared" si="8"/>
        <v>#VALUE!</v>
      </c>
      <c r="R52" s="63" t="e">
        <f t="shared" si="9"/>
        <v>#VALUE!</v>
      </c>
      <c r="S52" s="63" t="str">
        <f>IFERROR(VLOOKUP(MID(N52,Q52,R52-Q52),[5]skilldef!$C:$D,2,FALSE),"-") &amp; " / " &amp; IFERROR(VLOOKUP(MID(N52,O52,P52-O52),[5]skilldef!$A:$B,2,FALSE),"-")</f>
        <v>- / -</v>
      </c>
      <c r="T52" s="48" t="str">
        <f t="shared" si="10"/>
        <v>none</v>
      </c>
      <c r="U52" s="63" t="e">
        <f t="shared" si="11"/>
        <v>#VALUE!</v>
      </c>
      <c r="V52" s="63">
        <f t="shared" si="12"/>
        <v>4</v>
      </c>
      <c r="W52" s="63" t="e">
        <f t="shared" si="13"/>
        <v>#VALUE!</v>
      </c>
      <c r="X52" s="63" t="e">
        <f t="shared" si="14"/>
        <v>#VALUE!</v>
      </c>
      <c r="Y52" s="63" t="str">
        <f>IFERROR(VLOOKUP(MID(T52,W52,X52-W52),[5]skilldef!$C:$D,2,FALSE),"-") &amp; " / " &amp; IFERROR(VLOOKUP(MID(T52,U52,V52-U52),[5]skilldef!$A:$B,2,FALSE),"-")</f>
        <v>- / -</v>
      </c>
      <c r="Z52" s="50" t="s">
        <v>230</v>
      </c>
      <c r="AA52" s="52"/>
      <c r="AB52" s="50"/>
    </row>
    <row r="53" spans="1:28" ht="21" customHeight="1" x14ac:dyDescent="0.15">
      <c r="A53" s="108">
        <v>41006052</v>
      </c>
      <c r="B53" s="47" t="s">
        <v>344</v>
      </c>
      <c r="C53" s="50">
        <v>3</v>
      </c>
      <c r="D53" s="50" t="s">
        <v>197</v>
      </c>
      <c r="E53" s="51" t="s">
        <v>345</v>
      </c>
      <c r="F53" s="51" t="s">
        <v>407</v>
      </c>
      <c r="G53" s="63" t="str">
        <f t="shared" si="0"/>
        <v>[effect:break_attack, val:0.3, lowest_val:1, count:-1, block:crash, target:unit_all]</v>
      </c>
      <c r="H53" s="63">
        <f t="shared" si="1"/>
        <v>9</v>
      </c>
      <c r="I53" s="63">
        <f t="shared" si="2"/>
        <v>21</v>
      </c>
      <c r="J53" s="63">
        <f t="shared" si="3"/>
        <v>76</v>
      </c>
      <c r="K53" s="63">
        <f t="shared" si="4"/>
        <v>30</v>
      </c>
      <c r="L53" s="63" t="str">
        <f>IFERROR(VLOOKUP(MID(G53,J53,K53-J53),[5]skilldef!$C:$D,2,FALSE),"-") &amp; " / " &amp; IFERROR(VLOOKUP(MID(G53,H53,I53-H53),[5]skilldef!$A:$B,2,FALSE),"-")</f>
        <v>- / -</v>
      </c>
      <c r="M53" s="63" t="str">
        <f t="shared" si="5"/>
        <v>none</v>
      </c>
      <c r="N53" s="48" t="str">
        <f>IFERROR(LEFT(M53,FIND("],",M53)+#REF!),M53)</f>
        <v>none</v>
      </c>
      <c r="O53" s="63" t="e">
        <f t="shared" si="6"/>
        <v>#VALUE!</v>
      </c>
      <c r="P53" s="63">
        <f t="shared" si="7"/>
        <v>4</v>
      </c>
      <c r="Q53" s="63" t="e">
        <f t="shared" si="8"/>
        <v>#VALUE!</v>
      </c>
      <c r="R53" s="63" t="e">
        <f t="shared" si="9"/>
        <v>#VALUE!</v>
      </c>
      <c r="S53" s="63" t="str">
        <f>IFERROR(VLOOKUP(MID(N53,Q53,R53-Q53),[5]skilldef!$C:$D,2,FALSE),"-") &amp; " / " &amp; IFERROR(VLOOKUP(MID(N53,O53,P53-O53),[5]skilldef!$A:$B,2,FALSE),"-")</f>
        <v>- / -</v>
      </c>
      <c r="T53" s="48" t="str">
        <f t="shared" si="10"/>
        <v>none</v>
      </c>
      <c r="U53" s="63" t="e">
        <f t="shared" si="11"/>
        <v>#VALUE!</v>
      </c>
      <c r="V53" s="63">
        <f t="shared" si="12"/>
        <v>4</v>
      </c>
      <c r="W53" s="63" t="e">
        <f t="shared" si="13"/>
        <v>#VALUE!</v>
      </c>
      <c r="X53" s="63" t="e">
        <f t="shared" si="14"/>
        <v>#VALUE!</v>
      </c>
      <c r="Y53" s="63" t="str">
        <f>IFERROR(VLOOKUP(MID(T53,W53,X53-W53),[5]skilldef!$C:$D,2,FALSE),"-") &amp; " / " &amp; IFERROR(VLOOKUP(MID(T53,U53,V53-U53),[5]skilldef!$A:$B,2,FALSE),"-")</f>
        <v>- / -</v>
      </c>
      <c r="Z53" s="50" t="s">
        <v>230</v>
      </c>
      <c r="AA53" s="52"/>
      <c r="AB53" s="50"/>
    </row>
    <row r="54" spans="1:28" ht="21" customHeight="1" x14ac:dyDescent="0.15">
      <c r="A54" s="108">
        <v>41006053</v>
      </c>
      <c r="B54" s="47" t="s">
        <v>346</v>
      </c>
      <c r="C54" s="50">
        <v>3</v>
      </c>
      <c r="D54" s="50" t="s">
        <v>197</v>
      </c>
      <c r="E54" s="51" t="s">
        <v>347</v>
      </c>
      <c r="F54" s="51" t="s">
        <v>408</v>
      </c>
      <c r="G54" s="63" t="str">
        <f t="shared" si="0"/>
        <v>[effect:break_heal_ratio, val:0.15, lowest_val:1, count:-1, block:crash, target:myself, animation:enemy_heal]</v>
      </c>
      <c r="H54" s="63">
        <f t="shared" si="1"/>
        <v>9</v>
      </c>
      <c r="I54" s="63">
        <f t="shared" si="2"/>
        <v>25</v>
      </c>
      <c r="J54" s="63">
        <f t="shared" si="3"/>
        <v>81</v>
      </c>
      <c r="K54" s="63">
        <f t="shared" si="4"/>
        <v>35</v>
      </c>
      <c r="L54" s="63" t="str">
        <f>IFERROR(VLOOKUP(MID(G54,J54,K54-J54),[5]skilldef!$C:$D,2,FALSE),"-") &amp; " / " &amp; IFERROR(VLOOKUP(MID(G54,H54,I54-H54),[5]skilldef!$A:$B,2,FALSE),"-")</f>
        <v>- / -</v>
      </c>
      <c r="M54" s="63" t="str">
        <f t="shared" si="5"/>
        <v>none</v>
      </c>
      <c r="N54" s="48" t="str">
        <f>IFERROR(LEFT(M54,FIND("],",M54)+#REF!),M54)</f>
        <v>none</v>
      </c>
      <c r="O54" s="63" t="e">
        <f t="shared" si="6"/>
        <v>#VALUE!</v>
      </c>
      <c r="P54" s="63">
        <f t="shared" si="7"/>
        <v>4</v>
      </c>
      <c r="Q54" s="63" t="e">
        <f t="shared" si="8"/>
        <v>#VALUE!</v>
      </c>
      <c r="R54" s="63" t="e">
        <f t="shared" si="9"/>
        <v>#VALUE!</v>
      </c>
      <c r="S54" s="63" t="str">
        <f>IFERROR(VLOOKUP(MID(N54,Q54,R54-Q54),[5]skilldef!$C:$D,2,FALSE),"-") &amp; " / " &amp; IFERROR(VLOOKUP(MID(N54,O54,P54-O54),[5]skilldef!$A:$B,2,FALSE),"-")</f>
        <v>- / -</v>
      </c>
      <c r="T54" s="48" t="str">
        <f t="shared" si="10"/>
        <v>none</v>
      </c>
      <c r="U54" s="63" t="e">
        <f t="shared" si="11"/>
        <v>#VALUE!</v>
      </c>
      <c r="V54" s="63">
        <f t="shared" si="12"/>
        <v>4</v>
      </c>
      <c r="W54" s="63" t="e">
        <f t="shared" si="13"/>
        <v>#VALUE!</v>
      </c>
      <c r="X54" s="63" t="e">
        <f t="shared" si="14"/>
        <v>#VALUE!</v>
      </c>
      <c r="Y54" s="63" t="str">
        <f>IFERROR(VLOOKUP(MID(T54,W54,X54-W54),[5]skilldef!$C:$D,2,FALSE),"-") &amp; " / " &amp; IFERROR(VLOOKUP(MID(T54,U54,V54-U54),[5]skilldef!$A:$B,2,FALSE),"-")</f>
        <v>- / -</v>
      </c>
      <c r="Z54" s="50" t="s">
        <v>230</v>
      </c>
      <c r="AA54" s="52"/>
      <c r="AB54" s="50"/>
    </row>
    <row r="55" spans="1:28" ht="21" customHeight="1" x14ac:dyDescent="0.15">
      <c r="A55" s="108">
        <v>41006054</v>
      </c>
      <c r="B55" s="47" t="s">
        <v>348</v>
      </c>
      <c r="C55" s="50">
        <v>3</v>
      </c>
      <c r="D55" s="50" t="s">
        <v>197</v>
      </c>
      <c r="E55" s="51" t="s">
        <v>349</v>
      </c>
      <c r="F55" s="51" t="s">
        <v>350</v>
      </c>
      <c r="G55" s="63" t="str">
        <f t="shared" si="0"/>
        <v>[effect:nothing]</v>
      </c>
      <c r="H55" s="63">
        <f t="shared" si="1"/>
        <v>9</v>
      </c>
      <c r="I55" s="63">
        <f t="shared" si="2"/>
        <v>16</v>
      </c>
      <c r="J55" s="63" t="e">
        <f t="shared" si="3"/>
        <v>#VALUE!</v>
      </c>
      <c r="K55" s="63" t="e">
        <f t="shared" si="4"/>
        <v>#VALUE!</v>
      </c>
      <c r="L55" s="63" t="str">
        <f>IFERROR(VLOOKUP(MID(G55,J55,K55-J55),[5]skilldef!$C:$D,2,FALSE),"-") &amp; " / " &amp; IFERROR(VLOOKUP(MID(G55,H55,I55-H55),[5]skilldef!$A:$B,2,FALSE),"-")</f>
        <v>- / 何もしない</v>
      </c>
      <c r="M55" s="63" t="str">
        <f t="shared" si="5"/>
        <v>none</v>
      </c>
      <c r="N55" s="48" t="str">
        <f>IFERROR(LEFT(M55,FIND("],",M55)+#REF!),M55)</f>
        <v>none</v>
      </c>
      <c r="O55" s="63" t="e">
        <f t="shared" si="6"/>
        <v>#VALUE!</v>
      </c>
      <c r="P55" s="63">
        <f t="shared" si="7"/>
        <v>4</v>
      </c>
      <c r="Q55" s="63" t="e">
        <f t="shared" si="8"/>
        <v>#VALUE!</v>
      </c>
      <c r="R55" s="63" t="e">
        <f t="shared" si="9"/>
        <v>#VALUE!</v>
      </c>
      <c r="S55" s="63" t="str">
        <f>IFERROR(VLOOKUP(MID(N55,Q55,R55-Q55),[5]skilldef!$C:$D,2,FALSE),"-") &amp; " / " &amp; IFERROR(VLOOKUP(MID(N55,O55,P55-O55),[5]skilldef!$A:$B,2,FALSE),"-")</f>
        <v>- / -</v>
      </c>
      <c r="T55" s="48" t="str">
        <f t="shared" si="10"/>
        <v>none</v>
      </c>
      <c r="U55" s="63" t="e">
        <f t="shared" si="11"/>
        <v>#VALUE!</v>
      </c>
      <c r="V55" s="63">
        <f t="shared" si="12"/>
        <v>4</v>
      </c>
      <c r="W55" s="63" t="e">
        <f t="shared" si="13"/>
        <v>#VALUE!</v>
      </c>
      <c r="X55" s="63" t="e">
        <f t="shared" si="14"/>
        <v>#VALUE!</v>
      </c>
      <c r="Y55" s="63" t="str">
        <f>IFERROR(VLOOKUP(MID(T55,W55,X55-W55),[5]skilldef!$C:$D,2,FALSE),"-") &amp; " / " &amp; IFERROR(VLOOKUP(MID(T55,U55,V55-U55),[5]skilldef!$A:$B,2,FALSE),"-")</f>
        <v>- / -</v>
      </c>
      <c r="Z55" s="50" t="s">
        <v>230</v>
      </c>
      <c r="AA55" s="52"/>
      <c r="AB55" s="50"/>
    </row>
    <row r="56" spans="1:28" ht="21" customHeight="1" x14ac:dyDescent="0.15">
      <c r="A56" s="108">
        <v>41006055</v>
      </c>
      <c r="B56" s="47" t="s">
        <v>248</v>
      </c>
      <c r="C56" s="50">
        <v>3</v>
      </c>
      <c r="D56" s="50" t="s">
        <v>197</v>
      </c>
      <c r="E56" s="51" t="s">
        <v>351</v>
      </c>
      <c r="F56" s="51" t="s">
        <v>352</v>
      </c>
      <c r="G56" s="63" t="str">
        <f t="shared" si="0"/>
        <v>[effect:spread, val:0.4]</v>
      </c>
      <c r="H56" s="63">
        <f t="shared" si="1"/>
        <v>9</v>
      </c>
      <c r="I56" s="63">
        <f t="shared" si="2"/>
        <v>15</v>
      </c>
      <c r="J56" s="63" t="e">
        <f t="shared" si="3"/>
        <v>#VALUE!</v>
      </c>
      <c r="K56" s="63" t="e">
        <f t="shared" si="4"/>
        <v>#VALUE!</v>
      </c>
      <c r="L56" s="63" t="str">
        <f>IFERROR(VLOOKUP(MID(G56,J56,K56-J56),[5]skilldef!$C:$D,2,FALSE),"-") &amp; " / " &amp; IFERROR(VLOOKUP(MID(G56,H56,I56-H56),[5]skilldef!$A:$B,2,FALSE),"-")</f>
        <v>- / 全体攻撃</v>
      </c>
      <c r="M56" s="63" t="str">
        <f t="shared" si="5"/>
        <v>none</v>
      </c>
      <c r="N56" s="48" t="str">
        <f>IFERROR(LEFT(M56,FIND("],",M56)+#REF!),M56)</f>
        <v>none</v>
      </c>
      <c r="O56" s="63" t="e">
        <f t="shared" si="6"/>
        <v>#VALUE!</v>
      </c>
      <c r="P56" s="63">
        <f t="shared" si="7"/>
        <v>4</v>
      </c>
      <c r="Q56" s="63" t="e">
        <f t="shared" si="8"/>
        <v>#VALUE!</v>
      </c>
      <c r="R56" s="63" t="e">
        <f t="shared" si="9"/>
        <v>#VALUE!</v>
      </c>
      <c r="S56" s="63" t="str">
        <f>IFERROR(VLOOKUP(MID(N56,Q56,R56-Q56),[5]skilldef!$C:$D,2,FALSE),"-") &amp; " / " &amp; IFERROR(VLOOKUP(MID(N56,O56,P56-O56),[5]skilldef!$A:$B,2,FALSE),"-")</f>
        <v>- / -</v>
      </c>
      <c r="T56" s="48" t="str">
        <f t="shared" si="10"/>
        <v>none</v>
      </c>
      <c r="U56" s="63" t="e">
        <f t="shared" si="11"/>
        <v>#VALUE!</v>
      </c>
      <c r="V56" s="63">
        <f t="shared" si="12"/>
        <v>4</v>
      </c>
      <c r="W56" s="63" t="e">
        <f t="shared" si="13"/>
        <v>#VALUE!</v>
      </c>
      <c r="X56" s="63" t="e">
        <f t="shared" si="14"/>
        <v>#VALUE!</v>
      </c>
      <c r="Y56" s="63" t="str">
        <f>IFERROR(VLOOKUP(MID(T56,W56,X56-W56),[5]skilldef!$C:$D,2,FALSE),"-") &amp; " / " &amp; IFERROR(VLOOKUP(MID(T56,U56,V56-U56),[5]skilldef!$A:$B,2,FALSE),"-")</f>
        <v>- / -</v>
      </c>
      <c r="Z56" s="50" t="s">
        <v>230</v>
      </c>
      <c r="AA56" s="52"/>
      <c r="AB56" s="50"/>
    </row>
    <row r="57" spans="1:28" ht="21" customHeight="1" x14ac:dyDescent="0.15">
      <c r="A57" s="108">
        <v>41006056</v>
      </c>
      <c r="B57" s="47" t="s">
        <v>251</v>
      </c>
      <c r="C57" s="50">
        <v>3</v>
      </c>
      <c r="D57" s="50" t="s">
        <v>197</v>
      </c>
      <c r="E57" s="51" t="s">
        <v>353</v>
      </c>
      <c r="F57" s="51" t="s">
        <v>352</v>
      </c>
      <c r="G57" s="63" t="str">
        <f t="shared" si="0"/>
        <v>[effect:spread, val:0.6]</v>
      </c>
      <c r="H57" s="63">
        <f t="shared" si="1"/>
        <v>9</v>
      </c>
      <c r="I57" s="63">
        <f t="shared" si="2"/>
        <v>15</v>
      </c>
      <c r="J57" s="63" t="e">
        <f t="shared" si="3"/>
        <v>#VALUE!</v>
      </c>
      <c r="K57" s="63" t="e">
        <f t="shared" si="4"/>
        <v>#VALUE!</v>
      </c>
      <c r="L57" s="63" t="str">
        <f>IFERROR(VLOOKUP(MID(G57,J57,K57-J57),[5]skilldef!$C:$D,2,FALSE),"-") &amp; " / " &amp; IFERROR(VLOOKUP(MID(G57,H57,I57-H57),[5]skilldef!$A:$B,2,FALSE),"-")</f>
        <v>- / 全体攻撃</v>
      </c>
      <c r="M57" s="63" t="str">
        <f t="shared" si="5"/>
        <v>none</v>
      </c>
      <c r="N57" s="48" t="str">
        <f>IFERROR(LEFT(M57,FIND("],",M57)+#REF!),M57)</f>
        <v>none</v>
      </c>
      <c r="O57" s="63" t="e">
        <f t="shared" si="6"/>
        <v>#VALUE!</v>
      </c>
      <c r="P57" s="63">
        <f t="shared" si="7"/>
        <v>4</v>
      </c>
      <c r="Q57" s="63" t="e">
        <f t="shared" si="8"/>
        <v>#VALUE!</v>
      </c>
      <c r="R57" s="63" t="e">
        <f t="shared" si="9"/>
        <v>#VALUE!</v>
      </c>
      <c r="S57" s="63" t="str">
        <f>IFERROR(VLOOKUP(MID(N57,Q57,R57-Q57),[5]skilldef!$C:$D,2,FALSE),"-") &amp; " / " &amp; IFERROR(VLOOKUP(MID(N57,O57,P57-O57),[5]skilldef!$A:$B,2,FALSE),"-")</f>
        <v>- / -</v>
      </c>
      <c r="T57" s="48" t="str">
        <f t="shared" si="10"/>
        <v>none</v>
      </c>
      <c r="U57" s="63" t="e">
        <f t="shared" si="11"/>
        <v>#VALUE!</v>
      </c>
      <c r="V57" s="63">
        <f t="shared" si="12"/>
        <v>4</v>
      </c>
      <c r="W57" s="63" t="e">
        <f t="shared" si="13"/>
        <v>#VALUE!</v>
      </c>
      <c r="X57" s="63" t="e">
        <f t="shared" si="14"/>
        <v>#VALUE!</v>
      </c>
      <c r="Y57" s="63" t="str">
        <f>IFERROR(VLOOKUP(MID(T57,W57,X57-W57),[5]skilldef!$C:$D,2,FALSE),"-") &amp; " / " &amp; IFERROR(VLOOKUP(MID(T57,U57,V57-U57),[5]skilldef!$A:$B,2,FALSE),"-")</f>
        <v>- / -</v>
      </c>
      <c r="Z57" s="50" t="s">
        <v>230</v>
      </c>
      <c r="AA57" s="52"/>
      <c r="AB57" s="50"/>
    </row>
    <row r="58" spans="1:28" ht="21" customHeight="1" thickBot="1" x14ac:dyDescent="0.2">
      <c r="A58" s="150">
        <v>41006057</v>
      </c>
      <c r="B58" s="151" t="s">
        <v>338</v>
      </c>
      <c r="C58" s="152">
        <v>3</v>
      </c>
      <c r="D58" s="152" t="s">
        <v>197</v>
      </c>
      <c r="E58" s="153" t="s">
        <v>351</v>
      </c>
      <c r="F58" s="153" t="s">
        <v>352</v>
      </c>
      <c r="G58" s="154" t="str">
        <f t="shared" si="0"/>
        <v>[effect:spread, val:0.8]</v>
      </c>
      <c r="H58" s="154">
        <f t="shared" si="1"/>
        <v>9</v>
      </c>
      <c r="I58" s="154">
        <f t="shared" si="2"/>
        <v>15</v>
      </c>
      <c r="J58" s="154" t="e">
        <f t="shared" si="3"/>
        <v>#VALUE!</v>
      </c>
      <c r="K58" s="154" t="e">
        <f t="shared" si="4"/>
        <v>#VALUE!</v>
      </c>
      <c r="L58" s="154" t="str">
        <f>IFERROR(VLOOKUP(MID(G58,J58,K58-J58),[5]skilldef!$C:$D,2,FALSE),"-") &amp; " / " &amp; IFERROR(VLOOKUP(MID(G58,H58,I58-H58),[5]skilldef!$A:$B,2,FALSE),"-")</f>
        <v>- / 全体攻撃</v>
      </c>
      <c r="M58" s="154" t="str">
        <f t="shared" si="5"/>
        <v>none</v>
      </c>
      <c r="N58" s="155" t="str">
        <f>IFERROR(LEFT(M58,FIND("],",M58)+#REF!),M58)</f>
        <v>none</v>
      </c>
      <c r="O58" s="154" t="e">
        <f t="shared" si="6"/>
        <v>#VALUE!</v>
      </c>
      <c r="P58" s="154">
        <f t="shared" si="7"/>
        <v>4</v>
      </c>
      <c r="Q58" s="154" t="e">
        <f t="shared" si="8"/>
        <v>#VALUE!</v>
      </c>
      <c r="R58" s="154" t="e">
        <f t="shared" si="9"/>
        <v>#VALUE!</v>
      </c>
      <c r="S58" s="154" t="str">
        <f>IFERROR(VLOOKUP(MID(N58,Q58,R58-Q58),[5]skilldef!$C:$D,2,FALSE),"-") &amp; " / " &amp; IFERROR(VLOOKUP(MID(N58,O58,P58-O58),[5]skilldef!$A:$B,2,FALSE),"-")</f>
        <v>- / -</v>
      </c>
      <c r="T58" s="155" t="str">
        <f t="shared" si="10"/>
        <v>none</v>
      </c>
      <c r="U58" s="154" t="e">
        <f t="shared" si="11"/>
        <v>#VALUE!</v>
      </c>
      <c r="V58" s="154">
        <f t="shared" si="12"/>
        <v>4</v>
      </c>
      <c r="W58" s="154" t="e">
        <f t="shared" si="13"/>
        <v>#VALUE!</v>
      </c>
      <c r="X58" s="154" t="e">
        <f t="shared" si="14"/>
        <v>#VALUE!</v>
      </c>
      <c r="Y58" s="154" t="str">
        <f>IFERROR(VLOOKUP(MID(T58,W58,X58-W58),[5]skilldef!$C:$D,2,FALSE),"-") &amp; " / " &amp; IFERROR(VLOOKUP(MID(T58,U58,V58-U58),[5]skilldef!$A:$B,2,FALSE),"-")</f>
        <v>- / -</v>
      </c>
      <c r="Z58" s="50" t="s">
        <v>230</v>
      </c>
      <c r="AA58" s="156"/>
      <c r="AB58" s="152"/>
    </row>
    <row r="59" spans="1:28" ht="21" customHeight="1" x14ac:dyDescent="0.15">
      <c r="A59" s="108">
        <v>41006058</v>
      </c>
      <c r="B59" s="47" t="s">
        <v>390</v>
      </c>
      <c r="C59" s="50">
        <v>3</v>
      </c>
      <c r="D59" s="50" t="s">
        <v>197</v>
      </c>
      <c r="E59" s="51" t="s">
        <v>391</v>
      </c>
      <c r="F59" s="51" t="s">
        <v>424</v>
      </c>
      <c r="G59" s="162" t="str">
        <f t="shared" si="0"/>
        <v>[effect:freq_turn, target:enemy_all, turn:3, val:1, animation:enemy_freq_turn]</v>
      </c>
      <c r="H59" s="162">
        <f t="shared" si="1"/>
        <v>9</v>
      </c>
      <c r="I59" s="162">
        <f t="shared" si="2"/>
        <v>18</v>
      </c>
      <c r="J59" s="162">
        <f t="shared" si="3"/>
        <v>27</v>
      </c>
      <c r="K59" s="162">
        <f t="shared" si="4"/>
        <v>36</v>
      </c>
      <c r="L59" s="162" t="str">
        <f>IFERROR(VLOOKUP(MID(G59,J59,K59-J59),[5]skilldef!$C:$D,2,FALSE),"-") &amp; " / " &amp; IFERROR(VLOOKUP(MID(G59,H59,I59-H59),[5]skilldef!$A:$B,2,FALSE),"-")</f>
        <v>敵全体に / 攻撃頻度がUP</v>
      </c>
      <c r="M59" s="162" t="str">
        <f t="shared" si="5"/>
        <v>none</v>
      </c>
      <c r="N59" s="163" t="str">
        <f>IFERROR(LEFT(M59,FIND("],",M59)+#REF!),M59)</f>
        <v>none</v>
      </c>
      <c r="O59" s="162" t="e">
        <f t="shared" si="6"/>
        <v>#VALUE!</v>
      </c>
      <c r="P59" s="162">
        <f t="shared" si="7"/>
        <v>4</v>
      </c>
      <c r="Q59" s="162" t="e">
        <f t="shared" si="8"/>
        <v>#VALUE!</v>
      </c>
      <c r="R59" s="162" t="e">
        <f t="shared" si="9"/>
        <v>#VALUE!</v>
      </c>
      <c r="S59" s="162" t="str">
        <f>IFERROR(VLOOKUP(MID(N59,Q59,R59-Q59),[5]skilldef!$C:$D,2,FALSE),"-") &amp; " / " &amp; IFERROR(VLOOKUP(MID(N59,O59,P59-O59),[5]skilldef!$A:$B,2,FALSE),"-")</f>
        <v>- / -</v>
      </c>
      <c r="T59" s="163" t="str">
        <f t="shared" si="10"/>
        <v>none</v>
      </c>
      <c r="U59" s="162" t="e">
        <f t="shared" si="11"/>
        <v>#VALUE!</v>
      </c>
      <c r="V59" s="162">
        <f t="shared" si="12"/>
        <v>4</v>
      </c>
      <c r="W59" s="162" t="e">
        <f t="shared" si="13"/>
        <v>#VALUE!</v>
      </c>
      <c r="X59" s="162" t="e">
        <f t="shared" si="14"/>
        <v>#VALUE!</v>
      </c>
      <c r="Y59" s="162" t="str">
        <f>IFERROR(VLOOKUP(MID(T59,W59,X59-W59),[5]skilldef!$C:$D,2,FALSE),"-") &amp; " / " &amp; IFERROR(VLOOKUP(MID(T59,U59,V59-U59),[5]skilldef!$A:$B,2,FALSE),"-")</f>
        <v>- / -</v>
      </c>
      <c r="Z59" s="50" t="s">
        <v>230</v>
      </c>
      <c r="AA59" s="52"/>
      <c r="AB59" s="50"/>
    </row>
    <row r="60" spans="1:28" ht="21" customHeight="1" x14ac:dyDescent="0.15">
      <c r="A60" s="108">
        <v>41006059</v>
      </c>
      <c r="B60" s="47" t="s">
        <v>399</v>
      </c>
      <c r="C60" s="50">
        <v>3</v>
      </c>
      <c r="D60" s="50" t="s">
        <v>197</v>
      </c>
      <c r="E60" s="51" t="s">
        <v>392</v>
      </c>
      <c r="F60" s="51" t="s">
        <v>393</v>
      </c>
      <c r="G60" s="63" t="str">
        <f t="shared" si="0"/>
        <v>[effect:enhance_enemy, target:myself, turn:3, status:attack, val:0.3, animation:enemy_enhance_attack]</v>
      </c>
      <c r="H60" s="63">
        <f t="shared" si="1"/>
        <v>9</v>
      </c>
      <c r="I60" s="63">
        <f t="shared" si="2"/>
        <v>22</v>
      </c>
      <c r="J60" s="63">
        <f t="shared" si="3"/>
        <v>31</v>
      </c>
      <c r="K60" s="63">
        <f t="shared" si="4"/>
        <v>37</v>
      </c>
      <c r="L60" s="63" t="str">
        <f>IFERROR(VLOOKUP(MID(G60,J60,K60-J60),[5]skilldef!$C:$D,2,FALSE),"-") &amp; " / " &amp; IFERROR(VLOOKUP(MID(G60,H60,I60-H60),[5]skilldef!$A:$B,2,FALSE),"-")</f>
        <v>自分自身に / ステータス強化</v>
      </c>
      <c r="M60" s="63" t="str">
        <f t="shared" si="5"/>
        <v>[effect:rush, count:1, val:1.0]</v>
      </c>
      <c r="N60" s="48" t="str">
        <f>IFERROR(LEFT(M60,FIND("],",M60)+#REF!),M60)</f>
        <v>[effect:rush, count:1, val:1.0]</v>
      </c>
      <c r="O60" s="63">
        <f t="shared" si="6"/>
        <v>9</v>
      </c>
      <c r="P60" s="63">
        <f t="shared" si="7"/>
        <v>13</v>
      </c>
      <c r="Q60" s="63" t="e">
        <f t="shared" si="8"/>
        <v>#VALUE!</v>
      </c>
      <c r="R60" s="63">
        <f t="shared" si="9"/>
        <v>22</v>
      </c>
      <c r="S60" s="63" t="str">
        <f>IFERROR(VLOOKUP(MID(N60,Q60,R60-Q60),[5]skilldef!$C:$D,2,FALSE),"-") &amp; " / " &amp; IFERROR(VLOOKUP(MID(N60,O60,P60-O60),[5]skilldef!$A:$B,2,FALSE),"-")</f>
        <v>- / 連続攻撃</v>
      </c>
      <c r="T60" s="48" t="str">
        <f t="shared" si="10"/>
        <v>none</v>
      </c>
      <c r="U60" s="63" t="e">
        <f t="shared" si="11"/>
        <v>#VALUE!</v>
      </c>
      <c r="V60" s="63">
        <f t="shared" si="12"/>
        <v>4</v>
      </c>
      <c r="W60" s="63" t="e">
        <f t="shared" si="13"/>
        <v>#VALUE!</v>
      </c>
      <c r="X60" s="63" t="e">
        <f t="shared" si="14"/>
        <v>#VALUE!</v>
      </c>
      <c r="Y60" s="63" t="str">
        <f>IFERROR(VLOOKUP(MID(T60,W60,X60-W60),[5]skilldef!$C:$D,2,FALSE),"-") &amp; " / " &amp; IFERROR(VLOOKUP(MID(T60,U60,V60-U60),[5]skilldef!$A:$B,2,FALSE),"-")</f>
        <v>- / -</v>
      </c>
      <c r="Z60" s="50" t="s">
        <v>230</v>
      </c>
      <c r="AA60" s="52"/>
      <c r="AB60" s="50"/>
    </row>
    <row r="61" spans="1:28" ht="21" customHeight="1" x14ac:dyDescent="0.15">
      <c r="A61" s="108">
        <v>41006060</v>
      </c>
      <c r="B61" s="47" t="s">
        <v>409</v>
      </c>
      <c r="C61" s="50">
        <v>3</v>
      </c>
      <c r="D61" s="50" t="s">
        <v>197</v>
      </c>
      <c r="E61" s="51" t="s">
        <v>396</v>
      </c>
      <c r="F61" s="51" t="s">
        <v>421</v>
      </c>
      <c r="G61" s="63" t="str">
        <f t="shared" si="0"/>
        <v>[effect:damage_anti_abnormal, target:unit_all, target_effect01:sleep, target_effect02:hungup, val1:0.6, val2:0.3]</v>
      </c>
      <c r="H61" s="63">
        <f t="shared" si="1"/>
        <v>9</v>
      </c>
      <c r="I61" s="63">
        <f t="shared" si="2"/>
        <v>29</v>
      </c>
      <c r="J61" s="63">
        <f t="shared" si="3"/>
        <v>38</v>
      </c>
      <c r="K61" s="63">
        <f t="shared" si="4"/>
        <v>46</v>
      </c>
      <c r="L61" s="63" t="str">
        <f>IFERROR(VLOOKUP(MID(G61,J61,K61-J61),[5]skilldef!$C:$D,2,FALSE),"-") &amp; " / " &amp; IFERROR(VLOOKUP(MID(G61,H61,I61-H61),[5]skilldef!$A:$B,2,FALSE),"-")</f>
        <v>味方全体に / -</v>
      </c>
      <c r="M61" s="63" t="str">
        <f t="shared" si="5"/>
        <v>none</v>
      </c>
      <c r="N61" s="48" t="str">
        <f>IFERROR(LEFT(M61,FIND("],",M61)+#REF!),M61)</f>
        <v>none</v>
      </c>
      <c r="O61" s="63" t="e">
        <f t="shared" si="6"/>
        <v>#VALUE!</v>
      </c>
      <c r="P61" s="63">
        <f t="shared" si="7"/>
        <v>4</v>
      </c>
      <c r="Q61" s="63" t="e">
        <f t="shared" si="8"/>
        <v>#VALUE!</v>
      </c>
      <c r="R61" s="63" t="e">
        <f t="shared" si="9"/>
        <v>#VALUE!</v>
      </c>
      <c r="S61" s="63" t="str">
        <f>IFERROR(VLOOKUP(MID(N61,Q61,R61-Q61),[5]skilldef!$C:$D,2,FALSE),"-") &amp; " / " &amp; IFERROR(VLOOKUP(MID(N61,O61,P61-O61),[5]skilldef!$A:$B,2,FALSE),"-")</f>
        <v>- / -</v>
      </c>
      <c r="T61" s="48" t="str">
        <f t="shared" si="10"/>
        <v>none</v>
      </c>
      <c r="U61" s="63" t="e">
        <f t="shared" si="11"/>
        <v>#VALUE!</v>
      </c>
      <c r="V61" s="63">
        <f t="shared" si="12"/>
        <v>4</v>
      </c>
      <c r="W61" s="63" t="e">
        <f t="shared" si="13"/>
        <v>#VALUE!</v>
      </c>
      <c r="X61" s="63" t="e">
        <f t="shared" si="14"/>
        <v>#VALUE!</v>
      </c>
      <c r="Y61" s="63" t="str">
        <f>IFERROR(VLOOKUP(MID(T61,W61,X61-W61),[5]skilldef!$C:$D,2,FALSE),"-") &amp; " / " &amp; IFERROR(VLOOKUP(MID(T61,U61,V61-U61),[5]skilldef!$A:$B,2,FALSE),"-")</f>
        <v>- / -</v>
      </c>
      <c r="Z61" s="50" t="s">
        <v>230</v>
      </c>
      <c r="AA61" s="52"/>
      <c r="AB61" s="50"/>
    </row>
    <row r="62" spans="1:28" ht="21" customHeight="1" x14ac:dyDescent="0.15">
      <c r="A62" s="108">
        <v>41006061</v>
      </c>
      <c r="B62" s="47" t="s">
        <v>413</v>
      </c>
      <c r="C62" s="50">
        <v>3</v>
      </c>
      <c r="D62" s="50" t="s">
        <v>197</v>
      </c>
      <c r="E62" s="51" t="s">
        <v>476</v>
      </c>
      <c r="F62" s="51" t="s">
        <v>412</v>
      </c>
      <c r="G62" s="63" t="str">
        <f t="shared" si="0"/>
        <v>[effect:dis_panel, target:block_red, turn:4]</v>
      </c>
      <c r="H62" s="63">
        <f t="shared" si="1"/>
        <v>9</v>
      </c>
      <c r="I62" s="63">
        <f t="shared" si="2"/>
        <v>18</v>
      </c>
      <c r="J62" s="63">
        <f t="shared" si="3"/>
        <v>27</v>
      </c>
      <c r="K62" s="63">
        <f t="shared" si="4"/>
        <v>36</v>
      </c>
      <c r="L62" s="63" t="str">
        <f>IFERROR(VLOOKUP(MID(G62,J62,K62-J62),[5]skilldef!$C:$D,2,FALSE),"-") &amp; " / " &amp; IFERROR(VLOOKUP(MID(G62,H62,I62-H62),[5]skilldef!$A:$B,2,FALSE),"-")</f>
        <v>赤パネルを / ディスパネル</v>
      </c>
      <c r="M62" s="63" t="str">
        <f t="shared" si="5"/>
        <v>[effect:dis_panel, target:block_green, turn:4],[effect:dis_panel, target:block_yellow, turn:4],[effect:rush, count:1, val:1.2]</v>
      </c>
      <c r="N62" s="48" t="str">
        <f>IFERROR(LEFT(M62,FIND("],",M62)+#REF!),M62)</f>
        <v>[effect:dis_panel, target:block_green, turn:4],[effect:dis_panel, target:block_yellow, turn:4],[effect:rush, count:1, val:1.2]</v>
      </c>
      <c r="O62" s="63">
        <f t="shared" si="6"/>
        <v>9</v>
      </c>
      <c r="P62" s="63">
        <f t="shared" si="7"/>
        <v>18</v>
      </c>
      <c r="Q62" s="63">
        <f t="shared" si="8"/>
        <v>27</v>
      </c>
      <c r="R62" s="63">
        <f t="shared" si="9"/>
        <v>38</v>
      </c>
      <c r="S62" s="63" t="str">
        <f>IFERROR(VLOOKUP(MID(N62,Q62,R62-Q62),[5]skilldef!$C:$D,2,FALSE),"-") &amp; " / " &amp; IFERROR(VLOOKUP(MID(N62,O62,P62-O62),[5]skilldef!$A:$B,2,FALSE),"-")</f>
        <v>緑パネルを / ディスパネル</v>
      </c>
      <c r="T62" s="48" t="str">
        <f t="shared" si="10"/>
        <v>[effect:dis_panel, target:block_yellow, turn:4],[effect:rush, count:1, val:1.2]</v>
      </c>
      <c r="U62" s="63">
        <f t="shared" si="11"/>
        <v>9</v>
      </c>
      <c r="V62" s="63">
        <f t="shared" si="12"/>
        <v>18</v>
      </c>
      <c r="W62" s="63">
        <f t="shared" si="13"/>
        <v>27</v>
      </c>
      <c r="X62" s="63">
        <f t="shared" si="14"/>
        <v>39</v>
      </c>
      <c r="Y62" s="63" t="str">
        <f>IFERROR(VLOOKUP(MID(T62,W62,X62-W62),[5]skilldef!$C:$D,2,FALSE),"-") &amp; " / " &amp; IFERROR(VLOOKUP(MID(T62,U62,V62-U62),[5]skilldef!$A:$B,2,FALSE),"-")</f>
        <v>黄色パネルを / ディスパネル</v>
      </c>
      <c r="Z62" s="50" t="s">
        <v>230</v>
      </c>
      <c r="AA62" s="52"/>
      <c r="AB62" s="50"/>
    </row>
    <row r="63" spans="1:28" ht="21" customHeight="1" x14ac:dyDescent="0.15">
      <c r="A63" s="108">
        <v>41006062</v>
      </c>
      <c r="B63" s="47" t="s">
        <v>423</v>
      </c>
      <c r="C63" s="50">
        <v>3</v>
      </c>
      <c r="D63" s="50" t="s">
        <v>197</v>
      </c>
      <c r="E63" s="51" t="s">
        <v>410</v>
      </c>
      <c r="F63" s="51" t="s">
        <v>422</v>
      </c>
      <c r="G63" s="63" t="str">
        <f t="shared" si="0"/>
        <v>[effect:change_block, new_block:jammer, target:block_heart, count:5, val:0, animation:change_block]</v>
      </c>
      <c r="H63" s="63">
        <f t="shared" si="1"/>
        <v>9</v>
      </c>
      <c r="I63" s="63">
        <f t="shared" si="2"/>
        <v>21</v>
      </c>
      <c r="J63" s="63">
        <f t="shared" si="3"/>
        <v>48</v>
      </c>
      <c r="K63" s="63">
        <f t="shared" si="4"/>
        <v>39</v>
      </c>
      <c r="L63" s="63" t="str">
        <f>IFERROR(VLOOKUP(MID(G63,J63,K63-J63),[5]skilldef!$C:$D,2,FALSE),"-") &amp; " / " &amp; IFERROR(VLOOKUP(MID(G63,H63,I63-H63),[5]skilldef!$A:$B,2,FALSE),"-")</f>
        <v>- / ブロック変換</v>
      </c>
      <c r="M63" s="63" t="str">
        <f t="shared" si="5"/>
        <v>none</v>
      </c>
      <c r="N63" s="48" t="str">
        <f>IFERROR(LEFT(M63,FIND("],",M63)+#REF!),M63)</f>
        <v>none</v>
      </c>
      <c r="O63" s="63" t="e">
        <f t="shared" si="6"/>
        <v>#VALUE!</v>
      </c>
      <c r="P63" s="63">
        <f t="shared" si="7"/>
        <v>4</v>
      </c>
      <c r="Q63" s="63" t="e">
        <f t="shared" si="8"/>
        <v>#VALUE!</v>
      </c>
      <c r="R63" s="63" t="e">
        <f t="shared" si="9"/>
        <v>#VALUE!</v>
      </c>
      <c r="S63" s="63" t="str">
        <f>IFERROR(VLOOKUP(MID(N63,Q63,R63-Q63),[5]skilldef!$C:$D,2,FALSE),"-") &amp; " / " &amp; IFERROR(VLOOKUP(MID(N63,O63,P63-O63),[5]skilldef!$A:$B,2,FALSE),"-")</f>
        <v>- / -</v>
      </c>
      <c r="T63" s="48" t="str">
        <f t="shared" si="10"/>
        <v>none</v>
      </c>
      <c r="U63" s="63" t="e">
        <f t="shared" si="11"/>
        <v>#VALUE!</v>
      </c>
      <c r="V63" s="63">
        <f t="shared" si="12"/>
        <v>4</v>
      </c>
      <c r="W63" s="63" t="e">
        <f t="shared" si="13"/>
        <v>#VALUE!</v>
      </c>
      <c r="X63" s="63" t="e">
        <f t="shared" si="14"/>
        <v>#VALUE!</v>
      </c>
      <c r="Y63" s="63" t="str">
        <f>IFERROR(VLOOKUP(MID(T63,W63,X63-W63),[5]skilldef!$C:$D,2,FALSE),"-") &amp; " / " &amp; IFERROR(VLOOKUP(MID(T63,U63,V63-U63),[5]skilldef!$A:$B,2,FALSE),"-")</f>
        <v>- / -</v>
      </c>
      <c r="Z63" s="50" t="s">
        <v>230</v>
      </c>
      <c r="AA63" s="52"/>
      <c r="AB63" s="50"/>
    </row>
    <row r="64" spans="1:28" ht="21" customHeight="1" x14ac:dyDescent="0.15">
      <c r="A64" s="108">
        <v>41006063</v>
      </c>
      <c r="B64" s="47" t="s">
        <v>420</v>
      </c>
      <c r="C64" s="50">
        <v>3</v>
      </c>
      <c r="D64" s="50" t="s">
        <v>197</v>
      </c>
      <c r="E64" s="51" t="s">
        <v>371</v>
      </c>
      <c r="F64" s="51" t="s">
        <v>419</v>
      </c>
      <c r="G64" s="63" t="str">
        <f t="shared" si="0"/>
        <v>[effect:dark, target:unit_all, turn:3, animation:enemy_dark]</v>
      </c>
      <c r="H64" s="63">
        <f t="shared" si="1"/>
        <v>9</v>
      </c>
      <c r="I64" s="63">
        <f t="shared" si="2"/>
        <v>13</v>
      </c>
      <c r="J64" s="63">
        <f t="shared" si="3"/>
        <v>22</v>
      </c>
      <c r="K64" s="63">
        <f t="shared" si="4"/>
        <v>30</v>
      </c>
      <c r="L64" s="63" t="str">
        <f>IFERROR(VLOOKUP(MID(G64,J64,K64-J64),[5]skilldef!$C:$D,2,FALSE),"-") &amp; " / " &amp; IFERROR(VLOOKUP(MID(G64,H64,I64-H64),[5]skilldef!$A:$B,2,FALSE),"-")</f>
        <v>味方全体に / 暗黒</v>
      </c>
      <c r="M64" s="63" t="str">
        <f t="shared" si="5"/>
        <v>[effect:spread, val:0.2],[effect:rush, count:6, val:0.2]</v>
      </c>
      <c r="N64" s="48" t="str">
        <f>IFERROR(LEFT(M64,FIND("],",M64)+#REF!),M64)</f>
        <v>[effect:spread, val:0.2],[effect:rush, count:6, val:0.2]</v>
      </c>
      <c r="O64" s="63">
        <f t="shared" si="6"/>
        <v>9</v>
      </c>
      <c r="P64" s="63">
        <f t="shared" si="7"/>
        <v>15</v>
      </c>
      <c r="Q64" s="63" t="e">
        <f t="shared" si="8"/>
        <v>#VALUE!</v>
      </c>
      <c r="R64" s="63">
        <f t="shared" si="9"/>
        <v>25</v>
      </c>
      <c r="S64" s="63" t="str">
        <f>IFERROR(VLOOKUP(MID(N64,Q64,R64-Q64),[5]skilldef!$C:$D,2,FALSE),"-") &amp; " / " &amp; IFERROR(VLOOKUP(MID(N64,O64,P64-O64),[5]skilldef!$A:$B,2,FALSE),"-")</f>
        <v>- / 全体攻撃</v>
      </c>
      <c r="T64" s="48" t="str">
        <f t="shared" si="10"/>
        <v>[effect:rush, count:6, val:0.2]</v>
      </c>
      <c r="U64" s="63">
        <f t="shared" si="11"/>
        <v>9</v>
      </c>
      <c r="V64" s="63">
        <f t="shared" si="12"/>
        <v>13</v>
      </c>
      <c r="W64" s="63" t="e">
        <f t="shared" si="13"/>
        <v>#VALUE!</v>
      </c>
      <c r="X64" s="63">
        <f t="shared" si="14"/>
        <v>22</v>
      </c>
      <c r="Y64" s="63" t="str">
        <f>IFERROR(VLOOKUP(MID(T64,W64,X64-W64),[5]skilldef!$C:$D,2,FALSE),"-") &amp; " / " &amp; IFERROR(VLOOKUP(MID(T64,U64,V64-U64),[5]skilldef!$A:$B,2,FALSE),"-")</f>
        <v>- / 連続攻撃</v>
      </c>
      <c r="Z64" s="50" t="s">
        <v>230</v>
      </c>
      <c r="AA64" s="52"/>
      <c r="AB64" s="50"/>
    </row>
    <row r="65" spans="1:28" ht="21" customHeight="1" x14ac:dyDescent="0.15">
      <c r="A65" s="108">
        <v>41006064</v>
      </c>
      <c r="B65" s="47" t="s">
        <v>425</v>
      </c>
      <c r="C65" s="50">
        <v>3</v>
      </c>
      <c r="D65" s="50" t="s">
        <v>197</v>
      </c>
      <c r="E65" s="51" t="s">
        <v>427</v>
      </c>
      <c r="F65" s="51" t="s">
        <v>428</v>
      </c>
      <c r="G65" s="63" t="str">
        <f t="shared" si="0"/>
        <v>[effect:enemy_message, val1:1.5, val2:2.5]</v>
      </c>
      <c r="H65" s="63">
        <f t="shared" si="1"/>
        <v>9</v>
      </c>
      <c r="I65" s="63">
        <f t="shared" si="2"/>
        <v>22</v>
      </c>
      <c r="J65" s="63" t="e">
        <f t="shared" si="3"/>
        <v>#VALUE!</v>
      </c>
      <c r="K65" s="63">
        <f t="shared" si="4"/>
        <v>32</v>
      </c>
      <c r="L65" s="63" t="str">
        <f>IFERROR(VLOOKUP(MID(G65,J65,K65-J65),[5]skilldef!$C:$D,2,FALSE),"-") &amp; " / " &amp; IFERROR(VLOOKUP(MID(G65,H65,I65-H65),[5]skilldef!$A:$B,2,FALSE),"-")</f>
        <v>- / -</v>
      </c>
      <c r="M65" s="63" t="str">
        <f t="shared" si="5"/>
        <v>[effect:break_enchance_enemy, val:0.05, lowest_val:0.1, count:8, status:attack, turn:-1, block:block_heart, target:myself, calc:mul, animation:enemy_enhance_attack],[effect:tolerance, target:myself, turn:-1, tolerance_effect:hungup, count:-1, animation:enemy_tolerance]</v>
      </c>
      <c r="N65" s="48" t="str">
        <f>IFERROR(LEFT(M65,FIND("],",M65)+#REF!),M65)</f>
        <v>[effect:break_enchance_enemy, val:0.05, lowest_val:0.1, count:8, status:attack, turn:-1, block:block_heart, target:myself, calc:mul, animation:enemy_enhance_attack],[effect:tolerance, target:myself, turn:-1, tolerance_effect:hungup, count:-1, animation:enemy_tolerance]</v>
      </c>
      <c r="O65" s="63">
        <f t="shared" si="6"/>
        <v>9</v>
      </c>
      <c r="P65" s="63">
        <f t="shared" si="7"/>
        <v>29</v>
      </c>
      <c r="Q65" s="63">
        <f t="shared" si="8"/>
        <v>116</v>
      </c>
      <c r="R65" s="63">
        <f t="shared" si="9"/>
        <v>39</v>
      </c>
      <c r="S65" s="63" t="str">
        <f>IFERROR(VLOOKUP(MID(N65,Q65,R65-Q65),[5]skilldef!$C:$D,2,FALSE),"-") &amp; " / " &amp; IFERROR(VLOOKUP(MID(N65,O65,P65-O65),[5]skilldef!$A:$B,2,FALSE),"-")</f>
        <v>- / -</v>
      </c>
      <c r="T65" s="48" t="str">
        <f t="shared" si="10"/>
        <v>[effect:tolerance, target:myself, turn:-1, tolerance_effect:hungup, count:-1, animation:enemy_tolerance]</v>
      </c>
      <c r="U65" s="63">
        <f t="shared" si="11"/>
        <v>9</v>
      </c>
      <c r="V65" s="63">
        <f t="shared" si="12"/>
        <v>18</v>
      </c>
      <c r="W65" s="63">
        <f t="shared" si="13"/>
        <v>27</v>
      </c>
      <c r="X65" s="63">
        <f t="shared" si="14"/>
        <v>33</v>
      </c>
      <c r="Y65" s="63" t="str">
        <f>IFERROR(VLOOKUP(MID(T65,W65,X65-W65),[5]skilldef!$C:$D,2,FALSE),"-") &amp; " / " &amp; IFERROR(VLOOKUP(MID(T65,U65,V65-U65),[5]skilldef!$A:$B,2,FALSE),"-")</f>
        <v>自分自身に / 状態異常耐性</v>
      </c>
      <c r="Z65" s="50" t="s">
        <v>230</v>
      </c>
      <c r="AA65" s="52"/>
      <c r="AB65" s="50"/>
    </row>
    <row r="66" spans="1:28" ht="21" customHeight="1" x14ac:dyDescent="0.15">
      <c r="A66" s="108">
        <v>41006065</v>
      </c>
      <c r="B66" s="47" t="s">
        <v>513</v>
      </c>
      <c r="C66" s="50">
        <v>3</v>
      </c>
      <c r="D66" s="50" t="s">
        <v>197</v>
      </c>
      <c r="E66" s="51" t="s">
        <v>315</v>
      </c>
      <c r="F66" s="51" t="s">
        <v>403</v>
      </c>
      <c r="G66" s="63" t="str">
        <f t="shared" si="0"/>
        <v>[effect:force_change_block, new_block:jammer, target:block_all, ignore01:block_positive, ignore02:block_negative, count:10, val:0]</v>
      </c>
      <c r="H66" s="63">
        <f t="shared" si="1"/>
        <v>9</v>
      </c>
      <c r="I66" s="63">
        <f t="shared" si="2"/>
        <v>27</v>
      </c>
      <c r="J66" s="63">
        <f t="shared" si="3"/>
        <v>54</v>
      </c>
      <c r="K66" s="63">
        <f t="shared" si="4"/>
        <v>45</v>
      </c>
      <c r="L66" s="63" t="str">
        <f>IFERROR(VLOOKUP(MID(G66,J66,K66-J66),[5]skilldef!$C:$D,2,FALSE),"-") &amp; " / " &amp; IFERROR(VLOOKUP(MID(G66,H66,I66-H66),[5]skilldef!$A:$B,2,FALSE),"-")</f>
        <v>- / -</v>
      </c>
      <c r="M66" s="63" t="str">
        <f t="shared" si="5"/>
        <v>none</v>
      </c>
      <c r="N66" s="48" t="str">
        <f>IFERROR(LEFT(M66,FIND("],",M66)+#REF!),M66)</f>
        <v>none</v>
      </c>
      <c r="O66" s="63" t="e">
        <f t="shared" si="6"/>
        <v>#VALUE!</v>
      </c>
      <c r="P66" s="63">
        <f t="shared" si="7"/>
        <v>4</v>
      </c>
      <c r="Q66" s="63" t="e">
        <f t="shared" si="8"/>
        <v>#VALUE!</v>
      </c>
      <c r="R66" s="63" t="e">
        <f t="shared" si="9"/>
        <v>#VALUE!</v>
      </c>
      <c r="S66" s="63" t="str">
        <f>IFERROR(VLOOKUP(MID(N66,Q66,R66-Q66),[5]skilldef!$C:$D,2,FALSE),"-") &amp; " / " &amp; IFERROR(VLOOKUP(MID(N66,O66,P66-O66),[5]skilldef!$A:$B,2,FALSE),"-")</f>
        <v>- / -</v>
      </c>
      <c r="T66" s="48" t="str">
        <f t="shared" si="10"/>
        <v>none</v>
      </c>
      <c r="U66" s="63" t="e">
        <f t="shared" si="11"/>
        <v>#VALUE!</v>
      </c>
      <c r="V66" s="63">
        <f t="shared" si="12"/>
        <v>4</v>
      </c>
      <c r="W66" s="63" t="e">
        <f t="shared" si="13"/>
        <v>#VALUE!</v>
      </c>
      <c r="X66" s="63" t="e">
        <f t="shared" si="14"/>
        <v>#VALUE!</v>
      </c>
      <c r="Y66" s="63" t="str">
        <f>IFERROR(VLOOKUP(MID(T66,W66,X66-W66),[5]skilldef!$C:$D,2,FALSE),"-") &amp; " / " &amp; IFERROR(VLOOKUP(MID(T66,U66,V66-U66),[5]skilldef!$A:$B,2,FALSE),"-")</f>
        <v>- / -</v>
      </c>
      <c r="Z66" s="50" t="s">
        <v>230</v>
      </c>
      <c r="AA66" s="52"/>
      <c r="AB66" s="50"/>
    </row>
    <row r="67" spans="1:28" ht="21" customHeight="1" x14ac:dyDescent="0.15">
      <c r="A67" s="108">
        <v>41006066</v>
      </c>
      <c r="B67" s="47" t="s">
        <v>406</v>
      </c>
      <c r="C67" s="50">
        <v>3</v>
      </c>
      <c r="D67" s="50" t="s">
        <v>197</v>
      </c>
      <c r="E67" s="51" t="s">
        <v>404</v>
      </c>
      <c r="F67" s="51" t="s">
        <v>405</v>
      </c>
      <c r="G67" s="63" t="str">
        <f t="shared" ref="G67:G131" si="15">IFERROR(LEFT(B67,FIND("],",B67)),B67)</f>
        <v>[effect:rush, count:10, val:0.2]</v>
      </c>
      <c r="H67" s="63">
        <f t="shared" ref="H67:H131" si="16">FIND("effect:",G67)+7</f>
        <v>9</v>
      </c>
      <c r="I67" s="63">
        <f t="shared" ref="I67:I131" si="17">IFERROR(FIND(",",G67),LEN(G67))</f>
        <v>13</v>
      </c>
      <c r="J67" s="63" t="e">
        <f t="shared" ref="J67:J131" si="18">FIND("target:",G67)+7</f>
        <v>#VALUE!</v>
      </c>
      <c r="K67" s="63">
        <f t="shared" ref="K67:K131" si="19">FIND(",",G67,I67+1)</f>
        <v>23</v>
      </c>
      <c r="L67" s="63" t="str">
        <f>IFERROR(VLOOKUP(MID(G67,J67,K67-J67),[5]skilldef!$C:$D,2,FALSE),"-") &amp; " / " &amp; IFERROR(VLOOKUP(MID(G67,H67,I67-H67),[5]skilldef!$A:$B,2,FALSE),"-")</f>
        <v>- / 連続攻撃</v>
      </c>
      <c r="M67" s="63" t="str">
        <f t="shared" ref="M67:M131" si="20">IFERROR(RIGHT(B67,LEN(B67)-FIND("],",B67)-1),"none")</f>
        <v>none</v>
      </c>
      <c r="N67" s="48" t="str">
        <f>IFERROR(LEFT(M67,FIND("],",M67)+#REF!),M67)</f>
        <v>none</v>
      </c>
      <c r="O67" s="63" t="e">
        <f t="shared" ref="O67:O131" si="21">FIND("effect:",N67)+7</f>
        <v>#VALUE!</v>
      </c>
      <c r="P67" s="63">
        <f t="shared" ref="P67:P131" si="22">IFERROR(FIND(",",N67),LEN(N67))</f>
        <v>4</v>
      </c>
      <c r="Q67" s="63" t="e">
        <f t="shared" ref="Q67:Q131" si="23">FIND("target:",N67)+7</f>
        <v>#VALUE!</v>
      </c>
      <c r="R67" s="63" t="e">
        <f t="shared" ref="R67:R131" si="24">FIND(",",N67,P67+1)</f>
        <v>#VALUE!</v>
      </c>
      <c r="S67" s="63" t="str">
        <f>IFERROR(VLOOKUP(MID(N67,Q67,R67-Q67),[5]skilldef!$C:$D,2,FALSE),"-") &amp; " / " &amp; IFERROR(VLOOKUP(MID(N67,O67,P67-O67),[5]skilldef!$A:$B,2,FALSE),"-")</f>
        <v>- / -</v>
      </c>
      <c r="T67" s="48" t="str">
        <f t="shared" ref="T67:T131" si="25">IFERROR(RIGHT(M67,LEN(M67)-FIND("],",M67)-1),"none")</f>
        <v>none</v>
      </c>
      <c r="U67" s="63" t="e">
        <f t="shared" ref="U67:U131" si="26">FIND("effect:",T67)+7</f>
        <v>#VALUE!</v>
      </c>
      <c r="V67" s="63">
        <f t="shared" ref="V67:V131" si="27">IFERROR(FIND(",",T67),LEN(T67))</f>
        <v>4</v>
      </c>
      <c r="W67" s="63" t="e">
        <f t="shared" ref="W67:W131" si="28">FIND("target:",T67)+7</f>
        <v>#VALUE!</v>
      </c>
      <c r="X67" s="63" t="e">
        <f t="shared" ref="X67:X131" si="29">FIND(",",T67,V67+1)</f>
        <v>#VALUE!</v>
      </c>
      <c r="Y67" s="63" t="str">
        <f>IFERROR(VLOOKUP(MID(T67,W67,X67-W67),[5]skilldef!$C:$D,2,FALSE),"-") &amp; " / " &amp; IFERROR(VLOOKUP(MID(T67,U67,V67-U67),[5]skilldef!$A:$B,2,FALSE),"-")</f>
        <v>- / -</v>
      </c>
      <c r="Z67" s="50" t="s">
        <v>230</v>
      </c>
      <c r="AA67" s="52"/>
      <c r="AB67" s="50"/>
    </row>
    <row r="68" spans="1:28" ht="21" customHeight="1" x14ac:dyDescent="0.15">
      <c r="A68" s="108">
        <v>41006067</v>
      </c>
      <c r="B68" s="47" t="s">
        <v>240</v>
      </c>
      <c r="C68" s="50">
        <v>3</v>
      </c>
      <c r="D68" s="50" t="s">
        <v>197</v>
      </c>
      <c r="E68" s="51" t="s">
        <v>241</v>
      </c>
      <c r="F68" s="51" t="s">
        <v>394</v>
      </c>
      <c r="G68" s="63" t="str">
        <f t="shared" si="15"/>
        <v>[effect:break_attack, val:0.07, lowest_val:1, count:8, block:block_heart, target:unit_all]</v>
      </c>
      <c r="H68" s="63">
        <f t="shared" si="16"/>
        <v>9</v>
      </c>
      <c r="I68" s="63">
        <f t="shared" si="17"/>
        <v>21</v>
      </c>
      <c r="J68" s="63">
        <f t="shared" si="18"/>
        <v>82</v>
      </c>
      <c r="K68" s="63">
        <f t="shared" si="19"/>
        <v>31</v>
      </c>
      <c r="L68" s="63" t="str">
        <f>IFERROR(VLOOKUP(MID(G68,J68,K68-J68),[5]skilldef!$C:$D,2,FALSE),"-") &amp; " / " &amp; IFERROR(VLOOKUP(MID(G68,H68,I68-H68),[5]skilldef!$A:$B,2,FALSE),"-")</f>
        <v>- / -</v>
      </c>
      <c r="M68" s="63" t="str">
        <f t="shared" si="20"/>
        <v>none</v>
      </c>
      <c r="N68" s="48" t="str">
        <f>IFERROR(LEFT(M68,FIND("],",M68)+#REF!),M68)</f>
        <v>none</v>
      </c>
      <c r="O68" s="63" t="e">
        <f t="shared" si="21"/>
        <v>#VALUE!</v>
      </c>
      <c r="P68" s="63">
        <f t="shared" si="22"/>
        <v>4</v>
      </c>
      <c r="Q68" s="63" t="e">
        <f t="shared" si="23"/>
        <v>#VALUE!</v>
      </c>
      <c r="R68" s="63" t="e">
        <f t="shared" si="24"/>
        <v>#VALUE!</v>
      </c>
      <c r="S68" s="63" t="str">
        <f>IFERROR(VLOOKUP(MID(N68,Q68,R68-Q68),[5]skilldef!$C:$D,2,FALSE),"-") &amp; " / " &amp; IFERROR(VLOOKUP(MID(N68,O68,P68-O68),[5]skilldef!$A:$B,2,FALSE),"-")</f>
        <v>- / -</v>
      </c>
      <c r="T68" s="48" t="str">
        <f t="shared" si="25"/>
        <v>none</v>
      </c>
      <c r="U68" s="63" t="e">
        <f t="shared" si="26"/>
        <v>#VALUE!</v>
      </c>
      <c r="V68" s="63">
        <f t="shared" si="27"/>
        <v>4</v>
      </c>
      <c r="W68" s="63" t="e">
        <f t="shared" si="28"/>
        <v>#VALUE!</v>
      </c>
      <c r="X68" s="63" t="e">
        <f t="shared" si="29"/>
        <v>#VALUE!</v>
      </c>
      <c r="Y68" s="63" t="str">
        <f>IFERROR(VLOOKUP(MID(T68,W68,X68-W68),[5]skilldef!$C:$D,2,FALSE),"-") &amp; " / " &amp; IFERROR(VLOOKUP(MID(T68,U68,V68-U68),[5]skilldef!$A:$B,2,FALSE),"-")</f>
        <v>- / -</v>
      </c>
      <c r="Z68" s="50" t="s">
        <v>230</v>
      </c>
      <c r="AA68" s="52"/>
      <c r="AB68" s="50"/>
    </row>
    <row r="69" spans="1:28" ht="21" customHeight="1" x14ac:dyDescent="0.15">
      <c r="A69" s="108">
        <v>41006068</v>
      </c>
      <c r="B69" s="47" t="s">
        <v>335</v>
      </c>
      <c r="C69" s="50">
        <v>3</v>
      </c>
      <c r="D69" s="50" t="s">
        <v>197</v>
      </c>
      <c r="E69" s="51" t="s">
        <v>480</v>
      </c>
      <c r="F69" s="51" t="s">
        <v>426</v>
      </c>
      <c r="G69" s="63" t="str">
        <f t="shared" si="15"/>
        <v>[effect:tolerance, target:myself, turn:-1, tolerance_effect:all, count:-1, animation:enemy_tolerance]</v>
      </c>
      <c r="H69" s="63">
        <f t="shared" si="16"/>
        <v>9</v>
      </c>
      <c r="I69" s="63">
        <f t="shared" si="17"/>
        <v>18</v>
      </c>
      <c r="J69" s="63">
        <f t="shared" si="18"/>
        <v>27</v>
      </c>
      <c r="K69" s="63">
        <f t="shared" si="19"/>
        <v>33</v>
      </c>
      <c r="L69" s="63" t="str">
        <f>IFERROR(VLOOKUP(MID(G69,J69,K69-J69),[5]skilldef!$C:$D,2,FALSE),"-") &amp; " / " &amp; IFERROR(VLOOKUP(MID(G69,H69,I69-H69),[5]skilldef!$A:$B,2,FALSE),"-")</f>
        <v>自分自身に / 状態異常耐性</v>
      </c>
      <c r="M69" s="63" t="str">
        <f t="shared" si="20"/>
        <v>[effect:fix_speed,target:myself,turn:2]</v>
      </c>
      <c r="N69" s="48" t="str">
        <f>IFERROR(LEFT(M69,FIND("],",M69)+#REF!),M69)</f>
        <v>[effect:fix_speed,target:myself,turn:2]</v>
      </c>
      <c r="O69" s="63">
        <f t="shared" si="21"/>
        <v>9</v>
      </c>
      <c r="P69" s="63">
        <f t="shared" si="22"/>
        <v>18</v>
      </c>
      <c r="Q69" s="63">
        <f t="shared" si="23"/>
        <v>26</v>
      </c>
      <c r="R69" s="63">
        <f t="shared" si="24"/>
        <v>32</v>
      </c>
      <c r="S69" s="63" t="str">
        <f>IFERROR(VLOOKUP(MID(N69,Q69,R69-Q69),[5]skilldef!$C:$D,2,FALSE),"-") &amp; " / " &amp; IFERROR(VLOOKUP(MID(N69,O69,P69-O69),[5]skilldef!$A:$B,2,FALSE),"-")</f>
        <v>自分自身に / 行動値設定</v>
      </c>
      <c r="T69" s="48" t="str">
        <f t="shared" si="25"/>
        <v>none</v>
      </c>
      <c r="U69" s="63" t="e">
        <f t="shared" si="26"/>
        <v>#VALUE!</v>
      </c>
      <c r="V69" s="63">
        <f t="shared" si="27"/>
        <v>4</v>
      </c>
      <c r="W69" s="63" t="e">
        <f t="shared" si="28"/>
        <v>#VALUE!</v>
      </c>
      <c r="X69" s="63" t="e">
        <f t="shared" si="29"/>
        <v>#VALUE!</v>
      </c>
      <c r="Y69" s="63" t="str">
        <f>IFERROR(VLOOKUP(MID(T69,W69,X69-W69),[5]skilldef!$C:$D,2,FALSE),"-") &amp; " / " &amp; IFERROR(VLOOKUP(MID(T69,U69,V69-U69),[5]skilldef!$A:$B,2,FALSE),"-")</f>
        <v>- / -</v>
      </c>
      <c r="Z69" s="50" t="s">
        <v>230</v>
      </c>
      <c r="AA69" s="52"/>
      <c r="AB69" s="50"/>
    </row>
    <row r="70" spans="1:28" ht="21" customHeight="1" x14ac:dyDescent="0.15">
      <c r="A70" s="108">
        <v>41006069</v>
      </c>
      <c r="B70" s="47" t="s">
        <v>416</v>
      </c>
      <c r="C70" s="50">
        <v>3</v>
      </c>
      <c r="D70" s="50" t="s">
        <v>197</v>
      </c>
      <c r="E70" s="51" t="s">
        <v>414</v>
      </c>
      <c r="F70" s="51" t="s">
        <v>415</v>
      </c>
      <c r="G70" s="63" t="str">
        <f t="shared" si="15"/>
        <v>[effect:damage_fix_absolute, target:unit_all, val:50000]</v>
      </c>
      <c r="H70" s="63">
        <f t="shared" si="16"/>
        <v>9</v>
      </c>
      <c r="I70" s="63">
        <f t="shared" si="17"/>
        <v>28</v>
      </c>
      <c r="J70" s="63">
        <f t="shared" si="18"/>
        <v>37</v>
      </c>
      <c r="K70" s="63">
        <f t="shared" si="19"/>
        <v>45</v>
      </c>
      <c r="L70" s="63" t="str">
        <f>IFERROR(VLOOKUP(MID(G70,J70,K70-J70),[5]skilldef!$C:$D,2,FALSE),"-") &amp; " / " &amp; IFERROR(VLOOKUP(MID(G70,H70,I70-H70),[5]skilldef!$A:$B,2,FALSE),"-")</f>
        <v>味方全体に / -</v>
      </c>
      <c r="M70" s="63" t="str">
        <f t="shared" si="20"/>
        <v>none</v>
      </c>
      <c r="N70" s="48" t="str">
        <f>IFERROR(LEFT(M70,FIND("],",M70)+#REF!),M70)</f>
        <v>none</v>
      </c>
      <c r="O70" s="63" t="e">
        <f t="shared" si="21"/>
        <v>#VALUE!</v>
      </c>
      <c r="P70" s="63">
        <f t="shared" si="22"/>
        <v>4</v>
      </c>
      <c r="Q70" s="63" t="e">
        <f t="shared" si="23"/>
        <v>#VALUE!</v>
      </c>
      <c r="R70" s="63" t="e">
        <f t="shared" si="24"/>
        <v>#VALUE!</v>
      </c>
      <c r="S70" s="63" t="str">
        <f>IFERROR(VLOOKUP(MID(N70,Q70,R70-Q70),[5]skilldef!$C:$D,2,FALSE),"-") &amp; " / " &amp; IFERROR(VLOOKUP(MID(N70,O70,P70-O70),[5]skilldef!$A:$B,2,FALSE),"-")</f>
        <v>- / -</v>
      </c>
      <c r="T70" s="48" t="str">
        <f t="shared" si="25"/>
        <v>none</v>
      </c>
      <c r="U70" s="63" t="e">
        <f t="shared" si="26"/>
        <v>#VALUE!</v>
      </c>
      <c r="V70" s="63">
        <f t="shared" si="27"/>
        <v>4</v>
      </c>
      <c r="W70" s="63" t="e">
        <f t="shared" si="28"/>
        <v>#VALUE!</v>
      </c>
      <c r="X70" s="63" t="e">
        <f t="shared" si="29"/>
        <v>#VALUE!</v>
      </c>
      <c r="Y70" s="63" t="str">
        <f>IFERROR(VLOOKUP(MID(T70,W70,X70-W70),[5]skilldef!$C:$D,2,FALSE),"-") &amp; " / " &amp; IFERROR(VLOOKUP(MID(T70,U70,V70-U70),[5]skilldef!$A:$B,2,FALSE),"-")</f>
        <v>- / -</v>
      </c>
      <c r="Z70" s="50" t="s">
        <v>230</v>
      </c>
      <c r="AA70" s="52"/>
      <c r="AB70" s="50"/>
    </row>
    <row r="71" spans="1:28" s="164" customFormat="1" ht="21" customHeight="1" x14ac:dyDescent="0.15">
      <c r="A71" s="108">
        <v>41006070</v>
      </c>
      <c r="B71" s="47" t="s">
        <v>430</v>
      </c>
      <c r="C71" s="50">
        <v>3</v>
      </c>
      <c r="D71" s="50" t="s">
        <v>197</v>
      </c>
      <c r="E71" s="51" t="s">
        <v>349</v>
      </c>
      <c r="F71" s="51" t="s">
        <v>429</v>
      </c>
      <c r="G71" s="63" t="str">
        <f t="shared" si="15"/>
        <v>[effect:freq_turn, target:myself, turn:-1, val:1, animation:enemy_freq_turn]</v>
      </c>
      <c r="H71" s="63">
        <f t="shared" si="16"/>
        <v>9</v>
      </c>
      <c r="I71" s="63">
        <f t="shared" si="17"/>
        <v>18</v>
      </c>
      <c r="J71" s="63">
        <f t="shared" si="18"/>
        <v>27</v>
      </c>
      <c r="K71" s="63">
        <f t="shared" si="19"/>
        <v>33</v>
      </c>
      <c r="L71" s="63" t="str">
        <f>IFERROR(VLOOKUP(MID(G71,J71,K71-J71),[5]skilldef!$C:$D,2,FALSE),"-") &amp; " / " &amp; IFERROR(VLOOKUP(MID(G71,H71,I71-H71),[5]skilldef!$A:$B,2,FALSE),"-")</f>
        <v>自分自身に / 攻撃頻度がUP</v>
      </c>
      <c r="M71" s="63" t="str">
        <f t="shared" si="20"/>
        <v>none</v>
      </c>
      <c r="N71" s="48" t="str">
        <f>IFERROR(LEFT(M71,FIND("],",M71)+#REF!),M71)</f>
        <v>none</v>
      </c>
      <c r="O71" s="63" t="e">
        <f t="shared" si="21"/>
        <v>#VALUE!</v>
      </c>
      <c r="P71" s="63">
        <f t="shared" si="22"/>
        <v>4</v>
      </c>
      <c r="Q71" s="63" t="e">
        <f t="shared" si="23"/>
        <v>#VALUE!</v>
      </c>
      <c r="R71" s="63" t="e">
        <f t="shared" si="24"/>
        <v>#VALUE!</v>
      </c>
      <c r="S71" s="63" t="str">
        <f>IFERROR(VLOOKUP(MID(N71,Q71,R71-Q71),[5]skilldef!$C:$D,2,FALSE),"-") &amp; " / " &amp; IFERROR(VLOOKUP(MID(N71,O71,P71-O71),[5]skilldef!$A:$B,2,FALSE),"-")</f>
        <v>- / -</v>
      </c>
      <c r="T71" s="48" t="str">
        <f t="shared" si="25"/>
        <v>none</v>
      </c>
      <c r="U71" s="63" t="e">
        <f t="shared" si="26"/>
        <v>#VALUE!</v>
      </c>
      <c r="V71" s="63">
        <f t="shared" si="27"/>
        <v>4</v>
      </c>
      <c r="W71" s="63" t="e">
        <f t="shared" si="28"/>
        <v>#VALUE!</v>
      </c>
      <c r="X71" s="63" t="e">
        <f t="shared" si="29"/>
        <v>#VALUE!</v>
      </c>
      <c r="Y71" s="63" t="str">
        <f>IFERROR(VLOOKUP(MID(T71,W71,X71-W71),[5]skilldef!$C:$D,2,FALSE),"-") &amp; " / " &amp; IFERROR(VLOOKUP(MID(T71,U71,V71-U71),[5]skilldef!$A:$B,2,FALSE),"-")</f>
        <v>- / -</v>
      </c>
      <c r="Z71" s="50" t="s">
        <v>230</v>
      </c>
      <c r="AA71" s="52"/>
      <c r="AB71" s="50"/>
    </row>
    <row r="72" spans="1:28" ht="21" customHeight="1" x14ac:dyDescent="0.15">
      <c r="A72" s="108">
        <v>41006071</v>
      </c>
      <c r="B72" s="47" t="s">
        <v>438</v>
      </c>
      <c r="C72" s="50">
        <v>3</v>
      </c>
      <c r="D72" s="50" t="s">
        <v>197</v>
      </c>
      <c r="E72" s="51" t="s">
        <v>437</v>
      </c>
      <c r="F72" s="51" t="s">
        <v>439</v>
      </c>
      <c r="G72" s="63" t="str">
        <f t="shared" si="15"/>
        <v>[effect:damage_anti_color, target:unit_all, color:blue, val1:0.25, val2:1.0]</v>
      </c>
      <c r="H72" s="63">
        <f t="shared" si="16"/>
        <v>9</v>
      </c>
      <c r="I72" s="63">
        <f t="shared" si="17"/>
        <v>26</v>
      </c>
      <c r="J72" s="63">
        <f t="shared" si="18"/>
        <v>35</v>
      </c>
      <c r="K72" s="63">
        <f t="shared" si="19"/>
        <v>43</v>
      </c>
      <c r="L72" s="63" t="str">
        <f>IFERROR(VLOOKUP(MID(G72,J72,K72-J72),[5]skilldef!$C:$D,2,FALSE),"-") &amp; " / " &amp; IFERROR(VLOOKUP(MID(G72,H72,I72-H72),[5]skilldef!$A:$B,2,FALSE),"-")</f>
        <v>味方全体に / 属性キラー</v>
      </c>
      <c r="M72" s="63" t="str">
        <f t="shared" si="20"/>
        <v>none</v>
      </c>
      <c r="N72" s="48" t="str">
        <f>IFERROR(LEFT(M72,FIND("],",M72)+#REF!),M72)</f>
        <v>none</v>
      </c>
      <c r="O72" s="63" t="e">
        <f t="shared" si="21"/>
        <v>#VALUE!</v>
      </c>
      <c r="P72" s="63">
        <f t="shared" si="22"/>
        <v>4</v>
      </c>
      <c r="Q72" s="63" t="e">
        <f t="shared" si="23"/>
        <v>#VALUE!</v>
      </c>
      <c r="R72" s="63" t="e">
        <f t="shared" si="24"/>
        <v>#VALUE!</v>
      </c>
      <c r="S72" s="63" t="str">
        <f>IFERROR(VLOOKUP(MID(N72,Q72,R72-Q72),[5]skilldef!$C:$D,2,FALSE),"-") &amp; " / " &amp; IFERROR(VLOOKUP(MID(N72,O72,P72-O72),[5]skilldef!$A:$B,2,FALSE),"-")</f>
        <v>- / -</v>
      </c>
      <c r="T72" s="48" t="str">
        <f t="shared" si="25"/>
        <v>none</v>
      </c>
      <c r="U72" s="63" t="e">
        <f t="shared" si="26"/>
        <v>#VALUE!</v>
      </c>
      <c r="V72" s="63">
        <f t="shared" si="27"/>
        <v>4</v>
      </c>
      <c r="W72" s="63" t="e">
        <f t="shared" si="28"/>
        <v>#VALUE!</v>
      </c>
      <c r="X72" s="63" t="e">
        <f t="shared" si="29"/>
        <v>#VALUE!</v>
      </c>
      <c r="Y72" s="63" t="str">
        <f>IFERROR(VLOOKUP(MID(T72,W72,X72-W72),[5]skilldef!$C:$D,2,FALSE),"-") &amp; " / " &amp; IFERROR(VLOOKUP(MID(T72,U72,V72-U72),[5]skilldef!$A:$B,2,FALSE),"-")</f>
        <v>- / -</v>
      </c>
      <c r="Z72" s="50" t="s">
        <v>230</v>
      </c>
      <c r="AA72" s="52"/>
      <c r="AB72" s="50"/>
    </row>
    <row r="73" spans="1:28" s="165" customFormat="1" ht="21" customHeight="1" x14ac:dyDescent="0.15">
      <c r="A73" s="108">
        <v>41006072</v>
      </c>
      <c r="B73" s="108" t="s">
        <v>488</v>
      </c>
      <c r="C73" s="109">
        <v>3</v>
      </c>
      <c r="D73" s="109" t="s">
        <v>355</v>
      </c>
      <c r="E73" s="161" t="s">
        <v>442</v>
      </c>
      <c r="F73" s="161" t="s">
        <v>491</v>
      </c>
      <c r="G73" s="63" t="str">
        <f t="shared" si="15"/>
        <v>[effect:enemy_message, val1:1.4, val2:2.2]</v>
      </c>
      <c r="H73" s="63">
        <f t="shared" si="16"/>
        <v>9</v>
      </c>
      <c r="I73" s="63">
        <f t="shared" si="17"/>
        <v>22</v>
      </c>
      <c r="J73" s="63" t="e">
        <f t="shared" si="18"/>
        <v>#VALUE!</v>
      </c>
      <c r="K73" s="63">
        <f t="shared" si="19"/>
        <v>32</v>
      </c>
      <c r="L73" s="63" t="str">
        <f>IFERROR(VLOOKUP(MID(G73,J73,K73-J73),[5]skilldef!$C:$D,2,FALSE),"-") &amp; " / " &amp; IFERROR(VLOOKUP(MID(G73,H73,I73-H73),[5]skilldef!$A:$B,2,FALSE),"-")</f>
        <v>- / -</v>
      </c>
      <c r="M73" s="63" t="str">
        <f t="shared" si="20"/>
        <v>[effect:nothing]</v>
      </c>
      <c r="N73" s="48" t="str">
        <f>IFERROR(LEFT(M73,FIND("],",M73)+#REF!),M73)</f>
        <v>[effect:nothing]</v>
      </c>
      <c r="O73" s="63">
        <f t="shared" si="21"/>
        <v>9</v>
      </c>
      <c r="P73" s="63">
        <f t="shared" si="22"/>
        <v>16</v>
      </c>
      <c r="Q73" s="63" t="e">
        <f t="shared" si="23"/>
        <v>#VALUE!</v>
      </c>
      <c r="R73" s="63" t="e">
        <f t="shared" si="24"/>
        <v>#VALUE!</v>
      </c>
      <c r="S73" s="63" t="str">
        <f>IFERROR(VLOOKUP(MID(N73,Q73,R73-Q73),[5]skilldef!$C:$D,2,FALSE),"-") &amp; " / " &amp; IFERROR(VLOOKUP(MID(N73,O73,P73-O73),[5]skilldef!$A:$B,2,FALSE),"-")</f>
        <v>- / 何もしない</v>
      </c>
      <c r="T73" s="48" t="str">
        <f t="shared" si="25"/>
        <v>none</v>
      </c>
      <c r="U73" s="63" t="e">
        <f t="shared" si="26"/>
        <v>#VALUE!</v>
      </c>
      <c r="V73" s="63">
        <f t="shared" si="27"/>
        <v>4</v>
      </c>
      <c r="W73" s="63" t="e">
        <f t="shared" si="28"/>
        <v>#VALUE!</v>
      </c>
      <c r="X73" s="63" t="e">
        <f t="shared" si="29"/>
        <v>#VALUE!</v>
      </c>
      <c r="Y73" s="63" t="str">
        <f>IFERROR(VLOOKUP(MID(T73,W73,X73-W73),[5]skilldef!$C:$D,2,FALSE),"-") &amp; " / " &amp; IFERROR(VLOOKUP(MID(T73,U73,V73-U73),[5]skilldef!$A:$B,2,FALSE),"-")</f>
        <v>- / -</v>
      </c>
      <c r="Z73" s="50" t="s">
        <v>230</v>
      </c>
      <c r="AA73" s="52"/>
      <c r="AB73" s="50"/>
    </row>
    <row r="74" spans="1:28" ht="21" customHeight="1" x14ac:dyDescent="0.15">
      <c r="A74" s="108">
        <v>41006073</v>
      </c>
      <c r="B74" s="108" t="s">
        <v>488</v>
      </c>
      <c r="C74" s="109">
        <v>3</v>
      </c>
      <c r="D74" s="109" t="s">
        <v>355</v>
      </c>
      <c r="E74" s="161" t="s">
        <v>442</v>
      </c>
      <c r="F74" s="161" t="s">
        <v>491</v>
      </c>
      <c r="G74" s="63" t="str">
        <f t="shared" si="15"/>
        <v>[effect:enemy_message, val1:1.4, val2:2.2]</v>
      </c>
      <c r="H74" s="63">
        <f t="shared" si="16"/>
        <v>9</v>
      </c>
      <c r="I74" s="63">
        <f t="shared" si="17"/>
        <v>22</v>
      </c>
      <c r="J74" s="63" t="e">
        <f t="shared" si="18"/>
        <v>#VALUE!</v>
      </c>
      <c r="K74" s="63">
        <f t="shared" si="19"/>
        <v>32</v>
      </c>
      <c r="L74" s="63" t="str">
        <f>IFERROR(VLOOKUP(MID(G74,J74,K74-J74),[5]skilldef!$C:$D,2,FALSE),"-") &amp; " / " &amp; IFERROR(VLOOKUP(MID(G74,H74,I74-H74),[5]skilldef!$A:$B,2,FALSE),"-")</f>
        <v>- / -</v>
      </c>
      <c r="M74" s="63" t="str">
        <f t="shared" si="20"/>
        <v>[effect:nothing]</v>
      </c>
      <c r="N74" s="48" t="str">
        <f>IFERROR(LEFT(M74,FIND("],",M74)+#REF!),M74)</f>
        <v>[effect:nothing]</v>
      </c>
      <c r="O74" s="63">
        <f t="shared" si="21"/>
        <v>9</v>
      </c>
      <c r="P74" s="63">
        <f t="shared" si="22"/>
        <v>16</v>
      </c>
      <c r="Q74" s="63" t="e">
        <f t="shared" si="23"/>
        <v>#VALUE!</v>
      </c>
      <c r="R74" s="63" t="e">
        <f t="shared" si="24"/>
        <v>#VALUE!</v>
      </c>
      <c r="S74" s="63" t="str">
        <f>IFERROR(VLOOKUP(MID(N74,Q74,R74-Q74),[5]skilldef!$C:$D,2,FALSE),"-") &amp; " / " &amp; IFERROR(VLOOKUP(MID(N74,O74,P74-O74),[5]skilldef!$A:$B,2,FALSE),"-")</f>
        <v>- / 何もしない</v>
      </c>
      <c r="T74" s="48" t="str">
        <f t="shared" si="25"/>
        <v>none</v>
      </c>
      <c r="U74" s="63" t="e">
        <f t="shared" si="26"/>
        <v>#VALUE!</v>
      </c>
      <c r="V74" s="63">
        <f t="shared" si="27"/>
        <v>4</v>
      </c>
      <c r="W74" s="63" t="e">
        <f t="shared" si="28"/>
        <v>#VALUE!</v>
      </c>
      <c r="X74" s="63" t="e">
        <f t="shared" si="29"/>
        <v>#VALUE!</v>
      </c>
      <c r="Y74" s="63" t="str">
        <f>IFERROR(VLOOKUP(MID(T74,W74,X74-W74),[5]skilldef!$C:$D,2,FALSE),"-") &amp; " / " &amp; IFERROR(VLOOKUP(MID(T74,U74,V74-U74),[5]skilldef!$A:$B,2,FALSE),"-")</f>
        <v>- / -</v>
      </c>
      <c r="Z74" s="50" t="s">
        <v>230</v>
      </c>
      <c r="AA74" s="52"/>
      <c r="AB74" s="50"/>
    </row>
    <row r="75" spans="1:28" ht="21" customHeight="1" x14ac:dyDescent="0.15">
      <c r="A75" s="108">
        <v>41006074</v>
      </c>
      <c r="B75" s="108" t="s">
        <v>488</v>
      </c>
      <c r="C75" s="109">
        <v>3</v>
      </c>
      <c r="D75" s="109" t="s">
        <v>355</v>
      </c>
      <c r="E75" s="161" t="s">
        <v>442</v>
      </c>
      <c r="F75" s="161" t="s">
        <v>491</v>
      </c>
      <c r="G75" s="63" t="str">
        <f t="shared" si="15"/>
        <v>[effect:enemy_message, val1:1.4, val2:2.2]</v>
      </c>
      <c r="H75" s="63">
        <f t="shared" si="16"/>
        <v>9</v>
      </c>
      <c r="I75" s="63">
        <f t="shared" si="17"/>
        <v>22</v>
      </c>
      <c r="J75" s="63" t="e">
        <f t="shared" si="18"/>
        <v>#VALUE!</v>
      </c>
      <c r="K75" s="63">
        <f t="shared" si="19"/>
        <v>32</v>
      </c>
      <c r="L75" s="63" t="str">
        <f>IFERROR(VLOOKUP(MID(G75,J75,K75-J75),[5]skilldef!$C:$D,2,FALSE),"-") &amp; " / " &amp; IFERROR(VLOOKUP(MID(G75,H75,I75-H75),[5]skilldef!$A:$B,2,FALSE),"-")</f>
        <v>- / -</v>
      </c>
      <c r="M75" s="63" t="str">
        <f t="shared" si="20"/>
        <v>[effect:nothing]</v>
      </c>
      <c r="N75" s="48" t="str">
        <f>IFERROR(LEFT(M75,FIND("],",M75)+#REF!),M75)</f>
        <v>[effect:nothing]</v>
      </c>
      <c r="O75" s="63">
        <f t="shared" si="21"/>
        <v>9</v>
      </c>
      <c r="P75" s="63">
        <f t="shared" si="22"/>
        <v>16</v>
      </c>
      <c r="Q75" s="63" t="e">
        <f t="shared" si="23"/>
        <v>#VALUE!</v>
      </c>
      <c r="R75" s="63" t="e">
        <f t="shared" si="24"/>
        <v>#VALUE!</v>
      </c>
      <c r="S75" s="63" t="str">
        <f>IFERROR(VLOOKUP(MID(N75,Q75,R75-Q75),[5]skilldef!$C:$D,2,FALSE),"-") &amp; " / " &amp; IFERROR(VLOOKUP(MID(N75,O75,P75-O75),[5]skilldef!$A:$B,2,FALSE),"-")</f>
        <v>- / 何もしない</v>
      </c>
      <c r="T75" s="48" t="str">
        <f t="shared" si="25"/>
        <v>none</v>
      </c>
      <c r="U75" s="63" t="e">
        <f t="shared" si="26"/>
        <v>#VALUE!</v>
      </c>
      <c r="V75" s="63">
        <f t="shared" si="27"/>
        <v>4</v>
      </c>
      <c r="W75" s="63" t="e">
        <f t="shared" si="28"/>
        <v>#VALUE!</v>
      </c>
      <c r="X75" s="63" t="e">
        <f t="shared" si="29"/>
        <v>#VALUE!</v>
      </c>
      <c r="Y75" s="63" t="str">
        <f>IFERROR(VLOOKUP(MID(T75,W75,X75-W75),[5]skilldef!$C:$D,2,FALSE),"-") &amp; " / " &amp; IFERROR(VLOOKUP(MID(T75,U75,V75-U75),[5]skilldef!$A:$B,2,FALSE),"-")</f>
        <v>- / -</v>
      </c>
      <c r="Z75" s="50" t="s">
        <v>230</v>
      </c>
      <c r="AA75" s="52"/>
      <c r="AB75" s="50"/>
    </row>
    <row r="76" spans="1:28" ht="21" customHeight="1" x14ac:dyDescent="0.15">
      <c r="A76" s="108">
        <v>41006075</v>
      </c>
      <c r="B76" s="108" t="s">
        <v>488</v>
      </c>
      <c r="C76" s="109">
        <v>3</v>
      </c>
      <c r="D76" s="109" t="s">
        <v>355</v>
      </c>
      <c r="E76" s="161" t="s">
        <v>434</v>
      </c>
      <c r="F76" s="161" t="s">
        <v>436</v>
      </c>
      <c r="G76" s="63" t="str">
        <f t="shared" si="15"/>
        <v>[effect:enemy_message, val1:1.4, val2:2.2]</v>
      </c>
      <c r="H76" s="63">
        <f t="shared" si="16"/>
        <v>9</v>
      </c>
      <c r="I76" s="63">
        <f t="shared" si="17"/>
        <v>22</v>
      </c>
      <c r="J76" s="63" t="e">
        <f t="shared" si="18"/>
        <v>#VALUE!</v>
      </c>
      <c r="K76" s="63">
        <f t="shared" si="19"/>
        <v>32</v>
      </c>
      <c r="L76" s="63" t="str">
        <f>IFERROR(VLOOKUP(MID(G76,J76,K76-J76),[5]skilldef!$C:$D,2,FALSE),"-") &amp; " / " &amp; IFERROR(VLOOKUP(MID(G76,H76,I76-H76),[5]skilldef!$A:$B,2,FALSE),"-")</f>
        <v>- / -</v>
      </c>
      <c r="M76" s="63" t="str">
        <f t="shared" si="20"/>
        <v>[effect:nothing]</v>
      </c>
      <c r="N76" s="48" t="str">
        <f>IFERROR(LEFT(M76,FIND("],",M76)+#REF!),M76)</f>
        <v>[effect:nothing]</v>
      </c>
      <c r="O76" s="63">
        <f t="shared" si="21"/>
        <v>9</v>
      </c>
      <c r="P76" s="63">
        <f t="shared" si="22"/>
        <v>16</v>
      </c>
      <c r="Q76" s="63" t="e">
        <f t="shared" si="23"/>
        <v>#VALUE!</v>
      </c>
      <c r="R76" s="63" t="e">
        <f t="shared" si="24"/>
        <v>#VALUE!</v>
      </c>
      <c r="S76" s="63" t="str">
        <f>IFERROR(VLOOKUP(MID(N76,Q76,R76-Q76),[5]skilldef!$C:$D,2,FALSE),"-") &amp; " / " &amp; IFERROR(VLOOKUP(MID(N76,O76,P76-O76),[5]skilldef!$A:$B,2,FALSE),"-")</f>
        <v>- / 何もしない</v>
      </c>
      <c r="T76" s="48" t="str">
        <f t="shared" si="25"/>
        <v>none</v>
      </c>
      <c r="U76" s="63" t="e">
        <f t="shared" si="26"/>
        <v>#VALUE!</v>
      </c>
      <c r="V76" s="63">
        <f t="shared" si="27"/>
        <v>4</v>
      </c>
      <c r="W76" s="63" t="e">
        <f t="shared" si="28"/>
        <v>#VALUE!</v>
      </c>
      <c r="X76" s="63" t="e">
        <f t="shared" si="29"/>
        <v>#VALUE!</v>
      </c>
      <c r="Y76" s="63" t="str">
        <f>IFERROR(VLOOKUP(MID(T76,W76,X76-W76),[5]skilldef!$C:$D,2,FALSE),"-") &amp; " / " &amp; IFERROR(VLOOKUP(MID(T76,U76,V76-U76),[5]skilldef!$A:$B,2,FALSE),"-")</f>
        <v>- / -</v>
      </c>
      <c r="Z76" s="50" t="s">
        <v>230</v>
      </c>
      <c r="AA76" s="52"/>
      <c r="AB76" s="50"/>
    </row>
    <row r="77" spans="1:28" ht="21" customHeight="1" x14ac:dyDescent="0.15">
      <c r="A77" s="108">
        <v>41006076</v>
      </c>
      <c r="B77" s="108" t="s">
        <v>488</v>
      </c>
      <c r="C77" s="109">
        <v>3</v>
      </c>
      <c r="D77" s="109" t="s">
        <v>355</v>
      </c>
      <c r="E77" s="161" t="s">
        <v>434</v>
      </c>
      <c r="F77" s="161" t="s">
        <v>436</v>
      </c>
      <c r="G77" s="63" t="str">
        <f t="shared" si="15"/>
        <v>[effect:enemy_message, val1:1.4, val2:2.2]</v>
      </c>
      <c r="H77" s="63">
        <f t="shared" si="16"/>
        <v>9</v>
      </c>
      <c r="I77" s="63">
        <f t="shared" si="17"/>
        <v>22</v>
      </c>
      <c r="J77" s="63" t="e">
        <f t="shared" si="18"/>
        <v>#VALUE!</v>
      </c>
      <c r="K77" s="63">
        <f t="shared" si="19"/>
        <v>32</v>
      </c>
      <c r="L77" s="63" t="str">
        <f>IFERROR(VLOOKUP(MID(G77,J77,K77-J77),[5]skilldef!$C:$D,2,FALSE),"-") &amp; " / " &amp; IFERROR(VLOOKUP(MID(G77,H77,I77-H77),[5]skilldef!$A:$B,2,FALSE),"-")</f>
        <v>- / -</v>
      </c>
      <c r="M77" s="63" t="str">
        <f t="shared" si="20"/>
        <v>[effect:nothing]</v>
      </c>
      <c r="N77" s="48" t="str">
        <f>IFERROR(LEFT(M77,FIND("],",M77)+#REF!),M77)</f>
        <v>[effect:nothing]</v>
      </c>
      <c r="O77" s="63">
        <f t="shared" si="21"/>
        <v>9</v>
      </c>
      <c r="P77" s="63">
        <f t="shared" si="22"/>
        <v>16</v>
      </c>
      <c r="Q77" s="63" t="e">
        <f t="shared" si="23"/>
        <v>#VALUE!</v>
      </c>
      <c r="R77" s="63" t="e">
        <f t="shared" si="24"/>
        <v>#VALUE!</v>
      </c>
      <c r="S77" s="63" t="str">
        <f>IFERROR(VLOOKUP(MID(N77,Q77,R77-Q77),[5]skilldef!$C:$D,2,FALSE),"-") &amp; " / " &amp; IFERROR(VLOOKUP(MID(N77,O77,P77-O77),[5]skilldef!$A:$B,2,FALSE),"-")</f>
        <v>- / 何もしない</v>
      </c>
      <c r="T77" s="48" t="str">
        <f t="shared" si="25"/>
        <v>none</v>
      </c>
      <c r="U77" s="63" t="e">
        <f t="shared" si="26"/>
        <v>#VALUE!</v>
      </c>
      <c r="V77" s="63">
        <f t="shared" si="27"/>
        <v>4</v>
      </c>
      <c r="W77" s="63" t="e">
        <f t="shared" si="28"/>
        <v>#VALUE!</v>
      </c>
      <c r="X77" s="63" t="e">
        <f t="shared" si="29"/>
        <v>#VALUE!</v>
      </c>
      <c r="Y77" s="63" t="str">
        <f>IFERROR(VLOOKUP(MID(T77,W77,X77-W77),[5]skilldef!$C:$D,2,FALSE),"-") &amp; " / " &amp; IFERROR(VLOOKUP(MID(T77,U77,V77-U77),[5]skilldef!$A:$B,2,FALSE),"-")</f>
        <v>- / -</v>
      </c>
      <c r="Z77" s="50" t="s">
        <v>230</v>
      </c>
      <c r="AA77" s="52"/>
      <c r="AB77" s="50"/>
    </row>
    <row r="78" spans="1:28" ht="21" customHeight="1" x14ac:dyDescent="0.15">
      <c r="A78" s="108">
        <v>41006077</v>
      </c>
      <c r="B78" s="108" t="s">
        <v>488</v>
      </c>
      <c r="C78" s="109">
        <v>3</v>
      </c>
      <c r="D78" s="109" t="s">
        <v>355</v>
      </c>
      <c r="E78" s="161" t="s">
        <v>434</v>
      </c>
      <c r="F78" s="161" t="s">
        <v>436</v>
      </c>
      <c r="G78" s="63" t="str">
        <f t="shared" si="15"/>
        <v>[effect:enemy_message, val1:1.4, val2:2.2]</v>
      </c>
      <c r="H78" s="63">
        <f t="shared" si="16"/>
        <v>9</v>
      </c>
      <c r="I78" s="63">
        <f t="shared" si="17"/>
        <v>22</v>
      </c>
      <c r="J78" s="63" t="e">
        <f t="shared" si="18"/>
        <v>#VALUE!</v>
      </c>
      <c r="K78" s="63">
        <f t="shared" si="19"/>
        <v>32</v>
      </c>
      <c r="L78" s="63" t="str">
        <f>IFERROR(VLOOKUP(MID(G78,J78,K78-J78),[5]skilldef!$C:$D,2,FALSE),"-") &amp; " / " &amp; IFERROR(VLOOKUP(MID(G78,H78,I78-H78),[5]skilldef!$A:$B,2,FALSE),"-")</f>
        <v>- / -</v>
      </c>
      <c r="M78" s="63" t="str">
        <f t="shared" si="20"/>
        <v>[effect:nothing]</v>
      </c>
      <c r="N78" s="48" t="str">
        <f>IFERROR(LEFT(M78,FIND("],",M78)+#REF!),M78)</f>
        <v>[effect:nothing]</v>
      </c>
      <c r="O78" s="63">
        <f t="shared" si="21"/>
        <v>9</v>
      </c>
      <c r="P78" s="63">
        <f t="shared" si="22"/>
        <v>16</v>
      </c>
      <c r="Q78" s="63" t="e">
        <f t="shared" si="23"/>
        <v>#VALUE!</v>
      </c>
      <c r="R78" s="63" t="e">
        <f t="shared" si="24"/>
        <v>#VALUE!</v>
      </c>
      <c r="S78" s="63" t="str">
        <f>IFERROR(VLOOKUP(MID(N78,Q78,R78-Q78),[5]skilldef!$C:$D,2,FALSE),"-") &amp; " / " &amp; IFERROR(VLOOKUP(MID(N78,O78,P78-O78),[5]skilldef!$A:$B,2,FALSE),"-")</f>
        <v>- / 何もしない</v>
      </c>
      <c r="T78" s="48" t="str">
        <f t="shared" si="25"/>
        <v>none</v>
      </c>
      <c r="U78" s="63" t="e">
        <f t="shared" si="26"/>
        <v>#VALUE!</v>
      </c>
      <c r="V78" s="63">
        <f t="shared" si="27"/>
        <v>4</v>
      </c>
      <c r="W78" s="63" t="e">
        <f t="shared" si="28"/>
        <v>#VALUE!</v>
      </c>
      <c r="X78" s="63" t="e">
        <f t="shared" si="29"/>
        <v>#VALUE!</v>
      </c>
      <c r="Y78" s="63" t="str">
        <f>IFERROR(VLOOKUP(MID(T78,W78,X78-W78),[5]skilldef!$C:$D,2,FALSE),"-") &amp; " / " &amp; IFERROR(VLOOKUP(MID(T78,U78,V78-U78),[5]skilldef!$A:$B,2,FALSE),"-")</f>
        <v>- / -</v>
      </c>
      <c r="Z78" s="50" t="s">
        <v>230</v>
      </c>
      <c r="AA78" s="52"/>
      <c r="AB78" s="50"/>
    </row>
    <row r="79" spans="1:28" ht="21" customHeight="1" x14ac:dyDescent="0.15">
      <c r="A79" s="108">
        <v>41006078</v>
      </c>
      <c r="B79" s="108" t="s">
        <v>488</v>
      </c>
      <c r="C79" s="109">
        <v>3</v>
      </c>
      <c r="D79" s="109" t="s">
        <v>355</v>
      </c>
      <c r="E79" s="161" t="s">
        <v>435</v>
      </c>
      <c r="F79" s="161" t="s">
        <v>444</v>
      </c>
      <c r="G79" s="63" t="str">
        <f t="shared" si="15"/>
        <v>[effect:enemy_message, val1:1.4, val2:2.2]</v>
      </c>
      <c r="H79" s="63">
        <f t="shared" si="16"/>
        <v>9</v>
      </c>
      <c r="I79" s="63">
        <f t="shared" si="17"/>
        <v>22</v>
      </c>
      <c r="J79" s="63" t="e">
        <f t="shared" si="18"/>
        <v>#VALUE!</v>
      </c>
      <c r="K79" s="63">
        <f t="shared" si="19"/>
        <v>32</v>
      </c>
      <c r="L79" s="63" t="str">
        <f>IFERROR(VLOOKUP(MID(G79,J79,K79-J79),[5]skilldef!$C:$D,2,FALSE),"-") &amp; " / " &amp; IFERROR(VLOOKUP(MID(G79,H79,I79-H79),[5]skilldef!$A:$B,2,FALSE),"-")</f>
        <v>- / -</v>
      </c>
      <c r="M79" s="63" t="str">
        <f t="shared" si="20"/>
        <v>[effect:nothing]</v>
      </c>
      <c r="N79" s="48" t="str">
        <f>IFERROR(LEFT(M79,FIND("],",M79)+#REF!),M79)</f>
        <v>[effect:nothing]</v>
      </c>
      <c r="O79" s="63">
        <f t="shared" si="21"/>
        <v>9</v>
      </c>
      <c r="P79" s="63">
        <f t="shared" si="22"/>
        <v>16</v>
      </c>
      <c r="Q79" s="63" t="e">
        <f t="shared" si="23"/>
        <v>#VALUE!</v>
      </c>
      <c r="R79" s="63" t="e">
        <f t="shared" si="24"/>
        <v>#VALUE!</v>
      </c>
      <c r="S79" s="63" t="str">
        <f>IFERROR(VLOOKUP(MID(N79,Q79,R79-Q79),[5]skilldef!$C:$D,2,FALSE),"-") &amp; " / " &amp; IFERROR(VLOOKUP(MID(N79,O79,P79-O79),[5]skilldef!$A:$B,2,FALSE),"-")</f>
        <v>- / 何もしない</v>
      </c>
      <c r="T79" s="48" t="str">
        <f t="shared" si="25"/>
        <v>none</v>
      </c>
      <c r="U79" s="63" t="e">
        <f t="shared" si="26"/>
        <v>#VALUE!</v>
      </c>
      <c r="V79" s="63">
        <f t="shared" si="27"/>
        <v>4</v>
      </c>
      <c r="W79" s="63" t="e">
        <f t="shared" si="28"/>
        <v>#VALUE!</v>
      </c>
      <c r="X79" s="63" t="e">
        <f t="shared" si="29"/>
        <v>#VALUE!</v>
      </c>
      <c r="Y79" s="63" t="str">
        <f>IFERROR(VLOOKUP(MID(T79,W79,X79-W79),[5]skilldef!$C:$D,2,FALSE),"-") &amp; " / " &amp; IFERROR(VLOOKUP(MID(T79,U79,V79-U79),[5]skilldef!$A:$B,2,FALSE),"-")</f>
        <v>- / -</v>
      </c>
      <c r="Z79" s="50" t="s">
        <v>230</v>
      </c>
      <c r="AA79" s="52"/>
      <c r="AB79" s="50"/>
    </row>
    <row r="80" spans="1:28" ht="21" customHeight="1" x14ac:dyDescent="0.15">
      <c r="A80" s="108">
        <v>41006079</v>
      </c>
      <c r="B80" s="108" t="s">
        <v>488</v>
      </c>
      <c r="C80" s="109">
        <v>3</v>
      </c>
      <c r="D80" s="109" t="s">
        <v>355</v>
      </c>
      <c r="E80" s="161" t="s">
        <v>435</v>
      </c>
      <c r="F80" s="161" t="s">
        <v>444</v>
      </c>
      <c r="G80" s="63" t="str">
        <f t="shared" si="15"/>
        <v>[effect:enemy_message, val1:1.4, val2:2.2]</v>
      </c>
      <c r="H80" s="63">
        <f t="shared" si="16"/>
        <v>9</v>
      </c>
      <c r="I80" s="63">
        <f t="shared" si="17"/>
        <v>22</v>
      </c>
      <c r="J80" s="63" t="e">
        <f t="shared" si="18"/>
        <v>#VALUE!</v>
      </c>
      <c r="K80" s="63">
        <f t="shared" si="19"/>
        <v>32</v>
      </c>
      <c r="L80" s="63" t="str">
        <f>IFERROR(VLOOKUP(MID(G80,J80,K80-J80),[5]skilldef!$C:$D,2,FALSE),"-") &amp; " / " &amp; IFERROR(VLOOKUP(MID(G80,H80,I80-H80),[5]skilldef!$A:$B,2,FALSE),"-")</f>
        <v>- / -</v>
      </c>
      <c r="M80" s="63" t="str">
        <f t="shared" si="20"/>
        <v>[effect:nothing]</v>
      </c>
      <c r="N80" s="48" t="str">
        <f>IFERROR(LEFT(M80,FIND("],",M80)+#REF!),M80)</f>
        <v>[effect:nothing]</v>
      </c>
      <c r="O80" s="63">
        <f t="shared" si="21"/>
        <v>9</v>
      </c>
      <c r="P80" s="63">
        <f t="shared" si="22"/>
        <v>16</v>
      </c>
      <c r="Q80" s="63" t="e">
        <f t="shared" si="23"/>
        <v>#VALUE!</v>
      </c>
      <c r="R80" s="63" t="e">
        <f t="shared" si="24"/>
        <v>#VALUE!</v>
      </c>
      <c r="S80" s="63" t="str">
        <f>IFERROR(VLOOKUP(MID(N80,Q80,R80-Q80),[5]skilldef!$C:$D,2,FALSE),"-") &amp; " / " &amp; IFERROR(VLOOKUP(MID(N80,O80,P80-O80),[5]skilldef!$A:$B,2,FALSE),"-")</f>
        <v>- / 何もしない</v>
      </c>
      <c r="T80" s="48" t="str">
        <f t="shared" si="25"/>
        <v>none</v>
      </c>
      <c r="U80" s="63" t="e">
        <f t="shared" si="26"/>
        <v>#VALUE!</v>
      </c>
      <c r="V80" s="63">
        <f t="shared" si="27"/>
        <v>4</v>
      </c>
      <c r="W80" s="63" t="e">
        <f t="shared" si="28"/>
        <v>#VALUE!</v>
      </c>
      <c r="X80" s="63" t="e">
        <f t="shared" si="29"/>
        <v>#VALUE!</v>
      </c>
      <c r="Y80" s="63" t="str">
        <f>IFERROR(VLOOKUP(MID(T80,W80,X80-W80),[5]skilldef!$C:$D,2,FALSE),"-") &amp; " / " &amp; IFERROR(VLOOKUP(MID(T80,U80,V80-U80),[5]skilldef!$A:$B,2,FALSE),"-")</f>
        <v>- / -</v>
      </c>
      <c r="Z80" s="50" t="s">
        <v>230</v>
      </c>
      <c r="AA80" s="52"/>
      <c r="AB80" s="50"/>
    </row>
    <row r="81" spans="1:28" ht="21" customHeight="1" x14ac:dyDescent="0.15">
      <c r="A81" s="108">
        <v>41006080</v>
      </c>
      <c r="B81" s="108" t="s">
        <v>488</v>
      </c>
      <c r="C81" s="109">
        <v>3</v>
      </c>
      <c r="D81" s="109" t="s">
        <v>355</v>
      </c>
      <c r="E81" s="161" t="s">
        <v>435</v>
      </c>
      <c r="F81" s="161" t="s">
        <v>444</v>
      </c>
      <c r="G81" s="63" t="str">
        <f t="shared" si="15"/>
        <v>[effect:enemy_message, val1:1.4, val2:2.2]</v>
      </c>
      <c r="H81" s="63">
        <f t="shared" si="16"/>
        <v>9</v>
      </c>
      <c r="I81" s="63">
        <f t="shared" si="17"/>
        <v>22</v>
      </c>
      <c r="J81" s="63" t="e">
        <f t="shared" si="18"/>
        <v>#VALUE!</v>
      </c>
      <c r="K81" s="63">
        <f t="shared" si="19"/>
        <v>32</v>
      </c>
      <c r="L81" s="63" t="str">
        <f>IFERROR(VLOOKUP(MID(G81,J81,K81-J81),[5]skilldef!$C:$D,2,FALSE),"-") &amp; " / " &amp; IFERROR(VLOOKUP(MID(G81,H81,I81-H81),[5]skilldef!$A:$B,2,FALSE),"-")</f>
        <v>- / -</v>
      </c>
      <c r="M81" s="63" t="str">
        <f t="shared" si="20"/>
        <v>[effect:nothing]</v>
      </c>
      <c r="N81" s="48" t="str">
        <f>IFERROR(LEFT(M81,FIND("],",M81)+#REF!),M81)</f>
        <v>[effect:nothing]</v>
      </c>
      <c r="O81" s="63">
        <f t="shared" si="21"/>
        <v>9</v>
      </c>
      <c r="P81" s="63">
        <f t="shared" si="22"/>
        <v>16</v>
      </c>
      <c r="Q81" s="63" t="e">
        <f t="shared" si="23"/>
        <v>#VALUE!</v>
      </c>
      <c r="R81" s="63" t="e">
        <f t="shared" si="24"/>
        <v>#VALUE!</v>
      </c>
      <c r="S81" s="63" t="str">
        <f>IFERROR(VLOOKUP(MID(N81,Q81,R81-Q81),[5]skilldef!$C:$D,2,FALSE),"-") &amp; " / " &amp; IFERROR(VLOOKUP(MID(N81,O81,P81-O81),[5]skilldef!$A:$B,2,FALSE),"-")</f>
        <v>- / 何もしない</v>
      </c>
      <c r="T81" s="48" t="str">
        <f t="shared" si="25"/>
        <v>none</v>
      </c>
      <c r="U81" s="63" t="e">
        <f t="shared" si="26"/>
        <v>#VALUE!</v>
      </c>
      <c r="V81" s="63">
        <f t="shared" si="27"/>
        <v>4</v>
      </c>
      <c r="W81" s="63" t="e">
        <f t="shared" si="28"/>
        <v>#VALUE!</v>
      </c>
      <c r="X81" s="63" t="e">
        <f t="shared" si="29"/>
        <v>#VALUE!</v>
      </c>
      <c r="Y81" s="63" t="str">
        <f>IFERROR(VLOOKUP(MID(T81,W81,X81-W81),[5]skilldef!$C:$D,2,FALSE),"-") &amp; " / " &amp; IFERROR(VLOOKUP(MID(T81,U81,V81-U81),[5]skilldef!$A:$B,2,FALSE),"-")</f>
        <v>- / -</v>
      </c>
      <c r="Z81" s="50" t="s">
        <v>230</v>
      </c>
      <c r="AA81" s="52"/>
      <c r="AB81" s="50"/>
    </row>
    <row r="82" spans="1:28" ht="21" customHeight="1" x14ac:dyDescent="0.15">
      <c r="A82" s="108">
        <v>41006081</v>
      </c>
      <c r="B82" s="108" t="s">
        <v>488</v>
      </c>
      <c r="C82" s="109">
        <v>3</v>
      </c>
      <c r="D82" s="109" t="s">
        <v>355</v>
      </c>
      <c r="E82" s="161" t="s">
        <v>440</v>
      </c>
      <c r="F82" s="161" t="s">
        <v>441</v>
      </c>
      <c r="G82" s="63" t="str">
        <f t="shared" si="15"/>
        <v>[effect:enemy_message, val1:1.4, val2:2.2]</v>
      </c>
      <c r="H82" s="63">
        <f t="shared" si="16"/>
        <v>9</v>
      </c>
      <c r="I82" s="63">
        <f t="shared" si="17"/>
        <v>22</v>
      </c>
      <c r="J82" s="63" t="e">
        <f t="shared" si="18"/>
        <v>#VALUE!</v>
      </c>
      <c r="K82" s="63">
        <f t="shared" si="19"/>
        <v>32</v>
      </c>
      <c r="L82" s="63" t="str">
        <f>IFERROR(VLOOKUP(MID(G82,J82,K82-J82),[5]skilldef!$C:$D,2,FALSE),"-") &amp; " / " &amp; IFERROR(VLOOKUP(MID(G82,H82,I82-H82),[5]skilldef!$A:$B,2,FALSE),"-")</f>
        <v>- / -</v>
      </c>
      <c r="M82" s="63" t="str">
        <f t="shared" si="20"/>
        <v>[effect:nothing]</v>
      </c>
      <c r="N82" s="48" t="str">
        <f>IFERROR(LEFT(M82,FIND("],",M82)+#REF!),M82)</f>
        <v>[effect:nothing]</v>
      </c>
      <c r="O82" s="63">
        <f t="shared" si="21"/>
        <v>9</v>
      </c>
      <c r="P82" s="63">
        <f t="shared" si="22"/>
        <v>16</v>
      </c>
      <c r="Q82" s="63" t="e">
        <f t="shared" si="23"/>
        <v>#VALUE!</v>
      </c>
      <c r="R82" s="63" t="e">
        <f t="shared" si="24"/>
        <v>#VALUE!</v>
      </c>
      <c r="S82" s="63" t="str">
        <f>IFERROR(VLOOKUP(MID(N82,Q82,R82-Q82),[5]skilldef!$C:$D,2,FALSE),"-") &amp; " / " &amp; IFERROR(VLOOKUP(MID(N82,O82,P82-O82),[5]skilldef!$A:$B,2,FALSE),"-")</f>
        <v>- / 何もしない</v>
      </c>
      <c r="T82" s="48" t="str">
        <f t="shared" si="25"/>
        <v>none</v>
      </c>
      <c r="U82" s="63" t="e">
        <f t="shared" si="26"/>
        <v>#VALUE!</v>
      </c>
      <c r="V82" s="63">
        <f t="shared" si="27"/>
        <v>4</v>
      </c>
      <c r="W82" s="63" t="e">
        <f t="shared" si="28"/>
        <v>#VALUE!</v>
      </c>
      <c r="X82" s="63" t="e">
        <f t="shared" si="29"/>
        <v>#VALUE!</v>
      </c>
      <c r="Y82" s="63" t="str">
        <f>IFERROR(VLOOKUP(MID(T82,W82,X82-W82),[5]skilldef!$C:$D,2,FALSE),"-") &amp; " / " &amp; IFERROR(VLOOKUP(MID(T82,U82,V82-U82),[5]skilldef!$A:$B,2,FALSE),"-")</f>
        <v>- / -</v>
      </c>
      <c r="Z82" s="50" t="s">
        <v>230</v>
      </c>
      <c r="AA82" s="52"/>
      <c r="AB82" s="50"/>
    </row>
    <row r="83" spans="1:28" ht="21" customHeight="1" x14ac:dyDescent="0.15">
      <c r="A83" s="108">
        <v>41006082</v>
      </c>
      <c r="B83" s="108" t="s">
        <v>488</v>
      </c>
      <c r="C83" s="109">
        <v>3</v>
      </c>
      <c r="D83" s="109" t="s">
        <v>355</v>
      </c>
      <c r="E83" s="161" t="s">
        <v>440</v>
      </c>
      <c r="F83" s="161" t="s">
        <v>441</v>
      </c>
      <c r="G83" s="63" t="str">
        <f t="shared" si="15"/>
        <v>[effect:enemy_message, val1:1.4, val2:2.2]</v>
      </c>
      <c r="H83" s="63">
        <f t="shared" si="16"/>
        <v>9</v>
      </c>
      <c r="I83" s="63">
        <f t="shared" si="17"/>
        <v>22</v>
      </c>
      <c r="J83" s="63" t="e">
        <f t="shared" si="18"/>
        <v>#VALUE!</v>
      </c>
      <c r="K83" s="63">
        <f t="shared" si="19"/>
        <v>32</v>
      </c>
      <c r="L83" s="63" t="str">
        <f>IFERROR(VLOOKUP(MID(G83,J83,K83-J83),[5]skilldef!$C:$D,2,FALSE),"-") &amp; " / " &amp; IFERROR(VLOOKUP(MID(G83,H83,I83-H83),[5]skilldef!$A:$B,2,FALSE),"-")</f>
        <v>- / -</v>
      </c>
      <c r="M83" s="63" t="str">
        <f t="shared" si="20"/>
        <v>[effect:nothing]</v>
      </c>
      <c r="N83" s="48" t="str">
        <f>IFERROR(LEFT(M83,FIND("],",M83)+#REF!),M83)</f>
        <v>[effect:nothing]</v>
      </c>
      <c r="O83" s="63">
        <f t="shared" si="21"/>
        <v>9</v>
      </c>
      <c r="P83" s="63">
        <f t="shared" si="22"/>
        <v>16</v>
      </c>
      <c r="Q83" s="63" t="e">
        <f t="shared" si="23"/>
        <v>#VALUE!</v>
      </c>
      <c r="R83" s="63" t="e">
        <f t="shared" si="24"/>
        <v>#VALUE!</v>
      </c>
      <c r="S83" s="63" t="str">
        <f>IFERROR(VLOOKUP(MID(N83,Q83,R83-Q83),[5]skilldef!$C:$D,2,FALSE),"-") &amp; " / " &amp; IFERROR(VLOOKUP(MID(N83,O83,P83-O83),[5]skilldef!$A:$B,2,FALSE),"-")</f>
        <v>- / 何もしない</v>
      </c>
      <c r="T83" s="48" t="str">
        <f t="shared" si="25"/>
        <v>none</v>
      </c>
      <c r="U83" s="63" t="e">
        <f t="shared" si="26"/>
        <v>#VALUE!</v>
      </c>
      <c r="V83" s="63">
        <f t="shared" si="27"/>
        <v>4</v>
      </c>
      <c r="W83" s="63" t="e">
        <f t="shared" si="28"/>
        <v>#VALUE!</v>
      </c>
      <c r="X83" s="63" t="e">
        <f t="shared" si="29"/>
        <v>#VALUE!</v>
      </c>
      <c r="Y83" s="63" t="str">
        <f>IFERROR(VLOOKUP(MID(T83,W83,X83-W83),[5]skilldef!$C:$D,2,FALSE),"-") &amp; " / " &amp; IFERROR(VLOOKUP(MID(T83,U83,V83-U83),[5]skilldef!$A:$B,2,FALSE),"-")</f>
        <v>- / -</v>
      </c>
      <c r="Z83" s="50" t="s">
        <v>230</v>
      </c>
      <c r="AA83" s="52"/>
      <c r="AB83" s="50"/>
    </row>
    <row r="84" spans="1:28" ht="21" customHeight="1" x14ac:dyDescent="0.15">
      <c r="A84" s="108">
        <v>41006083</v>
      </c>
      <c r="B84" s="108" t="s">
        <v>486</v>
      </c>
      <c r="C84" s="109">
        <v>3</v>
      </c>
      <c r="D84" s="109" t="s">
        <v>355</v>
      </c>
      <c r="E84" s="160" t="s">
        <v>446</v>
      </c>
      <c r="F84" s="160" t="s">
        <v>494</v>
      </c>
      <c r="G84" s="63" t="str">
        <f t="shared" si="15"/>
        <v>[effect:enemy_message, val1:1.4, val2:2.2]</v>
      </c>
      <c r="H84" s="63">
        <f t="shared" si="16"/>
        <v>9</v>
      </c>
      <c r="I84" s="63">
        <f t="shared" si="17"/>
        <v>22</v>
      </c>
      <c r="J84" s="63" t="e">
        <f t="shared" si="18"/>
        <v>#VALUE!</v>
      </c>
      <c r="K84" s="63">
        <f t="shared" si="19"/>
        <v>32</v>
      </c>
      <c r="L84" s="63" t="str">
        <f>IFERROR(VLOOKUP(MID(G84,J84,K84-J84),[5]skilldef!$C:$D,2,FALSE),"-") &amp; " / " &amp; IFERROR(VLOOKUP(MID(G84,H84,I84-H84),[5]skilldef!$A:$B,2,FALSE),"-")</f>
        <v>- / -</v>
      </c>
      <c r="M84" s="63" t="str">
        <f t="shared" si="20"/>
        <v>[effect:freq_turn, target:enemy_all, turn:3, val:1, animation:enemy_freq_turn]</v>
      </c>
      <c r="N84" s="48" t="str">
        <f>IFERROR(LEFT(M84,FIND("],",M84)+#REF!),M84)</f>
        <v>[effect:freq_turn, target:enemy_all, turn:3, val:1, animation:enemy_freq_turn]</v>
      </c>
      <c r="O84" s="63">
        <f t="shared" si="21"/>
        <v>9</v>
      </c>
      <c r="P84" s="63">
        <f t="shared" si="22"/>
        <v>18</v>
      </c>
      <c r="Q84" s="63">
        <f t="shared" si="23"/>
        <v>27</v>
      </c>
      <c r="R84" s="63">
        <f t="shared" si="24"/>
        <v>36</v>
      </c>
      <c r="S84" s="63" t="str">
        <f>IFERROR(VLOOKUP(MID(N84,Q84,R84-Q84),[5]skilldef!$C:$D,2,FALSE),"-") &amp; " / " &amp; IFERROR(VLOOKUP(MID(N84,O84,P84-O84),[5]skilldef!$A:$B,2,FALSE),"-")</f>
        <v>敵全体に / 攻撃頻度がUP</v>
      </c>
      <c r="T84" s="48" t="str">
        <f t="shared" si="25"/>
        <v>none</v>
      </c>
      <c r="U84" s="63" t="e">
        <f t="shared" si="26"/>
        <v>#VALUE!</v>
      </c>
      <c r="V84" s="63">
        <f t="shared" si="27"/>
        <v>4</v>
      </c>
      <c r="W84" s="63" t="e">
        <f t="shared" si="28"/>
        <v>#VALUE!</v>
      </c>
      <c r="X84" s="63" t="e">
        <f t="shared" si="29"/>
        <v>#VALUE!</v>
      </c>
      <c r="Y84" s="63" t="str">
        <f>IFERROR(VLOOKUP(MID(T84,W84,X84-W84),[5]skilldef!$C:$D,2,FALSE),"-") &amp; " / " &amp; IFERROR(VLOOKUP(MID(T84,U84,V84-U84),[5]skilldef!$A:$B,2,FALSE),"-")</f>
        <v>- / -</v>
      </c>
      <c r="Z84" s="50" t="s">
        <v>230</v>
      </c>
      <c r="AA84" s="52"/>
      <c r="AB84" s="50"/>
    </row>
    <row r="85" spans="1:28" ht="21" customHeight="1" x14ac:dyDescent="0.15">
      <c r="A85" s="108">
        <v>41006084</v>
      </c>
      <c r="B85" s="108" t="s">
        <v>486</v>
      </c>
      <c r="C85" s="109">
        <v>3</v>
      </c>
      <c r="D85" s="109" t="s">
        <v>355</v>
      </c>
      <c r="E85" s="160" t="s">
        <v>446</v>
      </c>
      <c r="F85" s="160" t="s">
        <v>494</v>
      </c>
      <c r="G85" s="63" t="str">
        <f t="shared" si="15"/>
        <v>[effect:enemy_message, val1:1.4, val2:2.2]</v>
      </c>
      <c r="H85" s="63">
        <f t="shared" si="16"/>
        <v>9</v>
      </c>
      <c r="I85" s="63">
        <f t="shared" si="17"/>
        <v>22</v>
      </c>
      <c r="J85" s="63" t="e">
        <f t="shared" si="18"/>
        <v>#VALUE!</v>
      </c>
      <c r="K85" s="63">
        <f t="shared" si="19"/>
        <v>32</v>
      </c>
      <c r="L85" s="63" t="str">
        <f>IFERROR(VLOOKUP(MID(G85,J85,K85-J85),[5]skilldef!$C:$D,2,FALSE),"-") &amp; " / " &amp; IFERROR(VLOOKUP(MID(G85,H85,I85-H85),[5]skilldef!$A:$B,2,FALSE),"-")</f>
        <v>- / -</v>
      </c>
      <c r="M85" s="63" t="str">
        <f t="shared" si="20"/>
        <v>[effect:freq_turn, target:enemy_all, turn:3, val:1, animation:enemy_freq_turn]</v>
      </c>
      <c r="N85" s="48" t="str">
        <f>IFERROR(LEFT(M85,FIND("],",M85)+#REF!),M85)</f>
        <v>[effect:freq_turn, target:enemy_all, turn:3, val:1, animation:enemy_freq_turn]</v>
      </c>
      <c r="O85" s="63">
        <f t="shared" si="21"/>
        <v>9</v>
      </c>
      <c r="P85" s="63">
        <f t="shared" si="22"/>
        <v>18</v>
      </c>
      <c r="Q85" s="63">
        <f t="shared" si="23"/>
        <v>27</v>
      </c>
      <c r="R85" s="63">
        <f t="shared" si="24"/>
        <v>36</v>
      </c>
      <c r="S85" s="63" t="str">
        <f>IFERROR(VLOOKUP(MID(N85,Q85,R85-Q85),[5]skilldef!$C:$D,2,FALSE),"-") &amp; " / " &amp; IFERROR(VLOOKUP(MID(N85,O85,P85-O85),[5]skilldef!$A:$B,2,FALSE),"-")</f>
        <v>敵全体に / 攻撃頻度がUP</v>
      </c>
      <c r="T85" s="48" t="str">
        <f t="shared" si="25"/>
        <v>none</v>
      </c>
      <c r="U85" s="63" t="e">
        <f t="shared" si="26"/>
        <v>#VALUE!</v>
      </c>
      <c r="V85" s="63">
        <f t="shared" si="27"/>
        <v>4</v>
      </c>
      <c r="W85" s="63" t="e">
        <f t="shared" si="28"/>
        <v>#VALUE!</v>
      </c>
      <c r="X85" s="63" t="e">
        <f t="shared" si="29"/>
        <v>#VALUE!</v>
      </c>
      <c r="Y85" s="63" t="str">
        <f>IFERROR(VLOOKUP(MID(T85,W85,X85-W85),[5]skilldef!$C:$D,2,FALSE),"-") &amp; " / " &amp; IFERROR(VLOOKUP(MID(T85,U85,V85-U85),[5]skilldef!$A:$B,2,FALSE),"-")</f>
        <v>- / -</v>
      </c>
      <c r="Z85" s="50" t="s">
        <v>230</v>
      </c>
      <c r="AA85" s="52"/>
      <c r="AB85" s="50"/>
    </row>
    <row r="86" spans="1:28" ht="21" customHeight="1" x14ac:dyDescent="0.15">
      <c r="A86" s="108">
        <v>41006085</v>
      </c>
      <c r="B86" s="108" t="s">
        <v>486</v>
      </c>
      <c r="C86" s="109">
        <v>3</v>
      </c>
      <c r="D86" s="109" t="s">
        <v>355</v>
      </c>
      <c r="E86" s="160" t="s">
        <v>446</v>
      </c>
      <c r="F86" s="160" t="s">
        <v>494</v>
      </c>
      <c r="G86" s="63" t="str">
        <f t="shared" si="15"/>
        <v>[effect:enemy_message, val1:1.4, val2:2.2]</v>
      </c>
      <c r="H86" s="63">
        <f t="shared" si="16"/>
        <v>9</v>
      </c>
      <c r="I86" s="63">
        <f t="shared" si="17"/>
        <v>22</v>
      </c>
      <c r="J86" s="63" t="e">
        <f t="shared" si="18"/>
        <v>#VALUE!</v>
      </c>
      <c r="K86" s="63">
        <f t="shared" si="19"/>
        <v>32</v>
      </c>
      <c r="L86" s="63" t="str">
        <f>IFERROR(VLOOKUP(MID(G86,J86,K86-J86),[5]skilldef!$C:$D,2,FALSE),"-") &amp; " / " &amp; IFERROR(VLOOKUP(MID(G86,H86,I86-H86),[5]skilldef!$A:$B,2,FALSE),"-")</f>
        <v>- / -</v>
      </c>
      <c r="M86" s="63" t="str">
        <f t="shared" si="20"/>
        <v>[effect:freq_turn, target:enemy_all, turn:3, val:1, animation:enemy_freq_turn]</v>
      </c>
      <c r="N86" s="48" t="str">
        <f>IFERROR(LEFT(M86,FIND("],",M86)+#REF!),M86)</f>
        <v>[effect:freq_turn, target:enemy_all, turn:3, val:1, animation:enemy_freq_turn]</v>
      </c>
      <c r="O86" s="63">
        <f t="shared" si="21"/>
        <v>9</v>
      </c>
      <c r="P86" s="63">
        <f t="shared" si="22"/>
        <v>18</v>
      </c>
      <c r="Q86" s="63">
        <f t="shared" si="23"/>
        <v>27</v>
      </c>
      <c r="R86" s="63">
        <f t="shared" si="24"/>
        <v>36</v>
      </c>
      <c r="S86" s="63" t="str">
        <f>IFERROR(VLOOKUP(MID(N86,Q86,R86-Q86),[5]skilldef!$C:$D,2,FALSE),"-") &amp; " / " &amp; IFERROR(VLOOKUP(MID(N86,O86,P86-O86),[5]skilldef!$A:$B,2,FALSE),"-")</f>
        <v>敵全体に / 攻撃頻度がUP</v>
      </c>
      <c r="T86" s="48" t="str">
        <f t="shared" si="25"/>
        <v>none</v>
      </c>
      <c r="U86" s="63" t="e">
        <f t="shared" si="26"/>
        <v>#VALUE!</v>
      </c>
      <c r="V86" s="63">
        <f t="shared" si="27"/>
        <v>4</v>
      </c>
      <c r="W86" s="63" t="e">
        <f t="shared" si="28"/>
        <v>#VALUE!</v>
      </c>
      <c r="X86" s="63" t="e">
        <f t="shared" si="29"/>
        <v>#VALUE!</v>
      </c>
      <c r="Y86" s="63" t="str">
        <f>IFERROR(VLOOKUP(MID(T86,W86,X86-W86),[5]skilldef!$C:$D,2,FALSE),"-") &amp; " / " &amp; IFERROR(VLOOKUP(MID(T86,U86,V86-U86),[5]skilldef!$A:$B,2,FALSE),"-")</f>
        <v>- / -</v>
      </c>
      <c r="Z86" s="50" t="s">
        <v>230</v>
      </c>
      <c r="AA86" s="52"/>
      <c r="AB86" s="50"/>
    </row>
    <row r="87" spans="1:28" ht="21" customHeight="1" x14ac:dyDescent="0.15">
      <c r="A87" s="108">
        <v>41006086</v>
      </c>
      <c r="B87" s="108" t="s">
        <v>486</v>
      </c>
      <c r="C87" s="109">
        <v>3</v>
      </c>
      <c r="D87" s="109" t="s">
        <v>355</v>
      </c>
      <c r="E87" s="160" t="s">
        <v>470</v>
      </c>
      <c r="F87" s="160" t="s">
        <v>492</v>
      </c>
      <c r="G87" s="63" t="str">
        <f t="shared" si="15"/>
        <v>[effect:enemy_message, val1:1.4, val2:2.2]</v>
      </c>
      <c r="H87" s="63">
        <f t="shared" si="16"/>
        <v>9</v>
      </c>
      <c r="I87" s="63">
        <f t="shared" si="17"/>
        <v>22</v>
      </c>
      <c r="J87" s="63" t="e">
        <f t="shared" si="18"/>
        <v>#VALUE!</v>
      </c>
      <c r="K87" s="63">
        <f t="shared" si="19"/>
        <v>32</v>
      </c>
      <c r="L87" s="63" t="str">
        <f>IFERROR(VLOOKUP(MID(G87,J87,K87-J87),[5]skilldef!$C:$D,2,FALSE),"-") &amp; " / " &amp; IFERROR(VLOOKUP(MID(G87,H87,I87-H87),[5]skilldef!$A:$B,2,FALSE),"-")</f>
        <v>- / -</v>
      </c>
      <c r="M87" s="63" t="str">
        <f t="shared" si="20"/>
        <v>[effect:freq_turn, target:enemy_all, turn:3, val:1, animation:enemy_freq_turn]</v>
      </c>
      <c r="N87" s="48" t="str">
        <f>IFERROR(LEFT(M87,FIND("],",M87)+#REF!),M87)</f>
        <v>[effect:freq_turn, target:enemy_all, turn:3, val:1, animation:enemy_freq_turn]</v>
      </c>
      <c r="O87" s="63">
        <f t="shared" si="21"/>
        <v>9</v>
      </c>
      <c r="P87" s="63">
        <f t="shared" si="22"/>
        <v>18</v>
      </c>
      <c r="Q87" s="63">
        <f t="shared" si="23"/>
        <v>27</v>
      </c>
      <c r="R87" s="63">
        <f t="shared" si="24"/>
        <v>36</v>
      </c>
      <c r="S87" s="63" t="str">
        <f>IFERROR(VLOOKUP(MID(N87,Q87,R87-Q87),[5]skilldef!$C:$D,2,FALSE),"-") &amp; " / " &amp; IFERROR(VLOOKUP(MID(N87,O87,P87-O87),[5]skilldef!$A:$B,2,FALSE),"-")</f>
        <v>敵全体に / 攻撃頻度がUP</v>
      </c>
      <c r="T87" s="48" t="str">
        <f t="shared" si="25"/>
        <v>none</v>
      </c>
      <c r="U87" s="63" t="e">
        <f t="shared" si="26"/>
        <v>#VALUE!</v>
      </c>
      <c r="V87" s="63">
        <f t="shared" si="27"/>
        <v>4</v>
      </c>
      <c r="W87" s="63" t="e">
        <f t="shared" si="28"/>
        <v>#VALUE!</v>
      </c>
      <c r="X87" s="63" t="e">
        <f t="shared" si="29"/>
        <v>#VALUE!</v>
      </c>
      <c r="Y87" s="63" t="str">
        <f>IFERROR(VLOOKUP(MID(T87,W87,X87-W87),[5]skilldef!$C:$D,2,FALSE),"-") &amp; " / " &amp; IFERROR(VLOOKUP(MID(T87,U87,V87-U87),[5]skilldef!$A:$B,2,FALSE),"-")</f>
        <v>- / -</v>
      </c>
      <c r="Z87" s="50" t="s">
        <v>230</v>
      </c>
      <c r="AA87" s="52"/>
      <c r="AB87" s="50"/>
    </row>
    <row r="88" spans="1:28" ht="21" customHeight="1" x14ac:dyDescent="0.15">
      <c r="A88" s="108">
        <v>41006087</v>
      </c>
      <c r="B88" s="108" t="s">
        <v>486</v>
      </c>
      <c r="C88" s="109">
        <v>3</v>
      </c>
      <c r="D88" s="109" t="s">
        <v>355</v>
      </c>
      <c r="E88" s="160" t="s">
        <v>470</v>
      </c>
      <c r="F88" s="160" t="s">
        <v>492</v>
      </c>
      <c r="G88" s="63" t="str">
        <f t="shared" si="15"/>
        <v>[effect:enemy_message, val1:1.4, val2:2.2]</v>
      </c>
      <c r="H88" s="63">
        <f t="shared" si="16"/>
        <v>9</v>
      </c>
      <c r="I88" s="63">
        <f t="shared" si="17"/>
        <v>22</v>
      </c>
      <c r="J88" s="63" t="e">
        <f t="shared" si="18"/>
        <v>#VALUE!</v>
      </c>
      <c r="K88" s="63">
        <f t="shared" si="19"/>
        <v>32</v>
      </c>
      <c r="L88" s="63" t="str">
        <f>IFERROR(VLOOKUP(MID(G88,J88,K88-J88),[5]skilldef!$C:$D,2,FALSE),"-") &amp; " / " &amp; IFERROR(VLOOKUP(MID(G88,H88,I88-H88),[5]skilldef!$A:$B,2,FALSE),"-")</f>
        <v>- / -</v>
      </c>
      <c r="M88" s="63" t="str">
        <f t="shared" si="20"/>
        <v>[effect:freq_turn, target:enemy_all, turn:3, val:1, animation:enemy_freq_turn]</v>
      </c>
      <c r="N88" s="48" t="str">
        <f>IFERROR(LEFT(M88,FIND("],",M88)+#REF!),M88)</f>
        <v>[effect:freq_turn, target:enemy_all, turn:3, val:1, animation:enemy_freq_turn]</v>
      </c>
      <c r="O88" s="63">
        <f t="shared" si="21"/>
        <v>9</v>
      </c>
      <c r="P88" s="63">
        <f t="shared" si="22"/>
        <v>18</v>
      </c>
      <c r="Q88" s="63">
        <f t="shared" si="23"/>
        <v>27</v>
      </c>
      <c r="R88" s="63">
        <f t="shared" si="24"/>
        <v>36</v>
      </c>
      <c r="S88" s="63" t="str">
        <f>IFERROR(VLOOKUP(MID(N88,Q88,R88-Q88),[5]skilldef!$C:$D,2,FALSE),"-") &amp; " / " &amp; IFERROR(VLOOKUP(MID(N88,O88,P88-O88),[5]skilldef!$A:$B,2,FALSE),"-")</f>
        <v>敵全体に / 攻撃頻度がUP</v>
      </c>
      <c r="T88" s="48" t="str">
        <f t="shared" si="25"/>
        <v>none</v>
      </c>
      <c r="U88" s="63" t="e">
        <f t="shared" si="26"/>
        <v>#VALUE!</v>
      </c>
      <c r="V88" s="63">
        <f t="shared" si="27"/>
        <v>4</v>
      </c>
      <c r="W88" s="63" t="e">
        <f t="shared" si="28"/>
        <v>#VALUE!</v>
      </c>
      <c r="X88" s="63" t="e">
        <f t="shared" si="29"/>
        <v>#VALUE!</v>
      </c>
      <c r="Y88" s="63" t="str">
        <f>IFERROR(VLOOKUP(MID(T88,W88,X88-W88),[5]skilldef!$C:$D,2,FALSE),"-") &amp; " / " &amp; IFERROR(VLOOKUP(MID(T88,U88,V88-U88),[5]skilldef!$A:$B,2,FALSE),"-")</f>
        <v>- / -</v>
      </c>
      <c r="Z88" s="50" t="s">
        <v>230</v>
      </c>
      <c r="AA88" s="52"/>
      <c r="AB88" s="50"/>
    </row>
    <row r="89" spans="1:28" ht="21" customHeight="1" x14ac:dyDescent="0.15">
      <c r="A89" s="108">
        <v>41006088</v>
      </c>
      <c r="B89" s="108" t="s">
        <v>486</v>
      </c>
      <c r="C89" s="109">
        <v>3</v>
      </c>
      <c r="D89" s="109" t="s">
        <v>355</v>
      </c>
      <c r="E89" s="160" t="s">
        <v>470</v>
      </c>
      <c r="F89" s="160" t="s">
        <v>492</v>
      </c>
      <c r="G89" s="63" t="str">
        <f t="shared" si="15"/>
        <v>[effect:enemy_message, val1:1.4, val2:2.2]</v>
      </c>
      <c r="H89" s="63">
        <f t="shared" si="16"/>
        <v>9</v>
      </c>
      <c r="I89" s="63">
        <f t="shared" si="17"/>
        <v>22</v>
      </c>
      <c r="J89" s="63" t="e">
        <f t="shared" si="18"/>
        <v>#VALUE!</v>
      </c>
      <c r="K89" s="63">
        <f t="shared" si="19"/>
        <v>32</v>
      </c>
      <c r="L89" s="63" t="str">
        <f>IFERROR(VLOOKUP(MID(G89,J89,K89-J89),[5]skilldef!$C:$D,2,FALSE),"-") &amp; " / " &amp; IFERROR(VLOOKUP(MID(G89,H89,I89-H89),[5]skilldef!$A:$B,2,FALSE),"-")</f>
        <v>- / -</v>
      </c>
      <c r="M89" s="63" t="str">
        <f t="shared" si="20"/>
        <v>[effect:freq_turn, target:enemy_all, turn:3, val:1, animation:enemy_freq_turn]</v>
      </c>
      <c r="N89" s="48" t="str">
        <f>IFERROR(LEFT(M89,FIND("],",M89)+#REF!),M89)</f>
        <v>[effect:freq_turn, target:enemy_all, turn:3, val:1, animation:enemy_freq_turn]</v>
      </c>
      <c r="O89" s="63">
        <f t="shared" si="21"/>
        <v>9</v>
      </c>
      <c r="P89" s="63">
        <f t="shared" si="22"/>
        <v>18</v>
      </c>
      <c r="Q89" s="63">
        <f t="shared" si="23"/>
        <v>27</v>
      </c>
      <c r="R89" s="63">
        <f t="shared" si="24"/>
        <v>36</v>
      </c>
      <c r="S89" s="63" t="str">
        <f>IFERROR(VLOOKUP(MID(N89,Q89,R89-Q89),[5]skilldef!$C:$D,2,FALSE),"-") &amp; " / " &amp; IFERROR(VLOOKUP(MID(N89,O89,P89-O89),[5]skilldef!$A:$B,2,FALSE),"-")</f>
        <v>敵全体に / 攻撃頻度がUP</v>
      </c>
      <c r="T89" s="48" t="str">
        <f t="shared" si="25"/>
        <v>none</v>
      </c>
      <c r="U89" s="63" t="e">
        <f t="shared" si="26"/>
        <v>#VALUE!</v>
      </c>
      <c r="V89" s="63">
        <f t="shared" si="27"/>
        <v>4</v>
      </c>
      <c r="W89" s="63" t="e">
        <f t="shared" si="28"/>
        <v>#VALUE!</v>
      </c>
      <c r="X89" s="63" t="e">
        <f t="shared" si="29"/>
        <v>#VALUE!</v>
      </c>
      <c r="Y89" s="63" t="str">
        <f>IFERROR(VLOOKUP(MID(T89,W89,X89-W89),[5]skilldef!$C:$D,2,FALSE),"-") &amp; " / " &amp; IFERROR(VLOOKUP(MID(T89,U89,V89-U89),[5]skilldef!$A:$B,2,FALSE),"-")</f>
        <v>- / -</v>
      </c>
      <c r="Z89" s="50" t="s">
        <v>230</v>
      </c>
      <c r="AA89" s="52"/>
      <c r="AB89" s="50"/>
    </row>
    <row r="90" spans="1:28" ht="21" customHeight="1" x14ac:dyDescent="0.15">
      <c r="A90" s="108">
        <v>41006089</v>
      </c>
      <c r="B90" s="108" t="s">
        <v>486</v>
      </c>
      <c r="C90" s="109">
        <v>3</v>
      </c>
      <c r="D90" s="109" t="s">
        <v>355</v>
      </c>
      <c r="E90" s="160" t="s">
        <v>461</v>
      </c>
      <c r="F90" s="160" t="s">
        <v>493</v>
      </c>
      <c r="G90" s="63" t="str">
        <f t="shared" si="15"/>
        <v>[effect:enemy_message, val1:1.4, val2:2.2]</v>
      </c>
      <c r="H90" s="63">
        <f t="shared" si="16"/>
        <v>9</v>
      </c>
      <c r="I90" s="63">
        <f t="shared" si="17"/>
        <v>22</v>
      </c>
      <c r="J90" s="63" t="e">
        <f t="shared" si="18"/>
        <v>#VALUE!</v>
      </c>
      <c r="K90" s="63">
        <f t="shared" si="19"/>
        <v>32</v>
      </c>
      <c r="L90" s="63" t="str">
        <f>IFERROR(VLOOKUP(MID(G90,J90,K90-J90),[5]skilldef!$C:$D,2,FALSE),"-") &amp; " / " &amp; IFERROR(VLOOKUP(MID(G90,H90,I90-H90),[5]skilldef!$A:$B,2,FALSE),"-")</f>
        <v>- / -</v>
      </c>
      <c r="M90" s="63" t="str">
        <f t="shared" si="20"/>
        <v>[effect:freq_turn, target:enemy_all, turn:3, val:1, animation:enemy_freq_turn]</v>
      </c>
      <c r="N90" s="48" t="str">
        <f>IFERROR(LEFT(M90,FIND("],",M90)+#REF!),M90)</f>
        <v>[effect:freq_turn, target:enemy_all, turn:3, val:1, animation:enemy_freq_turn]</v>
      </c>
      <c r="O90" s="63">
        <f t="shared" si="21"/>
        <v>9</v>
      </c>
      <c r="P90" s="63">
        <f t="shared" si="22"/>
        <v>18</v>
      </c>
      <c r="Q90" s="63">
        <f t="shared" si="23"/>
        <v>27</v>
      </c>
      <c r="R90" s="63">
        <f t="shared" si="24"/>
        <v>36</v>
      </c>
      <c r="S90" s="63" t="str">
        <f>IFERROR(VLOOKUP(MID(N90,Q90,R90-Q90),[5]skilldef!$C:$D,2,FALSE),"-") &amp; " / " &amp; IFERROR(VLOOKUP(MID(N90,O90,P90-O90),[5]skilldef!$A:$B,2,FALSE),"-")</f>
        <v>敵全体に / 攻撃頻度がUP</v>
      </c>
      <c r="T90" s="48" t="str">
        <f t="shared" si="25"/>
        <v>none</v>
      </c>
      <c r="U90" s="63" t="e">
        <f t="shared" si="26"/>
        <v>#VALUE!</v>
      </c>
      <c r="V90" s="63">
        <f t="shared" si="27"/>
        <v>4</v>
      </c>
      <c r="W90" s="63" t="e">
        <f t="shared" si="28"/>
        <v>#VALUE!</v>
      </c>
      <c r="X90" s="63" t="e">
        <f t="shared" si="29"/>
        <v>#VALUE!</v>
      </c>
      <c r="Y90" s="63" t="str">
        <f>IFERROR(VLOOKUP(MID(T90,W90,X90-W90),[5]skilldef!$C:$D,2,FALSE),"-") &amp; " / " &amp; IFERROR(VLOOKUP(MID(T90,U90,V90-U90),[5]skilldef!$A:$B,2,FALSE),"-")</f>
        <v>- / -</v>
      </c>
      <c r="Z90" s="50" t="s">
        <v>230</v>
      </c>
      <c r="AA90" s="52"/>
      <c r="AB90" s="50"/>
    </row>
    <row r="91" spans="1:28" ht="21" customHeight="1" x14ac:dyDescent="0.15">
      <c r="A91" s="108">
        <v>41006090</v>
      </c>
      <c r="B91" s="108" t="s">
        <v>486</v>
      </c>
      <c r="C91" s="109">
        <v>3</v>
      </c>
      <c r="D91" s="109" t="s">
        <v>355</v>
      </c>
      <c r="E91" s="160" t="s">
        <v>461</v>
      </c>
      <c r="F91" s="160" t="s">
        <v>493</v>
      </c>
      <c r="G91" s="63" t="str">
        <f t="shared" si="15"/>
        <v>[effect:enemy_message, val1:1.4, val2:2.2]</v>
      </c>
      <c r="H91" s="63">
        <f t="shared" si="16"/>
        <v>9</v>
      </c>
      <c r="I91" s="63">
        <f t="shared" si="17"/>
        <v>22</v>
      </c>
      <c r="J91" s="63" t="e">
        <f t="shared" si="18"/>
        <v>#VALUE!</v>
      </c>
      <c r="K91" s="63">
        <f t="shared" si="19"/>
        <v>32</v>
      </c>
      <c r="L91" s="63" t="str">
        <f>IFERROR(VLOOKUP(MID(G91,J91,K91-J91),[5]skilldef!$C:$D,2,FALSE),"-") &amp; " / " &amp; IFERROR(VLOOKUP(MID(G91,H91,I91-H91),[5]skilldef!$A:$B,2,FALSE),"-")</f>
        <v>- / -</v>
      </c>
      <c r="M91" s="63" t="str">
        <f t="shared" si="20"/>
        <v>[effect:freq_turn, target:enemy_all, turn:3, val:1, animation:enemy_freq_turn]</v>
      </c>
      <c r="N91" s="48" t="str">
        <f>IFERROR(LEFT(M91,FIND("],",M91)+#REF!),M91)</f>
        <v>[effect:freq_turn, target:enemy_all, turn:3, val:1, animation:enemy_freq_turn]</v>
      </c>
      <c r="O91" s="63">
        <f t="shared" si="21"/>
        <v>9</v>
      </c>
      <c r="P91" s="63">
        <f t="shared" si="22"/>
        <v>18</v>
      </c>
      <c r="Q91" s="63">
        <f t="shared" si="23"/>
        <v>27</v>
      </c>
      <c r="R91" s="63">
        <f t="shared" si="24"/>
        <v>36</v>
      </c>
      <c r="S91" s="63" t="str">
        <f>IFERROR(VLOOKUP(MID(N91,Q91,R91-Q91),[5]skilldef!$C:$D,2,FALSE),"-") &amp; " / " &amp; IFERROR(VLOOKUP(MID(N91,O91,P91-O91),[5]skilldef!$A:$B,2,FALSE),"-")</f>
        <v>敵全体に / 攻撃頻度がUP</v>
      </c>
      <c r="T91" s="48" t="str">
        <f t="shared" si="25"/>
        <v>none</v>
      </c>
      <c r="U91" s="63" t="e">
        <f t="shared" si="26"/>
        <v>#VALUE!</v>
      </c>
      <c r="V91" s="63">
        <f t="shared" si="27"/>
        <v>4</v>
      </c>
      <c r="W91" s="63" t="e">
        <f t="shared" si="28"/>
        <v>#VALUE!</v>
      </c>
      <c r="X91" s="63" t="e">
        <f t="shared" si="29"/>
        <v>#VALUE!</v>
      </c>
      <c r="Y91" s="63" t="str">
        <f>IFERROR(VLOOKUP(MID(T91,W91,X91-W91),[5]skilldef!$C:$D,2,FALSE),"-") &amp; " / " &amp; IFERROR(VLOOKUP(MID(T91,U91,V91-U91),[5]skilldef!$A:$B,2,FALSE),"-")</f>
        <v>- / -</v>
      </c>
      <c r="Z91" s="50" t="s">
        <v>230</v>
      </c>
      <c r="AA91" s="52"/>
      <c r="AB91" s="50"/>
    </row>
    <row r="92" spans="1:28" ht="21" customHeight="1" x14ac:dyDescent="0.15">
      <c r="A92" s="108">
        <v>41006091</v>
      </c>
      <c r="B92" s="108" t="s">
        <v>486</v>
      </c>
      <c r="C92" s="109">
        <v>3</v>
      </c>
      <c r="D92" s="109" t="s">
        <v>355</v>
      </c>
      <c r="E92" s="160" t="s">
        <v>461</v>
      </c>
      <c r="F92" s="160" t="s">
        <v>493</v>
      </c>
      <c r="G92" s="63" t="str">
        <f t="shared" si="15"/>
        <v>[effect:enemy_message, val1:1.4, val2:2.2]</v>
      </c>
      <c r="H92" s="63">
        <f t="shared" si="16"/>
        <v>9</v>
      </c>
      <c r="I92" s="63">
        <f t="shared" si="17"/>
        <v>22</v>
      </c>
      <c r="J92" s="63" t="e">
        <f t="shared" si="18"/>
        <v>#VALUE!</v>
      </c>
      <c r="K92" s="63">
        <f t="shared" si="19"/>
        <v>32</v>
      </c>
      <c r="L92" s="63" t="str">
        <f>IFERROR(VLOOKUP(MID(G92,J92,K92-J92),[5]skilldef!$C:$D,2,FALSE),"-") &amp; " / " &amp; IFERROR(VLOOKUP(MID(G92,H92,I92-H92),[5]skilldef!$A:$B,2,FALSE),"-")</f>
        <v>- / -</v>
      </c>
      <c r="M92" s="63" t="str">
        <f t="shared" si="20"/>
        <v>[effect:freq_turn, target:enemy_all, turn:3, val:1, animation:enemy_freq_turn]</v>
      </c>
      <c r="N92" s="48" t="str">
        <f>IFERROR(LEFT(M92,FIND("],",M92)+#REF!),M92)</f>
        <v>[effect:freq_turn, target:enemy_all, turn:3, val:1, animation:enemy_freq_turn]</v>
      </c>
      <c r="O92" s="63">
        <f t="shared" si="21"/>
        <v>9</v>
      </c>
      <c r="P92" s="63">
        <f t="shared" si="22"/>
        <v>18</v>
      </c>
      <c r="Q92" s="63">
        <f t="shared" si="23"/>
        <v>27</v>
      </c>
      <c r="R92" s="63">
        <f t="shared" si="24"/>
        <v>36</v>
      </c>
      <c r="S92" s="63" t="str">
        <f>IFERROR(VLOOKUP(MID(N92,Q92,R92-Q92),[5]skilldef!$C:$D,2,FALSE),"-") &amp; " / " &amp; IFERROR(VLOOKUP(MID(N92,O92,P92-O92),[5]skilldef!$A:$B,2,FALSE),"-")</f>
        <v>敵全体に / 攻撃頻度がUP</v>
      </c>
      <c r="T92" s="48" t="str">
        <f t="shared" si="25"/>
        <v>none</v>
      </c>
      <c r="U92" s="63" t="e">
        <f t="shared" si="26"/>
        <v>#VALUE!</v>
      </c>
      <c r="V92" s="63">
        <f t="shared" si="27"/>
        <v>4</v>
      </c>
      <c r="W92" s="63" t="e">
        <f t="shared" si="28"/>
        <v>#VALUE!</v>
      </c>
      <c r="X92" s="63" t="e">
        <f t="shared" si="29"/>
        <v>#VALUE!</v>
      </c>
      <c r="Y92" s="63" t="str">
        <f>IFERROR(VLOOKUP(MID(T92,W92,X92-W92),[5]skilldef!$C:$D,2,FALSE),"-") &amp; " / " &amp; IFERROR(VLOOKUP(MID(T92,U92,V92-U92),[5]skilldef!$A:$B,2,FALSE),"-")</f>
        <v>- / -</v>
      </c>
      <c r="Z92" s="50" t="s">
        <v>230</v>
      </c>
      <c r="AA92" s="52"/>
      <c r="AB92" s="50"/>
    </row>
    <row r="93" spans="1:28" ht="21" customHeight="1" x14ac:dyDescent="0.15">
      <c r="A93" s="108">
        <v>41006092</v>
      </c>
      <c r="B93" s="108" t="s">
        <v>487</v>
      </c>
      <c r="C93" s="109">
        <v>3</v>
      </c>
      <c r="D93" s="109" t="s">
        <v>355</v>
      </c>
      <c r="E93" s="160" t="s">
        <v>443</v>
      </c>
      <c r="F93" s="160" t="s">
        <v>445</v>
      </c>
      <c r="G93" s="63" t="str">
        <f t="shared" si="15"/>
        <v>[effect:enemy_message, val2:2.2]</v>
      </c>
      <c r="H93" s="63">
        <f t="shared" si="16"/>
        <v>9</v>
      </c>
      <c r="I93" s="63">
        <f t="shared" si="17"/>
        <v>22</v>
      </c>
      <c r="J93" s="63" t="e">
        <f t="shared" si="18"/>
        <v>#VALUE!</v>
      </c>
      <c r="K93" s="63" t="e">
        <f t="shared" si="19"/>
        <v>#VALUE!</v>
      </c>
      <c r="L93" s="63" t="str">
        <f>IFERROR(VLOOKUP(MID(G93,J93,K93-J93),[5]skilldef!$C:$D,2,FALSE),"-") &amp; " / " &amp; IFERROR(VLOOKUP(MID(G93,H93,I93-H93),[5]skilldef!$A:$B,2,FALSE),"-")</f>
        <v>- / -</v>
      </c>
      <c r="M93" s="63" t="str">
        <f t="shared" si="20"/>
        <v>[effect:freq_turn, target:enemy_all, turn:3, val:1, animation:enemy_freq_turn]</v>
      </c>
      <c r="N93" s="48" t="str">
        <f>IFERROR(LEFT(M93,FIND("],",M93)+#REF!),M93)</f>
        <v>[effect:freq_turn, target:enemy_all, turn:3, val:1, animation:enemy_freq_turn]</v>
      </c>
      <c r="O93" s="63">
        <f t="shared" si="21"/>
        <v>9</v>
      </c>
      <c r="P93" s="63">
        <f t="shared" si="22"/>
        <v>18</v>
      </c>
      <c r="Q93" s="63">
        <f t="shared" si="23"/>
        <v>27</v>
      </c>
      <c r="R93" s="63">
        <f t="shared" si="24"/>
        <v>36</v>
      </c>
      <c r="S93" s="63" t="str">
        <f>IFERROR(VLOOKUP(MID(N93,Q93,R93-Q93),[5]skilldef!$C:$D,2,FALSE),"-") &amp; " / " &amp; IFERROR(VLOOKUP(MID(N93,O93,P93-O93),[5]skilldef!$A:$B,2,FALSE),"-")</f>
        <v>敵全体に / 攻撃頻度がUP</v>
      </c>
      <c r="T93" s="48" t="str">
        <f t="shared" si="25"/>
        <v>none</v>
      </c>
      <c r="U93" s="63" t="e">
        <f t="shared" si="26"/>
        <v>#VALUE!</v>
      </c>
      <c r="V93" s="63">
        <f t="shared" si="27"/>
        <v>4</v>
      </c>
      <c r="W93" s="63" t="e">
        <f t="shared" si="28"/>
        <v>#VALUE!</v>
      </c>
      <c r="X93" s="63" t="e">
        <f t="shared" si="29"/>
        <v>#VALUE!</v>
      </c>
      <c r="Y93" s="63" t="str">
        <f>IFERROR(VLOOKUP(MID(T93,W93,X93-W93),[5]skilldef!$C:$D,2,FALSE),"-") &amp; " / " &amp; IFERROR(VLOOKUP(MID(T93,U93,V93-U93),[5]skilldef!$A:$B,2,FALSE),"-")</f>
        <v>- / -</v>
      </c>
      <c r="Z93" s="50" t="s">
        <v>230</v>
      </c>
      <c r="AA93" s="52"/>
      <c r="AB93" s="50"/>
    </row>
    <row r="94" spans="1:28" ht="21" customHeight="1" x14ac:dyDescent="0.15">
      <c r="A94" s="108">
        <v>41006093</v>
      </c>
      <c r="B94" s="108" t="s">
        <v>487</v>
      </c>
      <c r="C94" s="109">
        <v>3</v>
      </c>
      <c r="D94" s="109" t="s">
        <v>355</v>
      </c>
      <c r="E94" s="160" t="s">
        <v>443</v>
      </c>
      <c r="F94" s="160" t="s">
        <v>445</v>
      </c>
      <c r="G94" s="63" t="str">
        <f t="shared" si="15"/>
        <v>[effect:enemy_message, val2:2.2]</v>
      </c>
      <c r="H94" s="63">
        <f t="shared" si="16"/>
        <v>9</v>
      </c>
      <c r="I94" s="63">
        <f t="shared" si="17"/>
        <v>22</v>
      </c>
      <c r="J94" s="63" t="e">
        <f t="shared" si="18"/>
        <v>#VALUE!</v>
      </c>
      <c r="K94" s="63" t="e">
        <f t="shared" si="19"/>
        <v>#VALUE!</v>
      </c>
      <c r="L94" s="63" t="str">
        <f>IFERROR(VLOOKUP(MID(G94,J94,K94-J94),[5]skilldef!$C:$D,2,FALSE),"-") &amp; " / " &amp; IFERROR(VLOOKUP(MID(G94,H94,I94-H94),[5]skilldef!$A:$B,2,FALSE),"-")</f>
        <v>- / -</v>
      </c>
      <c r="M94" s="63" t="str">
        <f t="shared" si="20"/>
        <v>[effect:freq_turn, target:enemy_all, turn:3, val:1, animation:enemy_freq_turn]</v>
      </c>
      <c r="N94" s="48" t="str">
        <f>IFERROR(LEFT(M94,FIND("],",M94)+#REF!),M94)</f>
        <v>[effect:freq_turn, target:enemy_all, turn:3, val:1, animation:enemy_freq_turn]</v>
      </c>
      <c r="O94" s="63">
        <f t="shared" si="21"/>
        <v>9</v>
      </c>
      <c r="P94" s="63">
        <f t="shared" si="22"/>
        <v>18</v>
      </c>
      <c r="Q94" s="63">
        <f t="shared" si="23"/>
        <v>27</v>
      </c>
      <c r="R94" s="63">
        <f t="shared" si="24"/>
        <v>36</v>
      </c>
      <c r="S94" s="63" t="str">
        <f>IFERROR(VLOOKUP(MID(N94,Q94,R94-Q94),[5]skilldef!$C:$D,2,FALSE),"-") &amp; " / " &amp; IFERROR(VLOOKUP(MID(N94,O94,P94-O94),[5]skilldef!$A:$B,2,FALSE),"-")</f>
        <v>敵全体に / 攻撃頻度がUP</v>
      </c>
      <c r="T94" s="48" t="str">
        <f t="shared" si="25"/>
        <v>none</v>
      </c>
      <c r="U94" s="63" t="e">
        <f t="shared" si="26"/>
        <v>#VALUE!</v>
      </c>
      <c r="V94" s="63">
        <f t="shared" si="27"/>
        <v>4</v>
      </c>
      <c r="W94" s="63" t="e">
        <f t="shared" si="28"/>
        <v>#VALUE!</v>
      </c>
      <c r="X94" s="63" t="e">
        <f t="shared" si="29"/>
        <v>#VALUE!</v>
      </c>
      <c r="Y94" s="63" t="str">
        <f>IFERROR(VLOOKUP(MID(T94,W94,X94-W94),[5]skilldef!$C:$D,2,FALSE),"-") &amp; " / " &amp; IFERROR(VLOOKUP(MID(T94,U94,V94-U94),[5]skilldef!$A:$B,2,FALSE),"-")</f>
        <v>- / -</v>
      </c>
      <c r="Z94" s="50" t="s">
        <v>230</v>
      </c>
      <c r="AA94" s="52"/>
      <c r="AB94" s="50"/>
    </row>
    <row r="95" spans="1:28" ht="21" customHeight="1" x14ac:dyDescent="0.15">
      <c r="A95" s="108">
        <v>41006094</v>
      </c>
      <c r="B95" s="108" t="s">
        <v>482</v>
      </c>
      <c r="C95" s="109">
        <v>3</v>
      </c>
      <c r="D95" s="109" t="s">
        <v>355</v>
      </c>
      <c r="E95" s="161" t="s">
        <v>447</v>
      </c>
      <c r="F95" s="161" t="s">
        <v>448</v>
      </c>
      <c r="G95" s="63" t="str">
        <f t="shared" si="15"/>
        <v>[effect:enemy_message, val1:1.4, val2:2.2]</v>
      </c>
      <c r="H95" s="63">
        <f t="shared" si="16"/>
        <v>9</v>
      </c>
      <c r="I95" s="63">
        <f t="shared" si="17"/>
        <v>22</v>
      </c>
      <c r="J95" s="63" t="e">
        <f t="shared" si="18"/>
        <v>#VALUE!</v>
      </c>
      <c r="K95" s="63">
        <f t="shared" si="19"/>
        <v>32</v>
      </c>
      <c r="L95" s="63" t="str">
        <f>IFERROR(VLOOKUP(MID(G95,J95,K95-J95),[5]skilldef!$C:$D,2,FALSE),"-") &amp; " / " &amp; IFERROR(VLOOKUP(MID(G95,H95,I95-H95),[5]skilldef!$A:$B,2,FALSE),"-")</f>
        <v>- / -</v>
      </c>
      <c r="M95" s="63" t="str">
        <f t="shared" si="20"/>
        <v>[effect:fix_speed,target:myself,turn:1]</v>
      </c>
      <c r="N95" s="48" t="str">
        <f>IFERROR(LEFT(M95,FIND("],",M95)+#REF!),M95)</f>
        <v>[effect:fix_speed,target:myself,turn:1]</v>
      </c>
      <c r="O95" s="63">
        <f t="shared" si="21"/>
        <v>9</v>
      </c>
      <c r="P95" s="63">
        <f t="shared" si="22"/>
        <v>18</v>
      </c>
      <c r="Q95" s="63">
        <f t="shared" si="23"/>
        <v>26</v>
      </c>
      <c r="R95" s="63">
        <f t="shared" si="24"/>
        <v>32</v>
      </c>
      <c r="S95" s="63" t="str">
        <f>IFERROR(VLOOKUP(MID(N95,Q95,R95-Q95),[5]skilldef!$C:$D,2,FALSE),"-") &amp; " / " &amp; IFERROR(VLOOKUP(MID(N95,O95,P95-O95),[5]skilldef!$A:$B,2,FALSE),"-")</f>
        <v>自分自身に / 行動値設定</v>
      </c>
      <c r="T95" s="48" t="str">
        <f t="shared" si="25"/>
        <v>none</v>
      </c>
      <c r="U95" s="63" t="e">
        <f t="shared" si="26"/>
        <v>#VALUE!</v>
      </c>
      <c r="V95" s="63">
        <f t="shared" si="27"/>
        <v>4</v>
      </c>
      <c r="W95" s="63" t="e">
        <f t="shared" si="28"/>
        <v>#VALUE!</v>
      </c>
      <c r="X95" s="63" t="e">
        <f t="shared" si="29"/>
        <v>#VALUE!</v>
      </c>
      <c r="Y95" s="63" t="str">
        <f>IFERROR(VLOOKUP(MID(T95,W95,X95-W95),[5]skilldef!$C:$D,2,FALSE),"-") &amp; " / " &amp; IFERROR(VLOOKUP(MID(T95,U95,V95-U95),[5]skilldef!$A:$B,2,FALSE),"-")</f>
        <v>- / -</v>
      </c>
      <c r="Z95" s="50" t="s">
        <v>230</v>
      </c>
      <c r="AA95" s="52"/>
      <c r="AB95" s="50"/>
    </row>
    <row r="96" spans="1:28" ht="21" customHeight="1" x14ac:dyDescent="0.15">
      <c r="A96" s="108">
        <v>41006095</v>
      </c>
      <c r="B96" s="108" t="s">
        <v>482</v>
      </c>
      <c r="C96" s="109">
        <v>3</v>
      </c>
      <c r="D96" s="109" t="s">
        <v>355</v>
      </c>
      <c r="E96" s="161" t="s">
        <v>447</v>
      </c>
      <c r="F96" s="161" t="s">
        <v>448</v>
      </c>
      <c r="G96" s="63" t="str">
        <f t="shared" si="15"/>
        <v>[effect:enemy_message, val1:1.4, val2:2.2]</v>
      </c>
      <c r="H96" s="63">
        <f t="shared" si="16"/>
        <v>9</v>
      </c>
      <c r="I96" s="63">
        <f t="shared" si="17"/>
        <v>22</v>
      </c>
      <c r="J96" s="63" t="e">
        <f t="shared" si="18"/>
        <v>#VALUE!</v>
      </c>
      <c r="K96" s="63">
        <f t="shared" si="19"/>
        <v>32</v>
      </c>
      <c r="L96" s="63" t="str">
        <f>IFERROR(VLOOKUP(MID(G96,J96,K96-J96),[5]skilldef!$C:$D,2,FALSE),"-") &amp; " / " &amp; IFERROR(VLOOKUP(MID(G96,H96,I96-H96),[5]skilldef!$A:$B,2,FALSE),"-")</f>
        <v>- / -</v>
      </c>
      <c r="M96" s="63" t="str">
        <f t="shared" si="20"/>
        <v>[effect:fix_speed,target:myself,turn:1]</v>
      </c>
      <c r="N96" s="48" t="str">
        <f>IFERROR(LEFT(M96,FIND("],",M96)+#REF!),M96)</f>
        <v>[effect:fix_speed,target:myself,turn:1]</v>
      </c>
      <c r="O96" s="63">
        <f t="shared" si="21"/>
        <v>9</v>
      </c>
      <c r="P96" s="63">
        <f t="shared" si="22"/>
        <v>18</v>
      </c>
      <c r="Q96" s="63">
        <f t="shared" si="23"/>
        <v>26</v>
      </c>
      <c r="R96" s="63">
        <f t="shared" si="24"/>
        <v>32</v>
      </c>
      <c r="S96" s="63" t="str">
        <f>IFERROR(VLOOKUP(MID(N96,Q96,R96-Q96),[5]skilldef!$C:$D,2,FALSE),"-") &amp; " / " &amp; IFERROR(VLOOKUP(MID(N96,O96,P96-O96),[5]skilldef!$A:$B,2,FALSE),"-")</f>
        <v>自分自身に / 行動値設定</v>
      </c>
      <c r="T96" s="48" t="str">
        <f t="shared" si="25"/>
        <v>none</v>
      </c>
      <c r="U96" s="63" t="e">
        <f t="shared" si="26"/>
        <v>#VALUE!</v>
      </c>
      <c r="V96" s="63">
        <f t="shared" si="27"/>
        <v>4</v>
      </c>
      <c r="W96" s="63" t="e">
        <f t="shared" si="28"/>
        <v>#VALUE!</v>
      </c>
      <c r="X96" s="63" t="e">
        <f t="shared" si="29"/>
        <v>#VALUE!</v>
      </c>
      <c r="Y96" s="63" t="str">
        <f>IFERROR(VLOOKUP(MID(T96,W96,X96-W96),[5]skilldef!$C:$D,2,FALSE),"-") &amp; " / " &amp; IFERROR(VLOOKUP(MID(T96,U96,V96-U96),[5]skilldef!$A:$B,2,FALSE),"-")</f>
        <v>- / -</v>
      </c>
      <c r="Z96" s="50" t="s">
        <v>230</v>
      </c>
      <c r="AA96" s="52"/>
      <c r="AB96" s="50"/>
    </row>
    <row r="97" spans="1:28" ht="21" customHeight="1" x14ac:dyDescent="0.15">
      <c r="A97" s="108">
        <v>41006096</v>
      </c>
      <c r="B97" s="108" t="s">
        <v>482</v>
      </c>
      <c r="C97" s="109">
        <v>3</v>
      </c>
      <c r="D97" s="109" t="s">
        <v>355</v>
      </c>
      <c r="E97" s="161" t="s">
        <v>447</v>
      </c>
      <c r="F97" s="161" t="s">
        <v>448</v>
      </c>
      <c r="G97" s="63" t="str">
        <f t="shared" si="15"/>
        <v>[effect:enemy_message, val1:1.4, val2:2.2]</v>
      </c>
      <c r="H97" s="63">
        <f t="shared" si="16"/>
        <v>9</v>
      </c>
      <c r="I97" s="63">
        <f t="shared" si="17"/>
        <v>22</v>
      </c>
      <c r="J97" s="63" t="e">
        <f t="shared" si="18"/>
        <v>#VALUE!</v>
      </c>
      <c r="K97" s="63">
        <f t="shared" si="19"/>
        <v>32</v>
      </c>
      <c r="L97" s="63" t="str">
        <f>IFERROR(VLOOKUP(MID(G97,J97,K97-J97),[5]skilldef!$C:$D,2,FALSE),"-") &amp; " / " &amp; IFERROR(VLOOKUP(MID(G97,H97,I97-H97),[5]skilldef!$A:$B,2,FALSE),"-")</f>
        <v>- / -</v>
      </c>
      <c r="M97" s="63" t="str">
        <f t="shared" si="20"/>
        <v>[effect:fix_speed,target:myself,turn:1]</v>
      </c>
      <c r="N97" s="48" t="str">
        <f>IFERROR(LEFT(M97,FIND("],",M97)+#REF!),M97)</f>
        <v>[effect:fix_speed,target:myself,turn:1]</v>
      </c>
      <c r="O97" s="63">
        <f t="shared" si="21"/>
        <v>9</v>
      </c>
      <c r="P97" s="63">
        <f t="shared" si="22"/>
        <v>18</v>
      </c>
      <c r="Q97" s="63">
        <f t="shared" si="23"/>
        <v>26</v>
      </c>
      <c r="R97" s="63">
        <f t="shared" si="24"/>
        <v>32</v>
      </c>
      <c r="S97" s="63" t="str">
        <f>IFERROR(VLOOKUP(MID(N97,Q97,R97-Q97),[5]skilldef!$C:$D,2,FALSE),"-") &amp; " / " &amp; IFERROR(VLOOKUP(MID(N97,O97,P97-O97),[5]skilldef!$A:$B,2,FALSE),"-")</f>
        <v>自分自身に / 行動値設定</v>
      </c>
      <c r="T97" s="48" t="str">
        <f t="shared" si="25"/>
        <v>none</v>
      </c>
      <c r="U97" s="63" t="e">
        <f t="shared" si="26"/>
        <v>#VALUE!</v>
      </c>
      <c r="V97" s="63">
        <f t="shared" si="27"/>
        <v>4</v>
      </c>
      <c r="W97" s="63" t="e">
        <f t="shared" si="28"/>
        <v>#VALUE!</v>
      </c>
      <c r="X97" s="63" t="e">
        <f t="shared" si="29"/>
        <v>#VALUE!</v>
      </c>
      <c r="Y97" s="63" t="str">
        <f>IFERROR(VLOOKUP(MID(T97,W97,X97-W97),[5]skilldef!$C:$D,2,FALSE),"-") &amp; " / " &amp; IFERROR(VLOOKUP(MID(T97,U97,V97-U97),[5]skilldef!$A:$B,2,FALSE),"-")</f>
        <v>- / -</v>
      </c>
      <c r="Z97" s="50" t="s">
        <v>230</v>
      </c>
      <c r="AA97" s="52"/>
      <c r="AB97" s="50"/>
    </row>
    <row r="98" spans="1:28" ht="21" customHeight="1" x14ac:dyDescent="0.15">
      <c r="A98" s="108">
        <v>41006097</v>
      </c>
      <c r="B98" s="108" t="s">
        <v>482</v>
      </c>
      <c r="C98" s="109">
        <v>3</v>
      </c>
      <c r="D98" s="109" t="s">
        <v>355</v>
      </c>
      <c r="E98" s="161" t="s">
        <v>450</v>
      </c>
      <c r="F98" s="161" t="s">
        <v>451</v>
      </c>
      <c r="G98" s="63" t="str">
        <f t="shared" si="15"/>
        <v>[effect:enemy_message, val1:1.4, val2:2.2]</v>
      </c>
      <c r="H98" s="63">
        <f t="shared" si="16"/>
        <v>9</v>
      </c>
      <c r="I98" s="63">
        <f t="shared" si="17"/>
        <v>22</v>
      </c>
      <c r="J98" s="63" t="e">
        <f t="shared" si="18"/>
        <v>#VALUE!</v>
      </c>
      <c r="K98" s="63">
        <f t="shared" si="19"/>
        <v>32</v>
      </c>
      <c r="L98" s="63" t="str">
        <f>IFERROR(VLOOKUP(MID(G98,J98,K98-J98),[5]skilldef!$C:$D,2,FALSE),"-") &amp; " / " &amp; IFERROR(VLOOKUP(MID(G98,H98,I98-H98),[5]skilldef!$A:$B,2,FALSE),"-")</f>
        <v>- / -</v>
      </c>
      <c r="M98" s="63" t="str">
        <f t="shared" si="20"/>
        <v>[effect:fix_speed,target:myself,turn:1]</v>
      </c>
      <c r="N98" s="48" t="str">
        <f>IFERROR(LEFT(M98,FIND("],",M98)+#REF!),M98)</f>
        <v>[effect:fix_speed,target:myself,turn:1]</v>
      </c>
      <c r="O98" s="63">
        <f t="shared" si="21"/>
        <v>9</v>
      </c>
      <c r="P98" s="63">
        <f t="shared" si="22"/>
        <v>18</v>
      </c>
      <c r="Q98" s="63">
        <f t="shared" si="23"/>
        <v>26</v>
      </c>
      <c r="R98" s="63">
        <f t="shared" si="24"/>
        <v>32</v>
      </c>
      <c r="S98" s="63" t="str">
        <f>IFERROR(VLOOKUP(MID(N98,Q98,R98-Q98),[5]skilldef!$C:$D,2,FALSE),"-") &amp; " / " &amp; IFERROR(VLOOKUP(MID(N98,O98,P98-O98),[5]skilldef!$A:$B,2,FALSE),"-")</f>
        <v>自分自身に / 行動値設定</v>
      </c>
      <c r="T98" s="48" t="str">
        <f t="shared" si="25"/>
        <v>none</v>
      </c>
      <c r="U98" s="63" t="e">
        <f t="shared" si="26"/>
        <v>#VALUE!</v>
      </c>
      <c r="V98" s="63">
        <f t="shared" si="27"/>
        <v>4</v>
      </c>
      <c r="W98" s="63" t="e">
        <f t="shared" si="28"/>
        <v>#VALUE!</v>
      </c>
      <c r="X98" s="63" t="e">
        <f t="shared" si="29"/>
        <v>#VALUE!</v>
      </c>
      <c r="Y98" s="63" t="str">
        <f>IFERROR(VLOOKUP(MID(T98,W98,X98-W98),[5]skilldef!$C:$D,2,FALSE),"-") &amp; " / " &amp; IFERROR(VLOOKUP(MID(T98,U98,V98-U98),[5]skilldef!$A:$B,2,FALSE),"-")</f>
        <v>- / -</v>
      </c>
      <c r="Z98" s="50" t="s">
        <v>230</v>
      </c>
      <c r="AA98" s="52"/>
      <c r="AB98" s="50"/>
    </row>
    <row r="99" spans="1:28" ht="21" customHeight="1" x14ac:dyDescent="0.15">
      <c r="A99" s="108">
        <v>41006098</v>
      </c>
      <c r="B99" s="108" t="s">
        <v>482</v>
      </c>
      <c r="C99" s="109">
        <v>3</v>
      </c>
      <c r="D99" s="109" t="s">
        <v>355</v>
      </c>
      <c r="E99" s="161" t="s">
        <v>450</v>
      </c>
      <c r="F99" s="161" t="s">
        <v>451</v>
      </c>
      <c r="G99" s="63" t="str">
        <f t="shared" si="15"/>
        <v>[effect:enemy_message, val1:1.4, val2:2.2]</v>
      </c>
      <c r="H99" s="63">
        <f t="shared" si="16"/>
        <v>9</v>
      </c>
      <c r="I99" s="63">
        <f t="shared" si="17"/>
        <v>22</v>
      </c>
      <c r="J99" s="63" t="e">
        <f t="shared" si="18"/>
        <v>#VALUE!</v>
      </c>
      <c r="K99" s="63">
        <f t="shared" si="19"/>
        <v>32</v>
      </c>
      <c r="L99" s="63" t="str">
        <f>IFERROR(VLOOKUP(MID(G99,J99,K99-J99),[5]skilldef!$C:$D,2,FALSE),"-") &amp; " / " &amp; IFERROR(VLOOKUP(MID(G99,H99,I99-H99),[5]skilldef!$A:$B,2,FALSE),"-")</f>
        <v>- / -</v>
      </c>
      <c r="M99" s="63" t="str">
        <f t="shared" si="20"/>
        <v>[effect:fix_speed,target:myself,turn:1]</v>
      </c>
      <c r="N99" s="48" t="str">
        <f>IFERROR(LEFT(M99,FIND("],",M99)+#REF!),M99)</f>
        <v>[effect:fix_speed,target:myself,turn:1]</v>
      </c>
      <c r="O99" s="63">
        <f t="shared" si="21"/>
        <v>9</v>
      </c>
      <c r="P99" s="63">
        <f t="shared" si="22"/>
        <v>18</v>
      </c>
      <c r="Q99" s="63">
        <f t="shared" si="23"/>
        <v>26</v>
      </c>
      <c r="R99" s="63">
        <f t="shared" si="24"/>
        <v>32</v>
      </c>
      <c r="S99" s="63" t="str">
        <f>IFERROR(VLOOKUP(MID(N99,Q99,R99-Q99),[5]skilldef!$C:$D,2,FALSE),"-") &amp; " / " &amp; IFERROR(VLOOKUP(MID(N99,O99,P99-O99),[5]skilldef!$A:$B,2,FALSE),"-")</f>
        <v>自分自身に / 行動値設定</v>
      </c>
      <c r="T99" s="48" t="str">
        <f t="shared" si="25"/>
        <v>none</v>
      </c>
      <c r="U99" s="63" t="e">
        <f t="shared" si="26"/>
        <v>#VALUE!</v>
      </c>
      <c r="V99" s="63">
        <f t="shared" si="27"/>
        <v>4</v>
      </c>
      <c r="W99" s="63" t="e">
        <f t="shared" si="28"/>
        <v>#VALUE!</v>
      </c>
      <c r="X99" s="63" t="e">
        <f t="shared" si="29"/>
        <v>#VALUE!</v>
      </c>
      <c r="Y99" s="63" t="str">
        <f>IFERROR(VLOOKUP(MID(T99,W99,X99-W99),[5]skilldef!$C:$D,2,FALSE),"-") &amp; " / " &amp; IFERROR(VLOOKUP(MID(T99,U99,V99-U99),[5]skilldef!$A:$B,2,FALSE),"-")</f>
        <v>- / -</v>
      </c>
      <c r="Z99" s="50" t="s">
        <v>230</v>
      </c>
      <c r="AA99" s="52"/>
      <c r="AB99" s="50"/>
    </row>
    <row r="100" spans="1:28" ht="21" customHeight="1" x14ac:dyDescent="0.15">
      <c r="A100" s="108">
        <v>41006099</v>
      </c>
      <c r="B100" s="108" t="s">
        <v>482</v>
      </c>
      <c r="C100" s="109">
        <v>3</v>
      </c>
      <c r="D100" s="109" t="s">
        <v>355</v>
      </c>
      <c r="E100" s="161" t="s">
        <v>450</v>
      </c>
      <c r="F100" s="161" t="s">
        <v>451</v>
      </c>
      <c r="G100" s="63" t="str">
        <f t="shared" si="15"/>
        <v>[effect:enemy_message, val1:1.4, val2:2.2]</v>
      </c>
      <c r="H100" s="63">
        <f t="shared" si="16"/>
        <v>9</v>
      </c>
      <c r="I100" s="63">
        <f t="shared" si="17"/>
        <v>22</v>
      </c>
      <c r="J100" s="63" t="e">
        <f t="shared" si="18"/>
        <v>#VALUE!</v>
      </c>
      <c r="K100" s="63">
        <f t="shared" si="19"/>
        <v>32</v>
      </c>
      <c r="L100" s="63" t="str">
        <f>IFERROR(VLOOKUP(MID(G100,J100,K100-J100),[5]skilldef!$C:$D,2,FALSE),"-") &amp; " / " &amp; IFERROR(VLOOKUP(MID(G100,H100,I100-H100),[5]skilldef!$A:$B,2,FALSE),"-")</f>
        <v>- / -</v>
      </c>
      <c r="M100" s="63" t="str">
        <f t="shared" si="20"/>
        <v>[effect:fix_speed,target:myself,turn:1]</v>
      </c>
      <c r="N100" s="48" t="str">
        <f>IFERROR(LEFT(M100,FIND("],",M100)+#REF!),M100)</f>
        <v>[effect:fix_speed,target:myself,turn:1]</v>
      </c>
      <c r="O100" s="63">
        <f t="shared" si="21"/>
        <v>9</v>
      </c>
      <c r="P100" s="63">
        <f t="shared" si="22"/>
        <v>18</v>
      </c>
      <c r="Q100" s="63">
        <f t="shared" si="23"/>
        <v>26</v>
      </c>
      <c r="R100" s="63">
        <f t="shared" si="24"/>
        <v>32</v>
      </c>
      <c r="S100" s="63" t="str">
        <f>IFERROR(VLOOKUP(MID(N100,Q100,R100-Q100),[5]skilldef!$C:$D,2,FALSE),"-") &amp; " / " &amp; IFERROR(VLOOKUP(MID(N100,O100,P100-O100),[5]skilldef!$A:$B,2,FALSE),"-")</f>
        <v>自分自身に / 行動値設定</v>
      </c>
      <c r="T100" s="48" t="str">
        <f t="shared" si="25"/>
        <v>none</v>
      </c>
      <c r="U100" s="63" t="e">
        <f t="shared" si="26"/>
        <v>#VALUE!</v>
      </c>
      <c r="V100" s="63">
        <f t="shared" si="27"/>
        <v>4</v>
      </c>
      <c r="W100" s="63" t="e">
        <f t="shared" si="28"/>
        <v>#VALUE!</v>
      </c>
      <c r="X100" s="63" t="e">
        <f t="shared" si="29"/>
        <v>#VALUE!</v>
      </c>
      <c r="Y100" s="63" t="str">
        <f>IFERROR(VLOOKUP(MID(T100,W100,X100-W100),[5]skilldef!$C:$D,2,FALSE),"-") &amp; " / " &amp; IFERROR(VLOOKUP(MID(T100,U100,V100-U100),[5]skilldef!$A:$B,2,FALSE),"-")</f>
        <v>- / -</v>
      </c>
      <c r="Z100" s="50" t="s">
        <v>230</v>
      </c>
      <c r="AA100" s="52"/>
      <c r="AB100" s="50"/>
    </row>
    <row r="101" spans="1:28" ht="21" customHeight="1" x14ac:dyDescent="0.15">
      <c r="A101" s="108">
        <v>41006100</v>
      </c>
      <c r="B101" s="108" t="s">
        <v>482</v>
      </c>
      <c r="C101" s="109">
        <v>3</v>
      </c>
      <c r="D101" s="109" t="s">
        <v>355</v>
      </c>
      <c r="E101" s="161" t="s">
        <v>462</v>
      </c>
      <c r="F101" s="161" t="s">
        <v>463</v>
      </c>
      <c r="G101" s="63" t="str">
        <f t="shared" si="15"/>
        <v>[effect:enemy_message, val1:1.4, val2:2.2]</v>
      </c>
      <c r="H101" s="63">
        <f t="shared" si="16"/>
        <v>9</v>
      </c>
      <c r="I101" s="63">
        <f t="shared" si="17"/>
        <v>22</v>
      </c>
      <c r="J101" s="63" t="e">
        <f t="shared" si="18"/>
        <v>#VALUE!</v>
      </c>
      <c r="K101" s="63">
        <f t="shared" si="19"/>
        <v>32</v>
      </c>
      <c r="L101" s="63" t="str">
        <f>IFERROR(VLOOKUP(MID(G101,J101,K101-J101),[5]skilldef!$C:$D,2,FALSE),"-") &amp; " / " &amp; IFERROR(VLOOKUP(MID(G101,H101,I101-H101),[5]skilldef!$A:$B,2,FALSE),"-")</f>
        <v>- / -</v>
      </c>
      <c r="M101" s="63" t="str">
        <f t="shared" si="20"/>
        <v>[effect:fix_speed,target:myself,turn:1]</v>
      </c>
      <c r="N101" s="48" t="str">
        <f>IFERROR(LEFT(M101,FIND("],",M101)+#REF!),M101)</f>
        <v>[effect:fix_speed,target:myself,turn:1]</v>
      </c>
      <c r="O101" s="63">
        <f t="shared" si="21"/>
        <v>9</v>
      </c>
      <c r="P101" s="63">
        <f t="shared" si="22"/>
        <v>18</v>
      </c>
      <c r="Q101" s="63">
        <f t="shared" si="23"/>
        <v>26</v>
      </c>
      <c r="R101" s="63">
        <f t="shared" si="24"/>
        <v>32</v>
      </c>
      <c r="S101" s="63" t="str">
        <f>IFERROR(VLOOKUP(MID(N101,Q101,R101-Q101),[5]skilldef!$C:$D,2,FALSE),"-") &amp; " / " &amp; IFERROR(VLOOKUP(MID(N101,O101,P101-O101),[5]skilldef!$A:$B,2,FALSE),"-")</f>
        <v>自分自身に / 行動値設定</v>
      </c>
      <c r="T101" s="48" t="str">
        <f t="shared" si="25"/>
        <v>none</v>
      </c>
      <c r="U101" s="63" t="e">
        <f t="shared" si="26"/>
        <v>#VALUE!</v>
      </c>
      <c r="V101" s="63">
        <f t="shared" si="27"/>
        <v>4</v>
      </c>
      <c r="W101" s="63" t="e">
        <f t="shared" si="28"/>
        <v>#VALUE!</v>
      </c>
      <c r="X101" s="63" t="e">
        <f t="shared" si="29"/>
        <v>#VALUE!</v>
      </c>
      <c r="Y101" s="63" t="str">
        <f>IFERROR(VLOOKUP(MID(T101,W101,X101-W101),[5]skilldef!$C:$D,2,FALSE),"-") &amp; " / " &amp; IFERROR(VLOOKUP(MID(T101,U101,V101-U101),[5]skilldef!$A:$B,2,FALSE),"-")</f>
        <v>- / -</v>
      </c>
      <c r="Z101" s="50" t="s">
        <v>230</v>
      </c>
      <c r="AA101" s="52"/>
      <c r="AB101" s="50"/>
    </row>
    <row r="102" spans="1:28" ht="21" customHeight="1" x14ac:dyDescent="0.15">
      <c r="A102" s="108">
        <v>41006101</v>
      </c>
      <c r="B102" s="108" t="s">
        <v>482</v>
      </c>
      <c r="C102" s="109">
        <v>3</v>
      </c>
      <c r="D102" s="109" t="s">
        <v>355</v>
      </c>
      <c r="E102" s="161" t="s">
        <v>462</v>
      </c>
      <c r="F102" s="161" t="s">
        <v>463</v>
      </c>
      <c r="G102" s="63" t="str">
        <f t="shared" si="15"/>
        <v>[effect:enemy_message, val1:1.4, val2:2.2]</v>
      </c>
      <c r="H102" s="63">
        <f t="shared" si="16"/>
        <v>9</v>
      </c>
      <c r="I102" s="63">
        <f t="shared" si="17"/>
        <v>22</v>
      </c>
      <c r="J102" s="63" t="e">
        <f t="shared" si="18"/>
        <v>#VALUE!</v>
      </c>
      <c r="K102" s="63">
        <f t="shared" si="19"/>
        <v>32</v>
      </c>
      <c r="L102" s="63" t="str">
        <f>IFERROR(VLOOKUP(MID(G102,J102,K102-J102),[5]skilldef!$C:$D,2,FALSE),"-") &amp; " / " &amp; IFERROR(VLOOKUP(MID(G102,H102,I102-H102),[5]skilldef!$A:$B,2,FALSE),"-")</f>
        <v>- / -</v>
      </c>
      <c r="M102" s="63" t="str">
        <f t="shared" si="20"/>
        <v>[effect:fix_speed,target:myself,turn:1]</v>
      </c>
      <c r="N102" s="48" t="str">
        <f>IFERROR(LEFT(M102,FIND("],",M102)+#REF!),M102)</f>
        <v>[effect:fix_speed,target:myself,turn:1]</v>
      </c>
      <c r="O102" s="63">
        <f t="shared" si="21"/>
        <v>9</v>
      </c>
      <c r="P102" s="63">
        <f t="shared" si="22"/>
        <v>18</v>
      </c>
      <c r="Q102" s="63">
        <f t="shared" si="23"/>
        <v>26</v>
      </c>
      <c r="R102" s="63">
        <f t="shared" si="24"/>
        <v>32</v>
      </c>
      <c r="S102" s="63" t="str">
        <f>IFERROR(VLOOKUP(MID(N102,Q102,R102-Q102),[5]skilldef!$C:$D,2,FALSE),"-") &amp; " / " &amp; IFERROR(VLOOKUP(MID(N102,O102,P102-O102),[5]skilldef!$A:$B,2,FALSE),"-")</f>
        <v>自分自身に / 行動値設定</v>
      </c>
      <c r="T102" s="48" t="str">
        <f t="shared" si="25"/>
        <v>none</v>
      </c>
      <c r="U102" s="63" t="e">
        <f t="shared" si="26"/>
        <v>#VALUE!</v>
      </c>
      <c r="V102" s="63">
        <f t="shared" si="27"/>
        <v>4</v>
      </c>
      <c r="W102" s="63" t="e">
        <f t="shared" si="28"/>
        <v>#VALUE!</v>
      </c>
      <c r="X102" s="63" t="e">
        <f t="shared" si="29"/>
        <v>#VALUE!</v>
      </c>
      <c r="Y102" s="63" t="str">
        <f>IFERROR(VLOOKUP(MID(T102,W102,X102-W102),[5]skilldef!$C:$D,2,FALSE),"-") &amp; " / " &amp; IFERROR(VLOOKUP(MID(T102,U102,V102-U102),[5]skilldef!$A:$B,2,FALSE),"-")</f>
        <v>- / -</v>
      </c>
      <c r="Z102" s="50" t="s">
        <v>230</v>
      </c>
      <c r="AA102" s="52"/>
      <c r="AB102" s="50"/>
    </row>
    <row r="103" spans="1:28" ht="21" customHeight="1" x14ac:dyDescent="0.15">
      <c r="A103" s="108">
        <v>41006102</v>
      </c>
      <c r="B103" s="108" t="s">
        <v>482</v>
      </c>
      <c r="C103" s="109">
        <v>3</v>
      </c>
      <c r="D103" s="109" t="s">
        <v>355</v>
      </c>
      <c r="E103" s="161" t="s">
        <v>462</v>
      </c>
      <c r="F103" s="161" t="s">
        <v>463</v>
      </c>
      <c r="G103" s="63" t="str">
        <f t="shared" si="15"/>
        <v>[effect:enemy_message, val1:1.4, val2:2.2]</v>
      </c>
      <c r="H103" s="63">
        <f t="shared" si="16"/>
        <v>9</v>
      </c>
      <c r="I103" s="63">
        <f t="shared" si="17"/>
        <v>22</v>
      </c>
      <c r="J103" s="63" t="e">
        <f t="shared" si="18"/>
        <v>#VALUE!</v>
      </c>
      <c r="K103" s="63">
        <f t="shared" si="19"/>
        <v>32</v>
      </c>
      <c r="L103" s="63" t="str">
        <f>IFERROR(VLOOKUP(MID(G103,J103,K103-J103),[5]skilldef!$C:$D,2,FALSE),"-") &amp; " / " &amp; IFERROR(VLOOKUP(MID(G103,H103,I103-H103),[5]skilldef!$A:$B,2,FALSE),"-")</f>
        <v>- / -</v>
      </c>
      <c r="M103" s="63" t="str">
        <f t="shared" si="20"/>
        <v>[effect:fix_speed,target:myself,turn:1]</v>
      </c>
      <c r="N103" s="48" t="str">
        <f>IFERROR(LEFT(M103,FIND("],",M103)+#REF!),M103)</f>
        <v>[effect:fix_speed,target:myself,turn:1]</v>
      </c>
      <c r="O103" s="63">
        <f t="shared" si="21"/>
        <v>9</v>
      </c>
      <c r="P103" s="63">
        <f t="shared" si="22"/>
        <v>18</v>
      </c>
      <c r="Q103" s="63">
        <f t="shared" si="23"/>
        <v>26</v>
      </c>
      <c r="R103" s="63">
        <f t="shared" si="24"/>
        <v>32</v>
      </c>
      <c r="S103" s="63" t="str">
        <f>IFERROR(VLOOKUP(MID(N103,Q103,R103-Q103),[5]skilldef!$C:$D,2,FALSE),"-") &amp; " / " &amp; IFERROR(VLOOKUP(MID(N103,O103,P103-O103),[5]skilldef!$A:$B,2,FALSE),"-")</f>
        <v>自分自身に / 行動値設定</v>
      </c>
      <c r="T103" s="48" t="str">
        <f t="shared" si="25"/>
        <v>none</v>
      </c>
      <c r="U103" s="63" t="e">
        <f t="shared" si="26"/>
        <v>#VALUE!</v>
      </c>
      <c r="V103" s="63">
        <f t="shared" si="27"/>
        <v>4</v>
      </c>
      <c r="W103" s="63" t="e">
        <f t="shared" si="28"/>
        <v>#VALUE!</v>
      </c>
      <c r="X103" s="63" t="e">
        <f t="shared" si="29"/>
        <v>#VALUE!</v>
      </c>
      <c r="Y103" s="63" t="str">
        <f>IFERROR(VLOOKUP(MID(T103,W103,X103-W103),[5]skilldef!$C:$D,2,FALSE),"-") &amp; " / " &amp; IFERROR(VLOOKUP(MID(T103,U103,V103-U103),[5]skilldef!$A:$B,2,FALSE),"-")</f>
        <v>- / -</v>
      </c>
      <c r="Z103" s="50" t="s">
        <v>230</v>
      </c>
      <c r="AA103" s="52"/>
      <c r="AB103" s="50"/>
    </row>
    <row r="104" spans="1:28" ht="21" customHeight="1" x14ac:dyDescent="0.15">
      <c r="A104" s="108">
        <v>41006103</v>
      </c>
      <c r="B104" s="108" t="s">
        <v>482</v>
      </c>
      <c r="C104" s="109">
        <v>3</v>
      </c>
      <c r="D104" s="109" t="s">
        <v>355</v>
      </c>
      <c r="E104" s="161" t="s">
        <v>457</v>
      </c>
      <c r="F104" s="161" t="s">
        <v>458</v>
      </c>
      <c r="G104" s="63" t="str">
        <f t="shared" si="15"/>
        <v>[effect:enemy_message, val1:1.4, val2:2.2]</v>
      </c>
      <c r="H104" s="63">
        <f t="shared" si="16"/>
        <v>9</v>
      </c>
      <c r="I104" s="63">
        <f t="shared" si="17"/>
        <v>22</v>
      </c>
      <c r="J104" s="63" t="e">
        <f t="shared" si="18"/>
        <v>#VALUE!</v>
      </c>
      <c r="K104" s="63">
        <f t="shared" si="19"/>
        <v>32</v>
      </c>
      <c r="L104" s="63" t="str">
        <f>IFERROR(VLOOKUP(MID(G104,J104,K104-J104),[5]skilldef!$C:$D,2,FALSE),"-") &amp; " / " &amp; IFERROR(VLOOKUP(MID(G104,H104,I104-H104),[5]skilldef!$A:$B,2,FALSE),"-")</f>
        <v>- / -</v>
      </c>
      <c r="M104" s="63" t="str">
        <f t="shared" si="20"/>
        <v>[effect:fix_speed,target:myself,turn:1]</v>
      </c>
      <c r="N104" s="48" t="str">
        <f>IFERROR(LEFT(M104,FIND("],",M104)+#REF!),M104)</f>
        <v>[effect:fix_speed,target:myself,turn:1]</v>
      </c>
      <c r="O104" s="63">
        <f t="shared" si="21"/>
        <v>9</v>
      </c>
      <c r="P104" s="63">
        <f t="shared" si="22"/>
        <v>18</v>
      </c>
      <c r="Q104" s="63">
        <f t="shared" si="23"/>
        <v>26</v>
      </c>
      <c r="R104" s="63">
        <f t="shared" si="24"/>
        <v>32</v>
      </c>
      <c r="S104" s="63" t="str">
        <f>IFERROR(VLOOKUP(MID(N104,Q104,R104-Q104),[5]skilldef!$C:$D,2,FALSE),"-") &amp; " / " &amp; IFERROR(VLOOKUP(MID(N104,O104,P104-O104),[5]skilldef!$A:$B,2,FALSE),"-")</f>
        <v>自分自身に / 行動値設定</v>
      </c>
      <c r="T104" s="48" t="str">
        <f t="shared" si="25"/>
        <v>none</v>
      </c>
      <c r="U104" s="63" t="e">
        <f t="shared" si="26"/>
        <v>#VALUE!</v>
      </c>
      <c r="V104" s="63">
        <f t="shared" si="27"/>
        <v>4</v>
      </c>
      <c r="W104" s="63" t="e">
        <f t="shared" si="28"/>
        <v>#VALUE!</v>
      </c>
      <c r="X104" s="63" t="e">
        <f t="shared" si="29"/>
        <v>#VALUE!</v>
      </c>
      <c r="Y104" s="63" t="str">
        <f>IFERROR(VLOOKUP(MID(T104,W104,X104-W104),[5]skilldef!$C:$D,2,FALSE),"-") &amp; " / " &amp; IFERROR(VLOOKUP(MID(T104,U104,V104-U104),[5]skilldef!$A:$B,2,FALSE),"-")</f>
        <v>- / -</v>
      </c>
      <c r="Z104" s="50" t="s">
        <v>230</v>
      </c>
      <c r="AA104" s="52"/>
      <c r="AB104" s="50"/>
    </row>
    <row r="105" spans="1:28" ht="21" customHeight="1" x14ac:dyDescent="0.15">
      <c r="A105" s="108">
        <v>41006104</v>
      </c>
      <c r="B105" s="108" t="s">
        <v>482</v>
      </c>
      <c r="C105" s="109">
        <v>3</v>
      </c>
      <c r="D105" s="109" t="s">
        <v>355</v>
      </c>
      <c r="E105" s="161" t="s">
        <v>457</v>
      </c>
      <c r="F105" s="161" t="s">
        <v>458</v>
      </c>
      <c r="G105" s="63" t="str">
        <f t="shared" si="15"/>
        <v>[effect:enemy_message, val1:1.4, val2:2.2]</v>
      </c>
      <c r="H105" s="63">
        <f t="shared" si="16"/>
        <v>9</v>
      </c>
      <c r="I105" s="63">
        <f t="shared" si="17"/>
        <v>22</v>
      </c>
      <c r="J105" s="63" t="e">
        <f t="shared" si="18"/>
        <v>#VALUE!</v>
      </c>
      <c r="K105" s="63">
        <f t="shared" si="19"/>
        <v>32</v>
      </c>
      <c r="L105" s="63" t="str">
        <f>IFERROR(VLOOKUP(MID(G105,J105,K105-J105),[5]skilldef!$C:$D,2,FALSE),"-") &amp; " / " &amp; IFERROR(VLOOKUP(MID(G105,H105,I105-H105),[5]skilldef!$A:$B,2,FALSE),"-")</f>
        <v>- / -</v>
      </c>
      <c r="M105" s="63" t="str">
        <f t="shared" si="20"/>
        <v>[effect:fix_speed,target:myself,turn:1]</v>
      </c>
      <c r="N105" s="48" t="str">
        <f>IFERROR(LEFT(M105,FIND("],",M105)+#REF!),M105)</f>
        <v>[effect:fix_speed,target:myself,turn:1]</v>
      </c>
      <c r="O105" s="63">
        <f t="shared" si="21"/>
        <v>9</v>
      </c>
      <c r="P105" s="63">
        <f t="shared" si="22"/>
        <v>18</v>
      </c>
      <c r="Q105" s="63">
        <f t="shared" si="23"/>
        <v>26</v>
      </c>
      <c r="R105" s="63">
        <f t="shared" si="24"/>
        <v>32</v>
      </c>
      <c r="S105" s="63" t="str">
        <f>IFERROR(VLOOKUP(MID(N105,Q105,R105-Q105),[5]skilldef!$C:$D,2,FALSE),"-") &amp; " / " &amp; IFERROR(VLOOKUP(MID(N105,O105,P105-O105),[5]skilldef!$A:$B,2,FALSE),"-")</f>
        <v>自分自身に / 行動値設定</v>
      </c>
      <c r="T105" s="48" t="str">
        <f t="shared" si="25"/>
        <v>none</v>
      </c>
      <c r="U105" s="63" t="e">
        <f t="shared" si="26"/>
        <v>#VALUE!</v>
      </c>
      <c r="V105" s="63">
        <f t="shared" si="27"/>
        <v>4</v>
      </c>
      <c r="W105" s="63" t="e">
        <f t="shared" si="28"/>
        <v>#VALUE!</v>
      </c>
      <c r="X105" s="63" t="e">
        <f t="shared" si="29"/>
        <v>#VALUE!</v>
      </c>
      <c r="Y105" s="63" t="str">
        <f>IFERROR(VLOOKUP(MID(T105,W105,X105-W105),[5]skilldef!$C:$D,2,FALSE),"-") &amp; " / " &amp; IFERROR(VLOOKUP(MID(T105,U105,V105-U105),[5]skilldef!$A:$B,2,FALSE),"-")</f>
        <v>- / -</v>
      </c>
      <c r="Z105" s="50" t="s">
        <v>230</v>
      </c>
      <c r="AA105" s="52"/>
      <c r="AB105" s="50"/>
    </row>
    <row r="106" spans="1:28" ht="21" customHeight="1" x14ac:dyDescent="0.15">
      <c r="A106" s="108">
        <v>41006105</v>
      </c>
      <c r="B106" s="108" t="s">
        <v>482</v>
      </c>
      <c r="C106" s="109">
        <v>3</v>
      </c>
      <c r="D106" s="109" t="s">
        <v>355</v>
      </c>
      <c r="E106" s="160" t="s">
        <v>449</v>
      </c>
      <c r="F106" s="160" t="s">
        <v>452</v>
      </c>
      <c r="G106" s="63" t="str">
        <f t="shared" si="15"/>
        <v>[effect:enemy_message, val1:1.4, val2:2.2]</v>
      </c>
      <c r="H106" s="63">
        <f t="shared" si="16"/>
        <v>9</v>
      </c>
      <c r="I106" s="63">
        <f t="shared" si="17"/>
        <v>22</v>
      </c>
      <c r="J106" s="63" t="e">
        <f t="shared" si="18"/>
        <v>#VALUE!</v>
      </c>
      <c r="K106" s="63">
        <f t="shared" si="19"/>
        <v>32</v>
      </c>
      <c r="L106" s="63" t="str">
        <f>IFERROR(VLOOKUP(MID(G106,J106,K106-J106),[5]skilldef!$C:$D,2,FALSE),"-") &amp; " / " &amp; IFERROR(VLOOKUP(MID(G106,H106,I106-H106),[5]skilldef!$A:$B,2,FALSE),"-")</f>
        <v>- / -</v>
      </c>
      <c r="M106" s="63" t="str">
        <f t="shared" si="20"/>
        <v>[effect:fix_speed,target:myself,turn:1]</v>
      </c>
      <c r="N106" s="48" t="str">
        <f>IFERROR(LEFT(M106,FIND("],",M106)+#REF!),M106)</f>
        <v>[effect:fix_speed,target:myself,turn:1]</v>
      </c>
      <c r="O106" s="63">
        <f t="shared" si="21"/>
        <v>9</v>
      </c>
      <c r="P106" s="63">
        <f t="shared" si="22"/>
        <v>18</v>
      </c>
      <c r="Q106" s="63">
        <f t="shared" si="23"/>
        <v>26</v>
      </c>
      <c r="R106" s="63">
        <f t="shared" si="24"/>
        <v>32</v>
      </c>
      <c r="S106" s="63" t="str">
        <f>IFERROR(VLOOKUP(MID(N106,Q106,R106-Q106),[5]skilldef!$C:$D,2,FALSE),"-") &amp; " / " &amp; IFERROR(VLOOKUP(MID(N106,O106,P106-O106),[5]skilldef!$A:$B,2,FALSE),"-")</f>
        <v>自分自身に / 行動値設定</v>
      </c>
      <c r="T106" s="48" t="str">
        <f t="shared" si="25"/>
        <v>none</v>
      </c>
      <c r="U106" s="63" t="e">
        <f t="shared" si="26"/>
        <v>#VALUE!</v>
      </c>
      <c r="V106" s="63">
        <f t="shared" si="27"/>
        <v>4</v>
      </c>
      <c r="W106" s="63" t="e">
        <f t="shared" si="28"/>
        <v>#VALUE!</v>
      </c>
      <c r="X106" s="63" t="e">
        <f t="shared" si="29"/>
        <v>#VALUE!</v>
      </c>
      <c r="Y106" s="63" t="str">
        <f>IFERROR(VLOOKUP(MID(T106,W106,X106-W106),[5]skilldef!$C:$D,2,FALSE),"-") &amp; " / " &amp; IFERROR(VLOOKUP(MID(T106,U106,V106-U106),[5]skilldef!$A:$B,2,FALSE),"-")</f>
        <v>- / -</v>
      </c>
      <c r="Z106" s="50" t="s">
        <v>230</v>
      </c>
      <c r="AA106" s="52"/>
      <c r="AB106" s="50"/>
    </row>
    <row r="107" spans="1:28" ht="21" customHeight="1" x14ac:dyDescent="0.15">
      <c r="A107" s="108">
        <v>41006106</v>
      </c>
      <c r="B107" s="108" t="s">
        <v>482</v>
      </c>
      <c r="C107" s="109">
        <v>3</v>
      </c>
      <c r="D107" s="109" t="s">
        <v>355</v>
      </c>
      <c r="E107" s="160" t="s">
        <v>449</v>
      </c>
      <c r="F107" s="160" t="s">
        <v>452</v>
      </c>
      <c r="G107" s="63" t="str">
        <f t="shared" si="15"/>
        <v>[effect:enemy_message, val1:1.4, val2:2.2]</v>
      </c>
      <c r="H107" s="63">
        <f t="shared" si="16"/>
        <v>9</v>
      </c>
      <c r="I107" s="63">
        <f t="shared" si="17"/>
        <v>22</v>
      </c>
      <c r="J107" s="63" t="e">
        <f t="shared" si="18"/>
        <v>#VALUE!</v>
      </c>
      <c r="K107" s="63">
        <f t="shared" si="19"/>
        <v>32</v>
      </c>
      <c r="L107" s="63" t="str">
        <f>IFERROR(VLOOKUP(MID(G107,J107,K107-J107),[5]skilldef!$C:$D,2,FALSE),"-") &amp; " / " &amp; IFERROR(VLOOKUP(MID(G107,H107,I107-H107),[5]skilldef!$A:$B,2,FALSE),"-")</f>
        <v>- / -</v>
      </c>
      <c r="M107" s="63" t="str">
        <f t="shared" si="20"/>
        <v>[effect:fix_speed,target:myself,turn:1]</v>
      </c>
      <c r="N107" s="48" t="str">
        <f>IFERROR(LEFT(M107,FIND("],",M107)+#REF!),M107)</f>
        <v>[effect:fix_speed,target:myself,turn:1]</v>
      </c>
      <c r="O107" s="63">
        <f t="shared" si="21"/>
        <v>9</v>
      </c>
      <c r="P107" s="63">
        <f t="shared" si="22"/>
        <v>18</v>
      </c>
      <c r="Q107" s="63">
        <f t="shared" si="23"/>
        <v>26</v>
      </c>
      <c r="R107" s="63">
        <f t="shared" si="24"/>
        <v>32</v>
      </c>
      <c r="S107" s="63" t="str">
        <f>IFERROR(VLOOKUP(MID(N107,Q107,R107-Q107),[5]skilldef!$C:$D,2,FALSE),"-") &amp; " / " &amp; IFERROR(VLOOKUP(MID(N107,O107,P107-O107),[5]skilldef!$A:$B,2,FALSE),"-")</f>
        <v>自分自身に / 行動値設定</v>
      </c>
      <c r="T107" s="48" t="str">
        <f t="shared" si="25"/>
        <v>none</v>
      </c>
      <c r="U107" s="63" t="e">
        <f t="shared" si="26"/>
        <v>#VALUE!</v>
      </c>
      <c r="V107" s="63">
        <f t="shared" si="27"/>
        <v>4</v>
      </c>
      <c r="W107" s="63" t="e">
        <f t="shared" si="28"/>
        <v>#VALUE!</v>
      </c>
      <c r="X107" s="63" t="e">
        <f t="shared" si="29"/>
        <v>#VALUE!</v>
      </c>
      <c r="Y107" s="63" t="str">
        <f>IFERROR(VLOOKUP(MID(T107,W107,X107-W107),[5]skilldef!$C:$D,2,FALSE),"-") &amp; " / " &amp; IFERROR(VLOOKUP(MID(T107,U107,V107-U107),[5]skilldef!$A:$B,2,FALSE),"-")</f>
        <v>- / -</v>
      </c>
      <c r="Z107" s="50" t="s">
        <v>230</v>
      </c>
      <c r="AA107" s="52"/>
      <c r="AB107" s="50"/>
    </row>
    <row r="108" spans="1:28" ht="21" customHeight="1" x14ac:dyDescent="0.15">
      <c r="A108" s="108">
        <v>41006107</v>
      </c>
      <c r="B108" s="108" t="s">
        <v>482</v>
      </c>
      <c r="C108" s="109">
        <v>3</v>
      </c>
      <c r="D108" s="109" t="s">
        <v>355</v>
      </c>
      <c r="E108" s="160" t="s">
        <v>449</v>
      </c>
      <c r="F108" s="160" t="s">
        <v>452</v>
      </c>
      <c r="G108" s="63" t="str">
        <f t="shared" si="15"/>
        <v>[effect:enemy_message, val1:1.4, val2:2.2]</v>
      </c>
      <c r="H108" s="63">
        <f t="shared" si="16"/>
        <v>9</v>
      </c>
      <c r="I108" s="63">
        <f t="shared" si="17"/>
        <v>22</v>
      </c>
      <c r="J108" s="63" t="e">
        <f t="shared" si="18"/>
        <v>#VALUE!</v>
      </c>
      <c r="K108" s="63">
        <f t="shared" si="19"/>
        <v>32</v>
      </c>
      <c r="L108" s="63" t="str">
        <f>IFERROR(VLOOKUP(MID(G108,J108,K108-J108),[5]skilldef!$C:$D,2,FALSE),"-") &amp; " / " &amp; IFERROR(VLOOKUP(MID(G108,H108,I108-H108),[5]skilldef!$A:$B,2,FALSE),"-")</f>
        <v>- / -</v>
      </c>
      <c r="M108" s="63" t="str">
        <f t="shared" si="20"/>
        <v>[effect:fix_speed,target:myself,turn:1]</v>
      </c>
      <c r="N108" s="48" t="str">
        <f>IFERROR(LEFT(M108,FIND("],",M108)+#REF!),M108)</f>
        <v>[effect:fix_speed,target:myself,turn:1]</v>
      </c>
      <c r="O108" s="63">
        <f t="shared" si="21"/>
        <v>9</v>
      </c>
      <c r="P108" s="63">
        <f t="shared" si="22"/>
        <v>18</v>
      </c>
      <c r="Q108" s="63">
        <f t="shared" si="23"/>
        <v>26</v>
      </c>
      <c r="R108" s="63">
        <f t="shared" si="24"/>
        <v>32</v>
      </c>
      <c r="S108" s="63" t="str">
        <f>IFERROR(VLOOKUP(MID(N108,Q108,R108-Q108),[5]skilldef!$C:$D,2,FALSE),"-") &amp; " / " &amp; IFERROR(VLOOKUP(MID(N108,O108,P108-O108),[5]skilldef!$A:$B,2,FALSE),"-")</f>
        <v>自分自身に / 行動値設定</v>
      </c>
      <c r="T108" s="48" t="str">
        <f t="shared" si="25"/>
        <v>none</v>
      </c>
      <c r="U108" s="63" t="e">
        <f t="shared" si="26"/>
        <v>#VALUE!</v>
      </c>
      <c r="V108" s="63">
        <f t="shared" si="27"/>
        <v>4</v>
      </c>
      <c r="W108" s="63" t="e">
        <f t="shared" si="28"/>
        <v>#VALUE!</v>
      </c>
      <c r="X108" s="63" t="e">
        <f t="shared" si="29"/>
        <v>#VALUE!</v>
      </c>
      <c r="Y108" s="63" t="str">
        <f>IFERROR(VLOOKUP(MID(T108,W108,X108-W108),[5]skilldef!$C:$D,2,FALSE),"-") &amp; " / " &amp; IFERROR(VLOOKUP(MID(T108,U108,V108-U108),[5]skilldef!$A:$B,2,FALSE),"-")</f>
        <v>- / -</v>
      </c>
      <c r="Z108" s="50" t="s">
        <v>230</v>
      </c>
      <c r="AA108" s="52"/>
      <c r="AB108" s="50"/>
    </row>
    <row r="109" spans="1:28" ht="21" customHeight="1" x14ac:dyDescent="0.15">
      <c r="A109" s="108">
        <v>41006108</v>
      </c>
      <c r="B109" s="108" t="s">
        <v>482</v>
      </c>
      <c r="C109" s="109">
        <v>3</v>
      </c>
      <c r="D109" s="109" t="s">
        <v>355</v>
      </c>
      <c r="E109" s="160" t="s">
        <v>454</v>
      </c>
      <c r="F109" s="160" t="s">
        <v>456</v>
      </c>
      <c r="G109" s="63" t="str">
        <f t="shared" si="15"/>
        <v>[effect:enemy_message, val1:1.4, val2:2.2]</v>
      </c>
      <c r="H109" s="63">
        <f t="shared" si="16"/>
        <v>9</v>
      </c>
      <c r="I109" s="63">
        <f t="shared" si="17"/>
        <v>22</v>
      </c>
      <c r="J109" s="63" t="e">
        <f t="shared" si="18"/>
        <v>#VALUE!</v>
      </c>
      <c r="K109" s="63">
        <f t="shared" si="19"/>
        <v>32</v>
      </c>
      <c r="L109" s="63" t="str">
        <f>IFERROR(VLOOKUP(MID(G109,J109,K109-J109),[5]skilldef!$C:$D,2,FALSE),"-") &amp; " / " &amp; IFERROR(VLOOKUP(MID(G109,H109,I109-H109),[5]skilldef!$A:$B,2,FALSE),"-")</f>
        <v>- / -</v>
      </c>
      <c r="M109" s="63" t="str">
        <f t="shared" si="20"/>
        <v>[effect:fix_speed,target:myself,turn:1]</v>
      </c>
      <c r="N109" s="48" t="str">
        <f>IFERROR(LEFT(M109,FIND("],",M109)+#REF!),M109)</f>
        <v>[effect:fix_speed,target:myself,turn:1]</v>
      </c>
      <c r="O109" s="63">
        <f t="shared" si="21"/>
        <v>9</v>
      </c>
      <c r="P109" s="63">
        <f t="shared" si="22"/>
        <v>18</v>
      </c>
      <c r="Q109" s="63">
        <f t="shared" si="23"/>
        <v>26</v>
      </c>
      <c r="R109" s="63">
        <f t="shared" si="24"/>
        <v>32</v>
      </c>
      <c r="S109" s="63" t="str">
        <f>IFERROR(VLOOKUP(MID(N109,Q109,R109-Q109),[5]skilldef!$C:$D,2,FALSE),"-") &amp; " / " &amp; IFERROR(VLOOKUP(MID(N109,O109,P109-O109),[5]skilldef!$A:$B,2,FALSE),"-")</f>
        <v>自分自身に / 行動値設定</v>
      </c>
      <c r="T109" s="48" t="str">
        <f t="shared" si="25"/>
        <v>none</v>
      </c>
      <c r="U109" s="63" t="e">
        <f t="shared" si="26"/>
        <v>#VALUE!</v>
      </c>
      <c r="V109" s="63">
        <f t="shared" si="27"/>
        <v>4</v>
      </c>
      <c r="W109" s="63" t="e">
        <f t="shared" si="28"/>
        <v>#VALUE!</v>
      </c>
      <c r="X109" s="63" t="e">
        <f t="shared" si="29"/>
        <v>#VALUE!</v>
      </c>
      <c r="Y109" s="63" t="str">
        <f>IFERROR(VLOOKUP(MID(T109,W109,X109-W109),[5]skilldef!$C:$D,2,FALSE),"-") &amp; " / " &amp; IFERROR(VLOOKUP(MID(T109,U109,V109-U109),[5]skilldef!$A:$B,2,FALSE),"-")</f>
        <v>- / -</v>
      </c>
      <c r="Z109" s="50" t="s">
        <v>230</v>
      </c>
      <c r="AA109" s="52"/>
      <c r="AB109" s="50"/>
    </row>
    <row r="110" spans="1:28" ht="21" customHeight="1" x14ac:dyDescent="0.15">
      <c r="A110" s="108">
        <v>41006109</v>
      </c>
      <c r="B110" s="108" t="s">
        <v>482</v>
      </c>
      <c r="C110" s="109">
        <v>3</v>
      </c>
      <c r="D110" s="109" t="s">
        <v>355</v>
      </c>
      <c r="E110" s="160" t="s">
        <v>454</v>
      </c>
      <c r="F110" s="160" t="s">
        <v>456</v>
      </c>
      <c r="G110" s="63" t="str">
        <f t="shared" si="15"/>
        <v>[effect:enemy_message, val1:1.4, val2:2.2]</v>
      </c>
      <c r="H110" s="63">
        <f t="shared" si="16"/>
        <v>9</v>
      </c>
      <c r="I110" s="63">
        <f t="shared" si="17"/>
        <v>22</v>
      </c>
      <c r="J110" s="63" t="e">
        <f t="shared" si="18"/>
        <v>#VALUE!</v>
      </c>
      <c r="K110" s="63">
        <f t="shared" si="19"/>
        <v>32</v>
      </c>
      <c r="L110" s="63" t="str">
        <f>IFERROR(VLOOKUP(MID(G110,J110,K110-J110),[5]skilldef!$C:$D,2,FALSE),"-") &amp; " / " &amp; IFERROR(VLOOKUP(MID(G110,H110,I110-H110),[5]skilldef!$A:$B,2,FALSE),"-")</f>
        <v>- / -</v>
      </c>
      <c r="M110" s="63" t="str">
        <f t="shared" si="20"/>
        <v>[effect:fix_speed,target:myself,turn:1]</v>
      </c>
      <c r="N110" s="48" t="str">
        <f>IFERROR(LEFT(M110,FIND("],",M110)+#REF!),M110)</f>
        <v>[effect:fix_speed,target:myself,turn:1]</v>
      </c>
      <c r="O110" s="63">
        <f t="shared" si="21"/>
        <v>9</v>
      </c>
      <c r="P110" s="63">
        <f t="shared" si="22"/>
        <v>18</v>
      </c>
      <c r="Q110" s="63">
        <f t="shared" si="23"/>
        <v>26</v>
      </c>
      <c r="R110" s="63">
        <f t="shared" si="24"/>
        <v>32</v>
      </c>
      <c r="S110" s="63" t="str">
        <f>IFERROR(VLOOKUP(MID(N110,Q110,R110-Q110),[5]skilldef!$C:$D,2,FALSE),"-") &amp; " / " &amp; IFERROR(VLOOKUP(MID(N110,O110,P110-O110),[5]skilldef!$A:$B,2,FALSE),"-")</f>
        <v>自分自身に / 行動値設定</v>
      </c>
      <c r="T110" s="48" t="str">
        <f t="shared" si="25"/>
        <v>none</v>
      </c>
      <c r="U110" s="63" t="e">
        <f t="shared" si="26"/>
        <v>#VALUE!</v>
      </c>
      <c r="V110" s="63">
        <f t="shared" si="27"/>
        <v>4</v>
      </c>
      <c r="W110" s="63" t="e">
        <f t="shared" si="28"/>
        <v>#VALUE!</v>
      </c>
      <c r="X110" s="63" t="e">
        <f t="shared" si="29"/>
        <v>#VALUE!</v>
      </c>
      <c r="Y110" s="63" t="str">
        <f>IFERROR(VLOOKUP(MID(T110,W110,X110-W110),[5]skilldef!$C:$D,2,FALSE),"-") &amp; " / " &amp; IFERROR(VLOOKUP(MID(T110,U110,V110-U110),[5]skilldef!$A:$B,2,FALSE),"-")</f>
        <v>- / -</v>
      </c>
      <c r="Z110" s="50" t="s">
        <v>230</v>
      </c>
      <c r="AA110" s="52"/>
      <c r="AB110" s="50"/>
    </row>
    <row r="111" spans="1:28" ht="21" customHeight="1" x14ac:dyDescent="0.15">
      <c r="A111" s="108">
        <v>41006110</v>
      </c>
      <c r="B111" s="108" t="s">
        <v>482</v>
      </c>
      <c r="C111" s="109">
        <v>3</v>
      </c>
      <c r="D111" s="109" t="s">
        <v>355</v>
      </c>
      <c r="E111" s="160" t="s">
        <v>454</v>
      </c>
      <c r="F111" s="160" t="s">
        <v>456</v>
      </c>
      <c r="G111" s="63" t="str">
        <f t="shared" si="15"/>
        <v>[effect:enemy_message, val1:1.4, val2:2.2]</v>
      </c>
      <c r="H111" s="63">
        <f t="shared" si="16"/>
        <v>9</v>
      </c>
      <c r="I111" s="63">
        <f t="shared" si="17"/>
        <v>22</v>
      </c>
      <c r="J111" s="63" t="e">
        <f t="shared" si="18"/>
        <v>#VALUE!</v>
      </c>
      <c r="K111" s="63">
        <f t="shared" si="19"/>
        <v>32</v>
      </c>
      <c r="L111" s="63" t="str">
        <f>IFERROR(VLOOKUP(MID(G111,J111,K111-J111),[5]skilldef!$C:$D,2,FALSE),"-") &amp; " / " &amp; IFERROR(VLOOKUP(MID(G111,H111,I111-H111),[5]skilldef!$A:$B,2,FALSE),"-")</f>
        <v>- / -</v>
      </c>
      <c r="M111" s="63" t="str">
        <f t="shared" si="20"/>
        <v>[effect:fix_speed,target:myself,turn:1]</v>
      </c>
      <c r="N111" s="48" t="str">
        <f>IFERROR(LEFT(M111,FIND("],",M111)+#REF!),M111)</f>
        <v>[effect:fix_speed,target:myself,turn:1]</v>
      </c>
      <c r="O111" s="63">
        <f t="shared" si="21"/>
        <v>9</v>
      </c>
      <c r="P111" s="63">
        <f t="shared" si="22"/>
        <v>18</v>
      </c>
      <c r="Q111" s="63">
        <f t="shared" si="23"/>
        <v>26</v>
      </c>
      <c r="R111" s="63">
        <f t="shared" si="24"/>
        <v>32</v>
      </c>
      <c r="S111" s="63" t="str">
        <f>IFERROR(VLOOKUP(MID(N111,Q111,R111-Q111),[5]skilldef!$C:$D,2,FALSE),"-") &amp; " / " &amp; IFERROR(VLOOKUP(MID(N111,O111,P111-O111),[5]skilldef!$A:$B,2,FALSE),"-")</f>
        <v>自分自身に / 行動値設定</v>
      </c>
      <c r="T111" s="48" t="str">
        <f t="shared" si="25"/>
        <v>none</v>
      </c>
      <c r="U111" s="63" t="e">
        <f t="shared" si="26"/>
        <v>#VALUE!</v>
      </c>
      <c r="V111" s="63">
        <f t="shared" si="27"/>
        <v>4</v>
      </c>
      <c r="W111" s="63" t="e">
        <f t="shared" si="28"/>
        <v>#VALUE!</v>
      </c>
      <c r="X111" s="63" t="e">
        <f t="shared" si="29"/>
        <v>#VALUE!</v>
      </c>
      <c r="Y111" s="63" t="str">
        <f>IFERROR(VLOOKUP(MID(T111,W111,X111-W111),[5]skilldef!$C:$D,2,FALSE),"-") &amp; " / " &amp; IFERROR(VLOOKUP(MID(T111,U111,V111-U111),[5]skilldef!$A:$B,2,FALSE),"-")</f>
        <v>- / -</v>
      </c>
      <c r="Z111" s="50" t="s">
        <v>230</v>
      </c>
      <c r="AA111" s="52"/>
      <c r="AB111" s="50"/>
    </row>
    <row r="112" spans="1:28" ht="21" customHeight="1" x14ac:dyDescent="0.15">
      <c r="A112" s="108">
        <v>41006111</v>
      </c>
      <c r="B112" s="108" t="s">
        <v>482</v>
      </c>
      <c r="C112" s="109">
        <v>3</v>
      </c>
      <c r="D112" s="109" t="s">
        <v>355</v>
      </c>
      <c r="E112" s="160" t="s">
        <v>453</v>
      </c>
      <c r="F112" s="160" t="s">
        <v>509</v>
      </c>
      <c r="G112" s="63" t="str">
        <f t="shared" si="15"/>
        <v>[effect:enemy_message, val1:1.4, val2:2.2]</v>
      </c>
      <c r="H112" s="63">
        <f t="shared" si="16"/>
        <v>9</v>
      </c>
      <c r="I112" s="63">
        <f t="shared" si="17"/>
        <v>22</v>
      </c>
      <c r="J112" s="63" t="e">
        <f t="shared" si="18"/>
        <v>#VALUE!</v>
      </c>
      <c r="K112" s="63">
        <f t="shared" si="19"/>
        <v>32</v>
      </c>
      <c r="L112" s="63" t="str">
        <f>IFERROR(VLOOKUP(MID(G112,J112,K112-J112),[5]skilldef!$C:$D,2,FALSE),"-") &amp; " / " &amp; IFERROR(VLOOKUP(MID(G112,H112,I112-H112),[5]skilldef!$A:$B,2,FALSE),"-")</f>
        <v>- / -</v>
      </c>
      <c r="M112" s="63" t="str">
        <f t="shared" si="20"/>
        <v>[effect:fix_speed,target:myself,turn:1]</v>
      </c>
      <c r="N112" s="48" t="str">
        <f>IFERROR(LEFT(M112,FIND("],",M112)+#REF!),M112)</f>
        <v>[effect:fix_speed,target:myself,turn:1]</v>
      </c>
      <c r="O112" s="63">
        <f t="shared" si="21"/>
        <v>9</v>
      </c>
      <c r="P112" s="63">
        <f t="shared" si="22"/>
        <v>18</v>
      </c>
      <c r="Q112" s="63">
        <f t="shared" si="23"/>
        <v>26</v>
      </c>
      <c r="R112" s="63">
        <f t="shared" si="24"/>
        <v>32</v>
      </c>
      <c r="S112" s="63" t="str">
        <f>IFERROR(VLOOKUP(MID(N112,Q112,R112-Q112),[5]skilldef!$C:$D,2,FALSE),"-") &amp; " / " &amp; IFERROR(VLOOKUP(MID(N112,O112,P112-O112),[5]skilldef!$A:$B,2,FALSE),"-")</f>
        <v>自分自身に / 行動値設定</v>
      </c>
      <c r="T112" s="48" t="str">
        <f t="shared" si="25"/>
        <v>none</v>
      </c>
      <c r="U112" s="63" t="e">
        <f t="shared" si="26"/>
        <v>#VALUE!</v>
      </c>
      <c r="V112" s="63">
        <f t="shared" si="27"/>
        <v>4</v>
      </c>
      <c r="W112" s="63" t="e">
        <f t="shared" si="28"/>
        <v>#VALUE!</v>
      </c>
      <c r="X112" s="63" t="e">
        <f t="shared" si="29"/>
        <v>#VALUE!</v>
      </c>
      <c r="Y112" s="63" t="str">
        <f>IFERROR(VLOOKUP(MID(T112,W112,X112-W112),[5]skilldef!$C:$D,2,FALSE),"-") &amp; " / " &amp; IFERROR(VLOOKUP(MID(T112,U112,V112-U112),[5]skilldef!$A:$B,2,FALSE),"-")</f>
        <v>- / -</v>
      </c>
      <c r="Z112" s="50" t="s">
        <v>230</v>
      </c>
      <c r="AA112" s="52"/>
      <c r="AB112" s="50"/>
    </row>
    <row r="113" spans="1:28" ht="21" customHeight="1" x14ac:dyDescent="0.15">
      <c r="A113" s="108">
        <v>41006112</v>
      </c>
      <c r="B113" s="108" t="s">
        <v>482</v>
      </c>
      <c r="C113" s="109">
        <v>3</v>
      </c>
      <c r="D113" s="109" t="s">
        <v>355</v>
      </c>
      <c r="E113" s="160" t="s">
        <v>453</v>
      </c>
      <c r="F113" s="160" t="s">
        <v>509</v>
      </c>
      <c r="G113" s="63" t="str">
        <f t="shared" si="15"/>
        <v>[effect:enemy_message, val1:1.4, val2:2.2]</v>
      </c>
      <c r="H113" s="63">
        <f t="shared" si="16"/>
        <v>9</v>
      </c>
      <c r="I113" s="63">
        <f t="shared" si="17"/>
        <v>22</v>
      </c>
      <c r="J113" s="63" t="e">
        <f t="shared" si="18"/>
        <v>#VALUE!</v>
      </c>
      <c r="K113" s="63">
        <f t="shared" si="19"/>
        <v>32</v>
      </c>
      <c r="L113" s="63" t="str">
        <f>IFERROR(VLOOKUP(MID(G113,J113,K113-J113),[5]skilldef!$C:$D,2,FALSE),"-") &amp; " / " &amp; IFERROR(VLOOKUP(MID(G113,H113,I113-H113),[5]skilldef!$A:$B,2,FALSE),"-")</f>
        <v>- / -</v>
      </c>
      <c r="M113" s="63" t="str">
        <f t="shared" si="20"/>
        <v>[effect:fix_speed,target:myself,turn:1]</v>
      </c>
      <c r="N113" s="48" t="str">
        <f>IFERROR(LEFT(M113,FIND("],",M113)+#REF!),M113)</f>
        <v>[effect:fix_speed,target:myself,turn:1]</v>
      </c>
      <c r="O113" s="63">
        <f t="shared" si="21"/>
        <v>9</v>
      </c>
      <c r="P113" s="63">
        <f t="shared" si="22"/>
        <v>18</v>
      </c>
      <c r="Q113" s="63">
        <f t="shared" si="23"/>
        <v>26</v>
      </c>
      <c r="R113" s="63">
        <f t="shared" si="24"/>
        <v>32</v>
      </c>
      <c r="S113" s="63" t="str">
        <f>IFERROR(VLOOKUP(MID(N113,Q113,R113-Q113),[5]skilldef!$C:$D,2,FALSE),"-") &amp; " / " &amp; IFERROR(VLOOKUP(MID(N113,O113,P113-O113),[5]skilldef!$A:$B,2,FALSE),"-")</f>
        <v>自分自身に / 行動値設定</v>
      </c>
      <c r="T113" s="48" t="str">
        <f t="shared" si="25"/>
        <v>none</v>
      </c>
      <c r="U113" s="63" t="e">
        <f t="shared" si="26"/>
        <v>#VALUE!</v>
      </c>
      <c r="V113" s="63">
        <f t="shared" si="27"/>
        <v>4</v>
      </c>
      <c r="W113" s="63" t="e">
        <f t="shared" si="28"/>
        <v>#VALUE!</v>
      </c>
      <c r="X113" s="63" t="e">
        <f t="shared" si="29"/>
        <v>#VALUE!</v>
      </c>
      <c r="Y113" s="63" t="str">
        <f>IFERROR(VLOOKUP(MID(T113,W113,X113-W113),[5]skilldef!$C:$D,2,FALSE),"-") &amp; " / " &amp; IFERROR(VLOOKUP(MID(T113,U113,V113-U113),[5]skilldef!$A:$B,2,FALSE),"-")</f>
        <v>- / -</v>
      </c>
      <c r="Z113" s="50" t="s">
        <v>230</v>
      </c>
      <c r="AA113" s="52"/>
      <c r="AB113" s="50"/>
    </row>
    <row r="114" spans="1:28" ht="21" customHeight="1" x14ac:dyDescent="0.15">
      <c r="A114" s="108">
        <v>41006113</v>
      </c>
      <c r="B114" s="108" t="s">
        <v>482</v>
      </c>
      <c r="C114" s="109">
        <v>3</v>
      </c>
      <c r="D114" s="109" t="s">
        <v>355</v>
      </c>
      <c r="E114" s="160" t="s">
        <v>453</v>
      </c>
      <c r="F114" s="160" t="s">
        <v>509</v>
      </c>
      <c r="G114" s="63" t="str">
        <f t="shared" si="15"/>
        <v>[effect:enemy_message, val1:1.4, val2:2.2]</v>
      </c>
      <c r="H114" s="63">
        <f t="shared" si="16"/>
        <v>9</v>
      </c>
      <c r="I114" s="63">
        <f t="shared" si="17"/>
        <v>22</v>
      </c>
      <c r="J114" s="63" t="e">
        <f t="shared" si="18"/>
        <v>#VALUE!</v>
      </c>
      <c r="K114" s="63">
        <f t="shared" si="19"/>
        <v>32</v>
      </c>
      <c r="L114" s="63" t="str">
        <f>IFERROR(VLOOKUP(MID(G114,J114,K114-J114),[5]skilldef!$C:$D,2,FALSE),"-") &amp; " / " &amp; IFERROR(VLOOKUP(MID(G114,H114,I114-H114),[5]skilldef!$A:$B,2,FALSE),"-")</f>
        <v>- / -</v>
      </c>
      <c r="M114" s="63" t="str">
        <f t="shared" si="20"/>
        <v>[effect:fix_speed,target:myself,turn:1]</v>
      </c>
      <c r="N114" s="48" t="str">
        <f>IFERROR(LEFT(M114,FIND("],",M114)+#REF!),M114)</f>
        <v>[effect:fix_speed,target:myself,turn:1]</v>
      </c>
      <c r="O114" s="63">
        <f t="shared" si="21"/>
        <v>9</v>
      </c>
      <c r="P114" s="63">
        <f t="shared" si="22"/>
        <v>18</v>
      </c>
      <c r="Q114" s="63">
        <f t="shared" si="23"/>
        <v>26</v>
      </c>
      <c r="R114" s="63">
        <f t="shared" si="24"/>
        <v>32</v>
      </c>
      <c r="S114" s="63" t="str">
        <f>IFERROR(VLOOKUP(MID(N114,Q114,R114-Q114),[5]skilldef!$C:$D,2,FALSE),"-") &amp; " / " &amp; IFERROR(VLOOKUP(MID(N114,O114,P114-O114),[5]skilldef!$A:$B,2,FALSE),"-")</f>
        <v>自分自身に / 行動値設定</v>
      </c>
      <c r="T114" s="48" t="str">
        <f t="shared" si="25"/>
        <v>none</v>
      </c>
      <c r="U114" s="63" t="e">
        <f t="shared" si="26"/>
        <v>#VALUE!</v>
      </c>
      <c r="V114" s="63">
        <f t="shared" si="27"/>
        <v>4</v>
      </c>
      <c r="W114" s="63" t="e">
        <f t="shared" si="28"/>
        <v>#VALUE!</v>
      </c>
      <c r="X114" s="63" t="e">
        <f t="shared" si="29"/>
        <v>#VALUE!</v>
      </c>
      <c r="Y114" s="63" t="str">
        <f>IFERROR(VLOOKUP(MID(T114,W114,X114-W114),[5]skilldef!$C:$D,2,FALSE),"-") &amp; " / " &amp; IFERROR(VLOOKUP(MID(T114,U114,V114-U114),[5]skilldef!$A:$B,2,FALSE),"-")</f>
        <v>- / -</v>
      </c>
      <c r="Z114" s="50" t="s">
        <v>230</v>
      </c>
      <c r="AA114" s="52"/>
      <c r="AB114" s="50"/>
    </row>
    <row r="115" spans="1:28" ht="21" customHeight="1" x14ac:dyDescent="0.15">
      <c r="A115" s="108">
        <v>41006114</v>
      </c>
      <c r="B115" s="108" t="s">
        <v>482</v>
      </c>
      <c r="C115" s="109">
        <v>3</v>
      </c>
      <c r="D115" s="109" t="s">
        <v>355</v>
      </c>
      <c r="E115" s="160" t="s">
        <v>455</v>
      </c>
      <c r="F115" s="160" t="s">
        <v>471</v>
      </c>
      <c r="G115" s="63" t="str">
        <f t="shared" si="15"/>
        <v>[effect:enemy_message, val1:1.4, val2:2.2]</v>
      </c>
      <c r="H115" s="63">
        <f t="shared" si="16"/>
        <v>9</v>
      </c>
      <c r="I115" s="63">
        <f t="shared" si="17"/>
        <v>22</v>
      </c>
      <c r="J115" s="63" t="e">
        <f t="shared" si="18"/>
        <v>#VALUE!</v>
      </c>
      <c r="K115" s="63">
        <f t="shared" si="19"/>
        <v>32</v>
      </c>
      <c r="L115" s="63" t="str">
        <f>IFERROR(VLOOKUP(MID(G115,J115,K115-J115),[5]skilldef!$C:$D,2,FALSE),"-") &amp; " / " &amp; IFERROR(VLOOKUP(MID(G115,H115,I115-H115),[5]skilldef!$A:$B,2,FALSE),"-")</f>
        <v>- / -</v>
      </c>
      <c r="M115" s="63" t="str">
        <f t="shared" si="20"/>
        <v>[effect:fix_speed,target:myself,turn:1]</v>
      </c>
      <c r="N115" s="48" t="str">
        <f>IFERROR(LEFT(M115,FIND("],",M115)+#REF!),M115)</f>
        <v>[effect:fix_speed,target:myself,turn:1]</v>
      </c>
      <c r="O115" s="63">
        <f t="shared" si="21"/>
        <v>9</v>
      </c>
      <c r="P115" s="63">
        <f t="shared" si="22"/>
        <v>18</v>
      </c>
      <c r="Q115" s="63">
        <f t="shared" si="23"/>
        <v>26</v>
      </c>
      <c r="R115" s="63">
        <f t="shared" si="24"/>
        <v>32</v>
      </c>
      <c r="S115" s="63" t="str">
        <f>IFERROR(VLOOKUP(MID(N115,Q115,R115-Q115),[5]skilldef!$C:$D,2,FALSE),"-") &amp; " / " &amp; IFERROR(VLOOKUP(MID(N115,O115,P115-O115),[5]skilldef!$A:$B,2,FALSE),"-")</f>
        <v>自分自身に / 行動値設定</v>
      </c>
      <c r="T115" s="48" t="str">
        <f t="shared" si="25"/>
        <v>none</v>
      </c>
      <c r="U115" s="63" t="e">
        <f t="shared" si="26"/>
        <v>#VALUE!</v>
      </c>
      <c r="V115" s="63">
        <f t="shared" si="27"/>
        <v>4</v>
      </c>
      <c r="W115" s="63" t="e">
        <f t="shared" si="28"/>
        <v>#VALUE!</v>
      </c>
      <c r="X115" s="63" t="e">
        <f t="shared" si="29"/>
        <v>#VALUE!</v>
      </c>
      <c r="Y115" s="63" t="str">
        <f>IFERROR(VLOOKUP(MID(T115,W115,X115-W115),[5]skilldef!$C:$D,2,FALSE),"-") &amp; " / " &amp; IFERROR(VLOOKUP(MID(T115,U115,V115-U115),[5]skilldef!$A:$B,2,FALSE),"-")</f>
        <v>- / -</v>
      </c>
      <c r="Z115" s="50" t="s">
        <v>230</v>
      </c>
      <c r="AA115" s="52"/>
      <c r="AB115" s="50"/>
    </row>
    <row r="116" spans="1:28" ht="21" customHeight="1" x14ac:dyDescent="0.15">
      <c r="A116" s="108">
        <v>41006115</v>
      </c>
      <c r="B116" s="108" t="s">
        <v>482</v>
      </c>
      <c r="C116" s="109">
        <v>3</v>
      </c>
      <c r="D116" s="109" t="s">
        <v>355</v>
      </c>
      <c r="E116" s="160" t="s">
        <v>455</v>
      </c>
      <c r="F116" s="160" t="s">
        <v>471</v>
      </c>
      <c r="G116" s="63" t="str">
        <f t="shared" si="15"/>
        <v>[effect:enemy_message, val1:1.4, val2:2.2]</v>
      </c>
      <c r="H116" s="63">
        <f t="shared" si="16"/>
        <v>9</v>
      </c>
      <c r="I116" s="63">
        <f t="shared" si="17"/>
        <v>22</v>
      </c>
      <c r="J116" s="63" t="e">
        <f t="shared" si="18"/>
        <v>#VALUE!</v>
      </c>
      <c r="K116" s="63">
        <f t="shared" si="19"/>
        <v>32</v>
      </c>
      <c r="L116" s="63" t="str">
        <f>IFERROR(VLOOKUP(MID(G116,J116,K116-J116),[5]skilldef!$C:$D,2,FALSE),"-") &amp; " / " &amp; IFERROR(VLOOKUP(MID(G116,H116,I116-H116),[5]skilldef!$A:$B,2,FALSE),"-")</f>
        <v>- / -</v>
      </c>
      <c r="M116" s="63" t="str">
        <f t="shared" si="20"/>
        <v>[effect:fix_speed,target:myself,turn:1]</v>
      </c>
      <c r="N116" s="48" t="str">
        <f>IFERROR(LEFT(M116,FIND("],",M116)+#REF!),M116)</f>
        <v>[effect:fix_speed,target:myself,turn:1]</v>
      </c>
      <c r="O116" s="63">
        <f t="shared" si="21"/>
        <v>9</v>
      </c>
      <c r="P116" s="63">
        <f t="shared" si="22"/>
        <v>18</v>
      </c>
      <c r="Q116" s="63">
        <f t="shared" si="23"/>
        <v>26</v>
      </c>
      <c r="R116" s="63">
        <f t="shared" si="24"/>
        <v>32</v>
      </c>
      <c r="S116" s="63" t="str">
        <f>IFERROR(VLOOKUP(MID(N116,Q116,R116-Q116),[5]skilldef!$C:$D,2,FALSE),"-") &amp; " / " &amp; IFERROR(VLOOKUP(MID(N116,O116,P116-O116),[5]skilldef!$A:$B,2,FALSE),"-")</f>
        <v>自分自身に / 行動値設定</v>
      </c>
      <c r="T116" s="48" t="str">
        <f t="shared" si="25"/>
        <v>none</v>
      </c>
      <c r="U116" s="63" t="e">
        <f t="shared" si="26"/>
        <v>#VALUE!</v>
      </c>
      <c r="V116" s="63">
        <f t="shared" si="27"/>
        <v>4</v>
      </c>
      <c r="W116" s="63" t="e">
        <f t="shared" si="28"/>
        <v>#VALUE!</v>
      </c>
      <c r="X116" s="63" t="e">
        <f t="shared" si="29"/>
        <v>#VALUE!</v>
      </c>
      <c r="Y116" s="63" t="str">
        <f>IFERROR(VLOOKUP(MID(T116,W116,X116-W116),[5]skilldef!$C:$D,2,FALSE),"-") &amp; " / " &amp; IFERROR(VLOOKUP(MID(T116,U116,V116-U116),[5]skilldef!$A:$B,2,FALSE),"-")</f>
        <v>- / -</v>
      </c>
      <c r="Z116" s="50" t="s">
        <v>230</v>
      </c>
      <c r="AA116" s="52"/>
      <c r="AB116" s="50"/>
    </row>
    <row r="117" spans="1:28" ht="21" customHeight="1" x14ac:dyDescent="0.15">
      <c r="A117" s="108">
        <v>41006116</v>
      </c>
      <c r="B117" s="108" t="s">
        <v>483</v>
      </c>
      <c r="C117" s="109">
        <v>3</v>
      </c>
      <c r="D117" s="109" t="s">
        <v>355</v>
      </c>
      <c r="E117" s="161" t="s">
        <v>460</v>
      </c>
      <c r="F117" s="161" t="s">
        <v>459</v>
      </c>
      <c r="G117" s="63" t="str">
        <f t="shared" si="15"/>
        <v>[effect:enemy_message, val1:1.4, val2:2.2]</v>
      </c>
      <c r="H117" s="63">
        <f t="shared" si="16"/>
        <v>9</v>
      </c>
      <c r="I117" s="63">
        <f t="shared" si="17"/>
        <v>22</v>
      </c>
      <c r="J117" s="63" t="e">
        <f t="shared" si="18"/>
        <v>#VALUE!</v>
      </c>
      <c r="K117" s="63">
        <f t="shared" si="19"/>
        <v>32</v>
      </c>
      <c r="L117" s="63" t="str">
        <f>IFERROR(VLOOKUP(MID(G117,J117,K117-J117),[5]skilldef!$C:$D,2,FALSE),"-") &amp; " / " &amp; IFERROR(VLOOKUP(MID(G117,H117,I117-H117),[5]skilldef!$A:$B,2,FALSE),"-")</f>
        <v>- / -</v>
      </c>
      <c r="M117" s="63" t="str">
        <f t="shared" si="20"/>
        <v>[effect:tolerance, target:myself, turn:-1, tolerance_effect:hungup, count:-1, animation:enemy_tolerance]</v>
      </c>
      <c r="N117" s="48" t="str">
        <f>IFERROR(LEFT(M117,FIND("],",M117)+#REF!),M117)</f>
        <v>[effect:tolerance, target:myself, turn:-1, tolerance_effect:hungup, count:-1, animation:enemy_tolerance]</v>
      </c>
      <c r="O117" s="63">
        <f t="shared" si="21"/>
        <v>9</v>
      </c>
      <c r="P117" s="63">
        <f t="shared" si="22"/>
        <v>18</v>
      </c>
      <c r="Q117" s="63">
        <f t="shared" si="23"/>
        <v>27</v>
      </c>
      <c r="R117" s="63">
        <f t="shared" si="24"/>
        <v>33</v>
      </c>
      <c r="S117" s="63" t="str">
        <f>IFERROR(VLOOKUP(MID(N117,Q117,R117-Q117),[5]skilldef!$C:$D,2,FALSE),"-") &amp; " / " &amp; IFERROR(VLOOKUP(MID(N117,O117,P117-O117),[5]skilldef!$A:$B,2,FALSE),"-")</f>
        <v>自分自身に / 状態異常耐性</v>
      </c>
      <c r="T117" s="48" t="str">
        <f t="shared" si="25"/>
        <v>none</v>
      </c>
      <c r="U117" s="63" t="e">
        <f t="shared" si="26"/>
        <v>#VALUE!</v>
      </c>
      <c r="V117" s="63">
        <f t="shared" si="27"/>
        <v>4</v>
      </c>
      <c r="W117" s="63" t="e">
        <f t="shared" si="28"/>
        <v>#VALUE!</v>
      </c>
      <c r="X117" s="63" t="e">
        <f t="shared" si="29"/>
        <v>#VALUE!</v>
      </c>
      <c r="Y117" s="63" t="str">
        <f>IFERROR(VLOOKUP(MID(T117,W117,X117-W117),[5]skilldef!$C:$D,2,FALSE),"-") &amp; " / " &amp; IFERROR(VLOOKUP(MID(T117,U117,V117-U117),[5]skilldef!$A:$B,2,FALSE),"-")</f>
        <v>- / -</v>
      </c>
      <c r="Z117" s="50" t="s">
        <v>230</v>
      </c>
      <c r="AA117" s="52"/>
      <c r="AB117" s="50"/>
    </row>
    <row r="118" spans="1:28" ht="21" customHeight="1" x14ac:dyDescent="0.15">
      <c r="A118" s="108">
        <v>41006117</v>
      </c>
      <c r="B118" s="108" t="s">
        <v>483</v>
      </c>
      <c r="C118" s="109">
        <v>3</v>
      </c>
      <c r="D118" s="109" t="s">
        <v>355</v>
      </c>
      <c r="E118" s="161" t="s">
        <v>460</v>
      </c>
      <c r="F118" s="161" t="s">
        <v>459</v>
      </c>
      <c r="G118" s="63" t="str">
        <f t="shared" si="15"/>
        <v>[effect:enemy_message, val1:1.4, val2:2.2]</v>
      </c>
      <c r="H118" s="63">
        <f t="shared" si="16"/>
        <v>9</v>
      </c>
      <c r="I118" s="63">
        <f t="shared" si="17"/>
        <v>22</v>
      </c>
      <c r="J118" s="63" t="e">
        <f t="shared" si="18"/>
        <v>#VALUE!</v>
      </c>
      <c r="K118" s="63">
        <f t="shared" si="19"/>
        <v>32</v>
      </c>
      <c r="L118" s="63" t="str">
        <f>IFERROR(VLOOKUP(MID(G118,J118,K118-J118),[5]skilldef!$C:$D,2,FALSE),"-") &amp; " / " &amp; IFERROR(VLOOKUP(MID(G118,H118,I118-H118),[5]skilldef!$A:$B,2,FALSE),"-")</f>
        <v>- / -</v>
      </c>
      <c r="M118" s="63" t="str">
        <f t="shared" si="20"/>
        <v>[effect:tolerance, target:myself, turn:-1, tolerance_effect:hungup, count:-1, animation:enemy_tolerance]</v>
      </c>
      <c r="N118" s="48" t="str">
        <f>IFERROR(LEFT(M118,FIND("],",M118)+#REF!),M118)</f>
        <v>[effect:tolerance, target:myself, turn:-1, tolerance_effect:hungup, count:-1, animation:enemy_tolerance]</v>
      </c>
      <c r="O118" s="63">
        <f t="shared" si="21"/>
        <v>9</v>
      </c>
      <c r="P118" s="63">
        <f t="shared" si="22"/>
        <v>18</v>
      </c>
      <c r="Q118" s="63">
        <f t="shared" si="23"/>
        <v>27</v>
      </c>
      <c r="R118" s="63">
        <f t="shared" si="24"/>
        <v>33</v>
      </c>
      <c r="S118" s="63" t="str">
        <f>IFERROR(VLOOKUP(MID(N118,Q118,R118-Q118),[5]skilldef!$C:$D,2,FALSE),"-") &amp; " / " &amp; IFERROR(VLOOKUP(MID(N118,O118,P118-O118),[5]skilldef!$A:$B,2,FALSE),"-")</f>
        <v>自分自身に / 状態異常耐性</v>
      </c>
      <c r="T118" s="48" t="str">
        <f t="shared" si="25"/>
        <v>none</v>
      </c>
      <c r="U118" s="63" t="e">
        <f t="shared" si="26"/>
        <v>#VALUE!</v>
      </c>
      <c r="V118" s="63">
        <f t="shared" si="27"/>
        <v>4</v>
      </c>
      <c r="W118" s="63" t="e">
        <f t="shared" si="28"/>
        <v>#VALUE!</v>
      </c>
      <c r="X118" s="63" t="e">
        <f t="shared" si="29"/>
        <v>#VALUE!</v>
      </c>
      <c r="Y118" s="63" t="str">
        <f>IFERROR(VLOOKUP(MID(T118,W118,X118-W118),[5]skilldef!$C:$D,2,FALSE),"-") &amp; " / " &amp; IFERROR(VLOOKUP(MID(T118,U118,V118-U118),[5]skilldef!$A:$B,2,FALSE),"-")</f>
        <v>- / -</v>
      </c>
      <c r="Z118" s="50" t="s">
        <v>230</v>
      </c>
      <c r="AA118" s="52"/>
      <c r="AB118" s="50"/>
    </row>
    <row r="119" spans="1:28" ht="21" customHeight="1" x14ac:dyDescent="0.15">
      <c r="A119" s="108">
        <v>41006118</v>
      </c>
      <c r="B119" s="108" t="s">
        <v>483</v>
      </c>
      <c r="C119" s="109">
        <v>3</v>
      </c>
      <c r="D119" s="109" t="s">
        <v>355</v>
      </c>
      <c r="E119" s="161" t="s">
        <v>460</v>
      </c>
      <c r="F119" s="161" t="s">
        <v>459</v>
      </c>
      <c r="G119" s="63" t="str">
        <f t="shared" si="15"/>
        <v>[effect:enemy_message, val1:1.4, val2:2.2]</v>
      </c>
      <c r="H119" s="63">
        <f t="shared" si="16"/>
        <v>9</v>
      </c>
      <c r="I119" s="63">
        <f t="shared" si="17"/>
        <v>22</v>
      </c>
      <c r="J119" s="63" t="e">
        <f t="shared" si="18"/>
        <v>#VALUE!</v>
      </c>
      <c r="K119" s="63">
        <f t="shared" si="19"/>
        <v>32</v>
      </c>
      <c r="L119" s="63" t="str">
        <f>IFERROR(VLOOKUP(MID(G119,J119,K119-J119),[5]skilldef!$C:$D,2,FALSE),"-") &amp; " / " &amp; IFERROR(VLOOKUP(MID(G119,H119,I119-H119),[5]skilldef!$A:$B,2,FALSE),"-")</f>
        <v>- / -</v>
      </c>
      <c r="M119" s="63" t="str">
        <f t="shared" si="20"/>
        <v>[effect:tolerance, target:myself, turn:-1, tolerance_effect:hungup, count:-1, animation:enemy_tolerance]</v>
      </c>
      <c r="N119" s="48" t="str">
        <f>IFERROR(LEFT(M119,FIND("],",M119)+#REF!),M119)</f>
        <v>[effect:tolerance, target:myself, turn:-1, tolerance_effect:hungup, count:-1, animation:enemy_tolerance]</v>
      </c>
      <c r="O119" s="63">
        <f t="shared" si="21"/>
        <v>9</v>
      </c>
      <c r="P119" s="63">
        <f t="shared" si="22"/>
        <v>18</v>
      </c>
      <c r="Q119" s="63">
        <f t="shared" si="23"/>
        <v>27</v>
      </c>
      <c r="R119" s="63">
        <f t="shared" si="24"/>
        <v>33</v>
      </c>
      <c r="S119" s="63" t="str">
        <f>IFERROR(VLOOKUP(MID(N119,Q119,R119-Q119),[5]skilldef!$C:$D,2,FALSE),"-") &amp; " / " &amp; IFERROR(VLOOKUP(MID(N119,O119,P119-O119),[5]skilldef!$A:$B,2,FALSE),"-")</f>
        <v>自分自身に / 状態異常耐性</v>
      </c>
      <c r="T119" s="48" t="str">
        <f t="shared" si="25"/>
        <v>none</v>
      </c>
      <c r="U119" s="63" t="e">
        <f t="shared" si="26"/>
        <v>#VALUE!</v>
      </c>
      <c r="V119" s="63">
        <f t="shared" si="27"/>
        <v>4</v>
      </c>
      <c r="W119" s="63" t="e">
        <f t="shared" si="28"/>
        <v>#VALUE!</v>
      </c>
      <c r="X119" s="63" t="e">
        <f t="shared" si="29"/>
        <v>#VALUE!</v>
      </c>
      <c r="Y119" s="63" t="str">
        <f>IFERROR(VLOOKUP(MID(T119,W119,X119-W119),[5]skilldef!$C:$D,2,FALSE),"-") &amp; " / " &amp; IFERROR(VLOOKUP(MID(T119,U119,V119-U119),[5]skilldef!$A:$B,2,FALSE),"-")</f>
        <v>- / -</v>
      </c>
      <c r="Z119" s="50" t="s">
        <v>230</v>
      </c>
      <c r="AA119" s="52"/>
      <c r="AB119" s="50"/>
    </row>
    <row r="120" spans="1:28" ht="21" customHeight="1" x14ac:dyDescent="0.15">
      <c r="A120" s="108">
        <v>41006119</v>
      </c>
      <c r="B120" s="108" t="s">
        <v>483</v>
      </c>
      <c r="C120" s="109">
        <v>3</v>
      </c>
      <c r="D120" s="109" t="s">
        <v>355</v>
      </c>
      <c r="E120" s="161" t="s">
        <v>497</v>
      </c>
      <c r="F120" s="161" t="s">
        <v>472</v>
      </c>
      <c r="G120" s="63" t="str">
        <f t="shared" si="15"/>
        <v>[effect:enemy_message, val1:1.4, val2:2.2]</v>
      </c>
      <c r="H120" s="63">
        <f t="shared" si="16"/>
        <v>9</v>
      </c>
      <c r="I120" s="63">
        <f t="shared" si="17"/>
        <v>22</v>
      </c>
      <c r="J120" s="63" t="e">
        <f t="shared" si="18"/>
        <v>#VALUE!</v>
      </c>
      <c r="K120" s="63">
        <f t="shared" si="19"/>
        <v>32</v>
      </c>
      <c r="L120" s="63" t="str">
        <f>IFERROR(VLOOKUP(MID(G120,J120,K120-J120),[5]skilldef!$C:$D,2,FALSE),"-") &amp; " / " &amp; IFERROR(VLOOKUP(MID(G120,H120,I120-H120),[5]skilldef!$A:$B,2,FALSE),"-")</f>
        <v>- / -</v>
      </c>
      <c r="M120" s="63" t="str">
        <f t="shared" si="20"/>
        <v>[effect:tolerance, target:myself, turn:-1, tolerance_effect:hungup, count:-1, animation:enemy_tolerance]</v>
      </c>
      <c r="N120" s="48" t="str">
        <f>IFERROR(LEFT(M120,FIND("],",M120)+#REF!),M120)</f>
        <v>[effect:tolerance, target:myself, turn:-1, tolerance_effect:hungup, count:-1, animation:enemy_tolerance]</v>
      </c>
      <c r="O120" s="63">
        <f t="shared" si="21"/>
        <v>9</v>
      </c>
      <c r="P120" s="63">
        <f t="shared" si="22"/>
        <v>18</v>
      </c>
      <c r="Q120" s="63">
        <f t="shared" si="23"/>
        <v>27</v>
      </c>
      <c r="R120" s="63">
        <f t="shared" si="24"/>
        <v>33</v>
      </c>
      <c r="S120" s="63" t="str">
        <f>IFERROR(VLOOKUP(MID(N120,Q120,R120-Q120),[5]skilldef!$C:$D,2,FALSE),"-") &amp; " / " &amp; IFERROR(VLOOKUP(MID(N120,O120,P120-O120),[5]skilldef!$A:$B,2,FALSE),"-")</f>
        <v>自分自身に / 状態異常耐性</v>
      </c>
      <c r="T120" s="48" t="str">
        <f t="shared" si="25"/>
        <v>none</v>
      </c>
      <c r="U120" s="63" t="e">
        <f t="shared" si="26"/>
        <v>#VALUE!</v>
      </c>
      <c r="V120" s="63">
        <f t="shared" si="27"/>
        <v>4</v>
      </c>
      <c r="W120" s="63" t="e">
        <f t="shared" si="28"/>
        <v>#VALUE!</v>
      </c>
      <c r="X120" s="63" t="e">
        <f t="shared" si="29"/>
        <v>#VALUE!</v>
      </c>
      <c r="Y120" s="63" t="str">
        <f>IFERROR(VLOOKUP(MID(T120,W120,X120-W120),[5]skilldef!$C:$D,2,FALSE),"-") &amp; " / " &amp; IFERROR(VLOOKUP(MID(T120,U120,V120-U120),[5]skilldef!$A:$B,2,FALSE),"-")</f>
        <v>- / -</v>
      </c>
      <c r="Z120" s="50" t="s">
        <v>230</v>
      </c>
      <c r="AA120" s="52"/>
      <c r="AB120" s="50"/>
    </row>
    <row r="121" spans="1:28" ht="21" customHeight="1" x14ac:dyDescent="0.15">
      <c r="A121" s="108">
        <v>41006120</v>
      </c>
      <c r="B121" s="108" t="s">
        <v>483</v>
      </c>
      <c r="C121" s="109">
        <v>3</v>
      </c>
      <c r="D121" s="109" t="s">
        <v>355</v>
      </c>
      <c r="E121" s="161" t="s">
        <v>497</v>
      </c>
      <c r="F121" s="161" t="s">
        <v>472</v>
      </c>
      <c r="G121" s="63" t="str">
        <f t="shared" si="15"/>
        <v>[effect:enemy_message, val1:1.4, val2:2.2]</v>
      </c>
      <c r="H121" s="63">
        <f t="shared" si="16"/>
        <v>9</v>
      </c>
      <c r="I121" s="63">
        <f t="shared" si="17"/>
        <v>22</v>
      </c>
      <c r="J121" s="63" t="e">
        <f t="shared" si="18"/>
        <v>#VALUE!</v>
      </c>
      <c r="K121" s="63">
        <f t="shared" si="19"/>
        <v>32</v>
      </c>
      <c r="L121" s="63" t="str">
        <f>IFERROR(VLOOKUP(MID(G121,J121,K121-J121),[5]skilldef!$C:$D,2,FALSE),"-") &amp; " / " &amp; IFERROR(VLOOKUP(MID(G121,H121,I121-H121),[5]skilldef!$A:$B,2,FALSE),"-")</f>
        <v>- / -</v>
      </c>
      <c r="M121" s="63" t="str">
        <f t="shared" si="20"/>
        <v>[effect:tolerance, target:myself, turn:-1, tolerance_effect:hungup, count:-1, animation:enemy_tolerance]</v>
      </c>
      <c r="N121" s="48" t="str">
        <f>IFERROR(LEFT(M121,FIND("],",M121)+#REF!),M121)</f>
        <v>[effect:tolerance, target:myself, turn:-1, tolerance_effect:hungup, count:-1, animation:enemy_tolerance]</v>
      </c>
      <c r="O121" s="63">
        <f t="shared" si="21"/>
        <v>9</v>
      </c>
      <c r="P121" s="63">
        <f t="shared" si="22"/>
        <v>18</v>
      </c>
      <c r="Q121" s="63">
        <f t="shared" si="23"/>
        <v>27</v>
      </c>
      <c r="R121" s="63">
        <f t="shared" si="24"/>
        <v>33</v>
      </c>
      <c r="S121" s="63" t="str">
        <f>IFERROR(VLOOKUP(MID(N121,Q121,R121-Q121),[5]skilldef!$C:$D,2,FALSE),"-") &amp; " / " &amp; IFERROR(VLOOKUP(MID(N121,O121,P121-O121),[5]skilldef!$A:$B,2,FALSE),"-")</f>
        <v>自分自身に / 状態異常耐性</v>
      </c>
      <c r="T121" s="48" t="str">
        <f t="shared" si="25"/>
        <v>none</v>
      </c>
      <c r="U121" s="63" t="e">
        <f t="shared" si="26"/>
        <v>#VALUE!</v>
      </c>
      <c r="V121" s="63">
        <f t="shared" si="27"/>
        <v>4</v>
      </c>
      <c r="W121" s="63" t="e">
        <f t="shared" si="28"/>
        <v>#VALUE!</v>
      </c>
      <c r="X121" s="63" t="e">
        <f t="shared" si="29"/>
        <v>#VALUE!</v>
      </c>
      <c r="Y121" s="63" t="str">
        <f>IFERROR(VLOOKUP(MID(T121,W121,X121-W121),[5]skilldef!$C:$D,2,FALSE),"-") &amp; " / " &amp; IFERROR(VLOOKUP(MID(T121,U121,V121-U121),[5]skilldef!$A:$B,2,FALSE),"-")</f>
        <v>- / -</v>
      </c>
      <c r="Z121" s="50" t="s">
        <v>230</v>
      </c>
      <c r="AA121" s="52"/>
      <c r="AB121" s="50"/>
    </row>
    <row r="122" spans="1:28" ht="21" customHeight="1" x14ac:dyDescent="0.15">
      <c r="A122" s="108">
        <v>41006121</v>
      </c>
      <c r="B122" s="108" t="s">
        <v>483</v>
      </c>
      <c r="C122" s="109">
        <v>3</v>
      </c>
      <c r="D122" s="109" t="s">
        <v>355</v>
      </c>
      <c r="E122" s="161" t="s">
        <v>497</v>
      </c>
      <c r="F122" s="161" t="s">
        <v>472</v>
      </c>
      <c r="G122" s="63" t="str">
        <f t="shared" si="15"/>
        <v>[effect:enemy_message, val1:1.4, val2:2.2]</v>
      </c>
      <c r="H122" s="63">
        <f t="shared" si="16"/>
        <v>9</v>
      </c>
      <c r="I122" s="63">
        <f t="shared" si="17"/>
        <v>22</v>
      </c>
      <c r="J122" s="63" t="e">
        <f t="shared" si="18"/>
        <v>#VALUE!</v>
      </c>
      <c r="K122" s="63">
        <f t="shared" si="19"/>
        <v>32</v>
      </c>
      <c r="L122" s="63" t="str">
        <f>IFERROR(VLOOKUP(MID(G122,J122,K122-J122),[5]skilldef!$C:$D,2,FALSE),"-") &amp; " / " &amp; IFERROR(VLOOKUP(MID(G122,H122,I122-H122),[5]skilldef!$A:$B,2,FALSE),"-")</f>
        <v>- / -</v>
      </c>
      <c r="M122" s="63" t="str">
        <f t="shared" si="20"/>
        <v>[effect:tolerance, target:myself, turn:-1, tolerance_effect:hungup, count:-1, animation:enemy_tolerance]</v>
      </c>
      <c r="N122" s="48" t="str">
        <f>IFERROR(LEFT(M122,FIND("],",M122)+#REF!),M122)</f>
        <v>[effect:tolerance, target:myself, turn:-1, tolerance_effect:hungup, count:-1, animation:enemy_tolerance]</v>
      </c>
      <c r="O122" s="63">
        <f t="shared" si="21"/>
        <v>9</v>
      </c>
      <c r="P122" s="63">
        <f t="shared" si="22"/>
        <v>18</v>
      </c>
      <c r="Q122" s="63">
        <f t="shared" si="23"/>
        <v>27</v>
      </c>
      <c r="R122" s="63">
        <f t="shared" si="24"/>
        <v>33</v>
      </c>
      <c r="S122" s="63" t="str">
        <f>IFERROR(VLOOKUP(MID(N122,Q122,R122-Q122),[5]skilldef!$C:$D,2,FALSE),"-") &amp; " / " &amp; IFERROR(VLOOKUP(MID(N122,O122,P122-O122),[5]skilldef!$A:$B,2,FALSE),"-")</f>
        <v>自分自身に / 状態異常耐性</v>
      </c>
      <c r="T122" s="48" t="str">
        <f t="shared" si="25"/>
        <v>none</v>
      </c>
      <c r="U122" s="63" t="e">
        <f t="shared" si="26"/>
        <v>#VALUE!</v>
      </c>
      <c r="V122" s="63">
        <f t="shared" si="27"/>
        <v>4</v>
      </c>
      <c r="W122" s="63" t="e">
        <f t="shared" si="28"/>
        <v>#VALUE!</v>
      </c>
      <c r="X122" s="63" t="e">
        <f t="shared" si="29"/>
        <v>#VALUE!</v>
      </c>
      <c r="Y122" s="63" t="str">
        <f>IFERROR(VLOOKUP(MID(T122,W122,X122-W122),[5]skilldef!$C:$D,2,FALSE),"-") &amp; " / " &amp; IFERROR(VLOOKUP(MID(T122,U122,V122-U122),[5]skilldef!$A:$B,2,FALSE),"-")</f>
        <v>- / -</v>
      </c>
      <c r="Z122" s="50" t="s">
        <v>230</v>
      </c>
      <c r="AA122" s="52"/>
      <c r="AB122" s="50"/>
    </row>
    <row r="123" spans="1:28" ht="21" customHeight="1" x14ac:dyDescent="0.15">
      <c r="A123" s="108">
        <v>41006122</v>
      </c>
      <c r="B123" s="108" t="s">
        <v>483</v>
      </c>
      <c r="C123" s="109">
        <v>3</v>
      </c>
      <c r="D123" s="109" t="s">
        <v>355</v>
      </c>
      <c r="E123" s="161" t="s">
        <v>464</v>
      </c>
      <c r="F123" s="161" t="s">
        <v>467</v>
      </c>
      <c r="G123" s="63" t="str">
        <f t="shared" si="15"/>
        <v>[effect:enemy_message, val1:1.4, val2:2.2]</v>
      </c>
      <c r="H123" s="63">
        <f t="shared" si="16"/>
        <v>9</v>
      </c>
      <c r="I123" s="63">
        <f t="shared" si="17"/>
        <v>22</v>
      </c>
      <c r="J123" s="63" t="e">
        <f t="shared" si="18"/>
        <v>#VALUE!</v>
      </c>
      <c r="K123" s="63">
        <f t="shared" si="19"/>
        <v>32</v>
      </c>
      <c r="L123" s="63" t="str">
        <f>IFERROR(VLOOKUP(MID(G123,J123,K123-J123),[5]skilldef!$C:$D,2,FALSE),"-") &amp; " / " &amp; IFERROR(VLOOKUP(MID(G123,H123,I123-H123),[5]skilldef!$A:$B,2,FALSE),"-")</f>
        <v>- / -</v>
      </c>
      <c r="M123" s="63" t="str">
        <f t="shared" si="20"/>
        <v>[effect:tolerance, target:myself, turn:-1, tolerance_effect:hungup, count:-1, animation:enemy_tolerance]</v>
      </c>
      <c r="N123" s="48" t="str">
        <f>IFERROR(LEFT(M123,FIND("],",M123)+#REF!),M123)</f>
        <v>[effect:tolerance, target:myself, turn:-1, tolerance_effect:hungup, count:-1, animation:enemy_tolerance]</v>
      </c>
      <c r="O123" s="63">
        <f t="shared" si="21"/>
        <v>9</v>
      </c>
      <c r="P123" s="63">
        <f t="shared" si="22"/>
        <v>18</v>
      </c>
      <c r="Q123" s="63">
        <f t="shared" si="23"/>
        <v>27</v>
      </c>
      <c r="R123" s="63">
        <f t="shared" si="24"/>
        <v>33</v>
      </c>
      <c r="S123" s="63" t="str">
        <f>IFERROR(VLOOKUP(MID(N123,Q123,R123-Q123),[5]skilldef!$C:$D,2,FALSE),"-") &amp; " / " &amp; IFERROR(VLOOKUP(MID(N123,O123,P123-O123),[5]skilldef!$A:$B,2,FALSE),"-")</f>
        <v>自分自身に / 状態異常耐性</v>
      </c>
      <c r="T123" s="48" t="str">
        <f t="shared" si="25"/>
        <v>none</v>
      </c>
      <c r="U123" s="63" t="e">
        <f t="shared" si="26"/>
        <v>#VALUE!</v>
      </c>
      <c r="V123" s="63">
        <f t="shared" si="27"/>
        <v>4</v>
      </c>
      <c r="W123" s="63" t="e">
        <f t="shared" si="28"/>
        <v>#VALUE!</v>
      </c>
      <c r="X123" s="63" t="e">
        <f t="shared" si="29"/>
        <v>#VALUE!</v>
      </c>
      <c r="Y123" s="63" t="str">
        <f>IFERROR(VLOOKUP(MID(T123,W123,X123-W123),[5]skilldef!$C:$D,2,FALSE),"-") &amp; " / " &amp; IFERROR(VLOOKUP(MID(T123,U123,V123-U123),[5]skilldef!$A:$B,2,FALSE),"-")</f>
        <v>- / -</v>
      </c>
      <c r="Z123" s="50" t="s">
        <v>230</v>
      </c>
      <c r="AA123" s="52"/>
      <c r="AB123" s="50"/>
    </row>
    <row r="124" spans="1:28" ht="21" customHeight="1" x14ac:dyDescent="0.15">
      <c r="A124" s="108">
        <v>41006123</v>
      </c>
      <c r="B124" s="108" t="s">
        <v>483</v>
      </c>
      <c r="C124" s="109">
        <v>3</v>
      </c>
      <c r="D124" s="109" t="s">
        <v>355</v>
      </c>
      <c r="E124" s="161" t="s">
        <v>464</v>
      </c>
      <c r="F124" s="161" t="s">
        <v>467</v>
      </c>
      <c r="G124" s="63" t="str">
        <f t="shared" si="15"/>
        <v>[effect:enemy_message, val1:1.4, val2:2.2]</v>
      </c>
      <c r="H124" s="63">
        <f t="shared" si="16"/>
        <v>9</v>
      </c>
      <c r="I124" s="63">
        <f t="shared" si="17"/>
        <v>22</v>
      </c>
      <c r="J124" s="63" t="e">
        <f t="shared" si="18"/>
        <v>#VALUE!</v>
      </c>
      <c r="K124" s="63">
        <f t="shared" si="19"/>
        <v>32</v>
      </c>
      <c r="L124" s="63" t="str">
        <f>IFERROR(VLOOKUP(MID(G124,J124,K124-J124),[5]skilldef!$C:$D,2,FALSE),"-") &amp; " / " &amp; IFERROR(VLOOKUP(MID(G124,H124,I124-H124),[5]skilldef!$A:$B,2,FALSE),"-")</f>
        <v>- / -</v>
      </c>
      <c r="M124" s="63" t="str">
        <f t="shared" si="20"/>
        <v>[effect:tolerance, target:myself, turn:-1, tolerance_effect:hungup, count:-1, animation:enemy_tolerance]</v>
      </c>
      <c r="N124" s="48" t="str">
        <f>IFERROR(LEFT(M124,FIND("],",M124)+#REF!),M124)</f>
        <v>[effect:tolerance, target:myself, turn:-1, tolerance_effect:hungup, count:-1, animation:enemy_tolerance]</v>
      </c>
      <c r="O124" s="63">
        <f t="shared" si="21"/>
        <v>9</v>
      </c>
      <c r="P124" s="63">
        <f t="shared" si="22"/>
        <v>18</v>
      </c>
      <c r="Q124" s="63">
        <f t="shared" si="23"/>
        <v>27</v>
      </c>
      <c r="R124" s="63">
        <f t="shared" si="24"/>
        <v>33</v>
      </c>
      <c r="S124" s="63" t="str">
        <f>IFERROR(VLOOKUP(MID(N124,Q124,R124-Q124),[5]skilldef!$C:$D,2,FALSE),"-") &amp; " / " &amp; IFERROR(VLOOKUP(MID(N124,O124,P124-O124),[5]skilldef!$A:$B,2,FALSE),"-")</f>
        <v>自分自身に / 状態異常耐性</v>
      </c>
      <c r="T124" s="48" t="str">
        <f t="shared" si="25"/>
        <v>none</v>
      </c>
      <c r="U124" s="63" t="e">
        <f t="shared" si="26"/>
        <v>#VALUE!</v>
      </c>
      <c r="V124" s="63">
        <f t="shared" si="27"/>
        <v>4</v>
      </c>
      <c r="W124" s="63" t="e">
        <f t="shared" si="28"/>
        <v>#VALUE!</v>
      </c>
      <c r="X124" s="63" t="e">
        <f t="shared" si="29"/>
        <v>#VALUE!</v>
      </c>
      <c r="Y124" s="63" t="str">
        <f>IFERROR(VLOOKUP(MID(T124,W124,X124-W124),[5]skilldef!$C:$D,2,FALSE),"-") &amp; " / " &amp; IFERROR(VLOOKUP(MID(T124,U124,V124-U124),[5]skilldef!$A:$B,2,FALSE),"-")</f>
        <v>- / -</v>
      </c>
      <c r="Z124" s="50" t="s">
        <v>230</v>
      </c>
      <c r="AA124" s="52"/>
      <c r="AB124" s="50"/>
    </row>
    <row r="125" spans="1:28" ht="21" customHeight="1" x14ac:dyDescent="0.15">
      <c r="A125" s="108">
        <v>41006124</v>
      </c>
      <c r="B125" s="108" t="s">
        <v>483</v>
      </c>
      <c r="C125" s="109">
        <v>3</v>
      </c>
      <c r="D125" s="109" t="s">
        <v>355</v>
      </c>
      <c r="E125" s="161" t="s">
        <v>464</v>
      </c>
      <c r="F125" s="161" t="s">
        <v>467</v>
      </c>
      <c r="G125" s="63" t="str">
        <f t="shared" si="15"/>
        <v>[effect:enemy_message, val1:1.4, val2:2.2]</v>
      </c>
      <c r="H125" s="63">
        <f t="shared" si="16"/>
        <v>9</v>
      </c>
      <c r="I125" s="63">
        <f t="shared" si="17"/>
        <v>22</v>
      </c>
      <c r="J125" s="63" t="e">
        <f t="shared" si="18"/>
        <v>#VALUE!</v>
      </c>
      <c r="K125" s="63">
        <f t="shared" si="19"/>
        <v>32</v>
      </c>
      <c r="L125" s="63" t="str">
        <f>IFERROR(VLOOKUP(MID(G125,J125,K125-J125),[5]skilldef!$C:$D,2,FALSE),"-") &amp; " / " &amp; IFERROR(VLOOKUP(MID(G125,H125,I125-H125),[5]skilldef!$A:$B,2,FALSE),"-")</f>
        <v>- / -</v>
      </c>
      <c r="M125" s="63" t="str">
        <f t="shared" si="20"/>
        <v>[effect:tolerance, target:myself, turn:-1, tolerance_effect:hungup, count:-1, animation:enemy_tolerance]</v>
      </c>
      <c r="N125" s="48" t="str">
        <f>IFERROR(LEFT(M125,FIND("],",M125)+#REF!),M125)</f>
        <v>[effect:tolerance, target:myself, turn:-1, tolerance_effect:hungup, count:-1, animation:enemy_tolerance]</v>
      </c>
      <c r="O125" s="63">
        <f t="shared" si="21"/>
        <v>9</v>
      </c>
      <c r="P125" s="63">
        <f t="shared" si="22"/>
        <v>18</v>
      </c>
      <c r="Q125" s="63">
        <f t="shared" si="23"/>
        <v>27</v>
      </c>
      <c r="R125" s="63">
        <f t="shared" si="24"/>
        <v>33</v>
      </c>
      <c r="S125" s="63" t="str">
        <f>IFERROR(VLOOKUP(MID(N125,Q125,R125-Q125),[5]skilldef!$C:$D,2,FALSE),"-") &amp; " / " &amp; IFERROR(VLOOKUP(MID(N125,O125,P125-O125),[5]skilldef!$A:$B,2,FALSE),"-")</f>
        <v>自分自身に / 状態異常耐性</v>
      </c>
      <c r="T125" s="48" t="str">
        <f t="shared" si="25"/>
        <v>none</v>
      </c>
      <c r="U125" s="63" t="e">
        <f t="shared" si="26"/>
        <v>#VALUE!</v>
      </c>
      <c r="V125" s="63">
        <f t="shared" si="27"/>
        <v>4</v>
      </c>
      <c r="W125" s="63" t="e">
        <f t="shared" si="28"/>
        <v>#VALUE!</v>
      </c>
      <c r="X125" s="63" t="e">
        <f t="shared" si="29"/>
        <v>#VALUE!</v>
      </c>
      <c r="Y125" s="63" t="str">
        <f>IFERROR(VLOOKUP(MID(T125,W125,X125-W125),[5]skilldef!$C:$D,2,FALSE),"-") &amp; " / " &amp; IFERROR(VLOOKUP(MID(T125,U125,V125-U125),[5]skilldef!$A:$B,2,FALSE),"-")</f>
        <v>- / -</v>
      </c>
      <c r="Z125" s="50" t="s">
        <v>230</v>
      </c>
      <c r="AA125" s="52"/>
      <c r="AB125" s="50"/>
    </row>
    <row r="126" spans="1:28" ht="21" customHeight="1" x14ac:dyDescent="0.15">
      <c r="A126" s="108">
        <v>41006125</v>
      </c>
      <c r="B126" s="108" t="s">
        <v>483</v>
      </c>
      <c r="C126" s="109">
        <v>3</v>
      </c>
      <c r="D126" s="109" t="s">
        <v>355</v>
      </c>
      <c r="E126" s="161" t="s">
        <v>474</v>
      </c>
      <c r="F126" s="161" t="s">
        <v>473</v>
      </c>
      <c r="G126" s="63" t="str">
        <f t="shared" si="15"/>
        <v>[effect:enemy_message, val1:1.4, val2:2.2]</v>
      </c>
      <c r="H126" s="63">
        <f t="shared" si="16"/>
        <v>9</v>
      </c>
      <c r="I126" s="63">
        <f t="shared" si="17"/>
        <v>22</v>
      </c>
      <c r="J126" s="63" t="e">
        <f t="shared" si="18"/>
        <v>#VALUE!</v>
      </c>
      <c r="K126" s="63">
        <f t="shared" si="19"/>
        <v>32</v>
      </c>
      <c r="L126" s="63" t="str">
        <f>IFERROR(VLOOKUP(MID(G126,J126,K126-J126),[5]skilldef!$C:$D,2,FALSE),"-") &amp; " / " &amp; IFERROR(VLOOKUP(MID(G126,H126,I126-H126),[5]skilldef!$A:$B,2,FALSE),"-")</f>
        <v>- / -</v>
      </c>
      <c r="M126" s="63" t="str">
        <f t="shared" si="20"/>
        <v>[effect:tolerance, target:myself, turn:-1, tolerance_effect:hungup, count:-1, animation:enemy_tolerance]</v>
      </c>
      <c r="N126" s="48" t="str">
        <f>IFERROR(LEFT(M126,FIND("],",M126)+#REF!),M126)</f>
        <v>[effect:tolerance, target:myself, turn:-1, tolerance_effect:hungup, count:-1, animation:enemy_tolerance]</v>
      </c>
      <c r="O126" s="63">
        <f t="shared" si="21"/>
        <v>9</v>
      </c>
      <c r="P126" s="63">
        <f t="shared" si="22"/>
        <v>18</v>
      </c>
      <c r="Q126" s="63">
        <f t="shared" si="23"/>
        <v>27</v>
      </c>
      <c r="R126" s="63">
        <f t="shared" si="24"/>
        <v>33</v>
      </c>
      <c r="S126" s="63" t="str">
        <f>IFERROR(VLOOKUP(MID(N126,Q126,R126-Q126),[5]skilldef!$C:$D,2,FALSE),"-") &amp; " / " &amp; IFERROR(VLOOKUP(MID(N126,O126,P126-O126),[5]skilldef!$A:$B,2,FALSE),"-")</f>
        <v>自分自身に / 状態異常耐性</v>
      </c>
      <c r="T126" s="48" t="str">
        <f t="shared" si="25"/>
        <v>none</v>
      </c>
      <c r="U126" s="63" t="e">
        <f t="shared" si="26"/>
        <v>#VALUE!</v>
      </c>
      <c r="V126" s="63">
        <f t="shared" si="27"/>
        <v>4</v>
      </c>
      <c r="W126" s="63" t="e">
        <f t="shared" si="28"/>
        <v>#VALUE!</v>
      </c>
      <c r="X126" s="63" t="e">
        <f t="shared" si="29"/>
        <v>#VALUE!</v>
      </c>
      <c r="Y126" s="63" t="str">
        <f>IFERROR(VLOOKUP(MID(T126,W126,X126-W126),[5]skilldef!$C:$D,2,FALSE),"-") &amp; " / " &amp; IFERROR(VLOOKUP(MID(T126,U126,V126-U126),[5]skilldef!$A:$B,2,FALSE),"-")</f>
        <v>- / -</v>
      </c>
      <c r="Z126" s="50" t="s">
        <v>230</v>
      </c>
      <c r="AA126" s="52"/>
      <c r="AB126" s="50"/>
    </row>
    <row r="127" spans="1:28" ht="21" customHeight="1" x14ac:dyDescent="0.15">
      <c r="A127" s="108">
        <v>41006126</v>
      </c>
      <c r="B127" s="108" t="s">
        <v>483</v>
      </c>
      <c r="C127" s="109">
        <v>3</v>
      </c>
      <c r="D127" s="109" t="s">
        <v>355</v>
      </c>
      <c r="E127" s="161" t="s">
        <v>474</v>
      </c>
      <c r="F127" s="161" t="s">
        <v>473</v>
      </c>
      <c r="G127" s="63" t="str">
        <f t="shared" si="15"/>
        <v>[effect:enemy_message, val1:1.4, val2:2.2]</v>
      </c>
      <c r="H127" s="63">
        <f t="shared" si="16"/>
        <v>9</v>
      </c>
      <c r="I127" s="63">
        <f t="shared" si="17"/>
        <v>22</v>
      </c>
      <c r="J127" s="63" t="e">
        <f t="shared" si="18"/>
        <v>#VALUE!</v>
      </c>
      <c r="K127" s="63">
        <f t="shared" si="19"/>
        <v>32</v>
      </c>
      <c r="L127" s="63" t="str">
        <f>IFERROR(VLOOKUP(MID(G127,J127,K127-J127),[5]skilldef!$C:$D,2,FALSE),"-") &amp; " / " &amp; IFERROR(VLOOKUP(MID(G127,H127,I127-H127),[5]skilldef!$A:$B,2,FALSE),"-")</f>
        <v>- / -</v>
      </c>
      <c r="M127" s="63" t="str">
        <f t="shared" si="20"/>
        <v>[effect:tolerance, target:myself, turn:-1, tolerance_effect:hungup, count:-1, animation:enemy_tolerance]</v>
      </c>
      <c r="N127" s="48" t="str">
        <f>IFERROR(LEFT(M127,FIND("],",M127)+#REF!),M127)</f>
        <v>[effect:tolerance, target:myself, turn:-1, tolerance_effect:hungup, count:-1, animation:enemy_tolerance]</v>
      </c>
      <c r="O127" s="63">
        <f t="shared" si="21"/>
        <v>9</v>
      </c>
      <c r="P127" s="63">
        <f t="shared" si="22"/>
        <v>18</v>
      </c>
      <c r="Q127" s="63">
        <f t="shared" si="23"/>
        <v>27</v>
      </c>
      <c r="R127" s="63">
        <f t="shared" si="24"/>
        <v>33</v>
      </c>
      <c r="S127" s="63" t="str">
        <f>IFERROR(VLOOKUP(MID(N127,Q127,R127-Q127),[5]skilldef!$C:$D,2,FALSE),"-") &amp; " / " &amp; IFERROR(VLOOKUP(MID(N127,O127,P127-O127),[5]skilldef!$A:$B,2,FALSE),"-")</f>
        <v>自分自身に / 状態異常耐性</v>
      </c>
      <c r="T127" s="48" t="str">
        <f t="shared" si="25"/>
        <v>none</v>
      </c>
      <c r="U127" s="63" t="e">
        <f t="shared" si="26"/>
        <v>#VALUE!</v>
      </c>
      <c r="V127" s="63">
        <f t="shared" si="27"/>
        <v>4</v>
      </c>
      <c r="W127" s="63" t="e">
        <f t="shared" si="28"/>
        <v>#VALUE!</v>
      </c>
      <c r="X127" s="63" t="e">
        <f t="shared" si="29"/>
        <v>#VALUE!</v>
      </c>
      <c r="Y127" s="63" t="str">
        <f>IFERROR(VLOOKUP(MID(T127,W127,X127-W127),[5]skilldef!$C:$D,2,FALSE),"-") &amp; " / " &amp; IFERROR(VLOOKUP(MID(T127,U127,V127-U127),[5]skilldef!$A:$B,2,FALSE),"-")</f>
        <v>- / -</v>
      </c>
      <c r="Z127" s="50" t="s">
        <v>230</v>
      </c>
      <c r="AA127" s="52"/>
      <c r="AB127" s="50"/>
    </row>
    <row r="128" spans="1:28" ht="21" customHeight="1" x14ac:dyDescent="0.15">
      <c r="A128" s="108">
        <v>41006127</v>
      </c>
      <c r="B128" s="108" t="s">
        <v>484</v>
      </c>
      <c r="C128" s="109">
        <v>3</v>
      </c>
      <c r="D128" s="109" t="s">
        <v>355</v>
      </c>
      <c r="E128" s="160" t="s">
        <v>496</v>
      </c>
      <c r="F128" s="160" t="s">
        <v>498</v>
      </c>
      <c r="G128" s="63" t="str">
        <f t="shared" si="15"/>
        <v>[effect:enemy_message, val1:1.4, val2:2.2]</v>
      </c>
      <c r="H128" s="63">
        <f t="shared" si="16"/>
        <v>9</v>
      </c>
      <c r="I128" s="63">
        <f t="shared" si="17"/>
        <v>22</v>
      </c>
      <c r="J128" s="63" t="e">
        <f t="shared" si="18"/>
        <v>#VALUE!</v>
      </c>
      <c r="K128" s="63">
        <f t="shared" si="19"/>
        <v>32</v>
      </c>
      <c r="L128" s="63" t="str">
        <f>IFERROR(VLOOKUP(MID(G128,J128,K128-J128),[5]skilldef!$C:$D,2,FALSE),"-") &amp; " / " &amp; IFERROR(VLOOKUP(MID(G128,H128,I128-H128),[5]skilldef!$A:$B,2,FALSE),"-")</f>
        <v>- / -</v>
      </c>
      <c r="M128" s="63" t="str">
        <f t="shared" si="20"/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N128" s="48" t="str">
        <f>IFERROR(LEFT(M128,FIND("],",M128)+#REF!),M128)</f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O128" s="63">
        <f t="shared" si="21"/>
        <v>9</v>
      </c>
      <c r="P128" s="63">
        <f t="shared" si="22"/>
        <v>29</v>
      </c>
      <c r="Q128" s="63">
        <f t="shared" si="23"/>
        <v>116</v>
      </c>
      <c r="R128" s="63">
        <f t="shared" si="24"/>
        <v>39</v>
      </c>
      <c r="S128" s="63" t="str">
        <f>IFERROR(VLOOKUP(MID(N128,Q128,R128-Q128),[5]skilldef!$C:$D,2,FALSE),"-") &amp; " / " &amp; IFERROR(VLOOKUP(MID(N128,O128,P128-O128),[5]skilldef!$A:$B,2,FALSE),"-")</f>
        <v>- / -</v>
      </c>
      <c r="T128" s="48" t="str">
        <f t="shared" si="25"/>
        <v>[effect:tolerance, target:myself, turn:-1, tolerance_effect:hungup, count:-1, animation:en_tolerance]</v>
      </c>
      <c r="U128" s="63">
        <f t="shared" si="26"/>
        <v>9</v>
      </c>
      <c r="V128" s="63">
        <f t="shared" si="27"/>
        <v>18</v>
      </c>
      <c r="W128" s="63">
        <f t="shared" si="28"/>
        <v>27</v>
      </c>
      <c r="X128" s="63">
        <f t="shared" si="29"/>
        <v>33</v>
      </c>
      <c r="Y128" s="63" t="str">
        <f>IFERROR(VLOOKUP(MID(T128,W128,X128-W128),[5]skilldef!$C:$D,2,FALSE),"-") &amp; " / " &amp; IFERROR(VLOOKUP(MID(T128,U128,V128-U128),[5]skilldef!$A:$B,2,FALSE),"-")</f>
        <v>自分自身に / 状態異常耐性</v>
      </c>
      <c r="Z128" s="50" t="s">
        <v>230</v>
      </c>
      <c r="AA128" s="52"/>
      <c r="AB128" s="50"/>
    </row>
    <row r="129" spans="1:28" ht="21" customHeight="1" x14ac:dyDescent="0.15">
      <c r="A129" s="108">
        <v>41006128</v>
      </c>
      <c r="B129" s="108" t="s">
        <v>484</v>
      </c>
      <c r="C129" s="109">
        <v>3</v>
      </c>
      <c r="D129" s="109" t="s">
        <v>355</v>
      </c>
      <c r="E129" s="160" t="s">
        <v>496</v>
      </c>
      <c r="F129" s="160" t="s">
        <v>498</v>
      </c>
      <c r="G129" s="63" t="str">
        <f t="shared" si="15"/>
        <v>[effect:enemy_message, val1:1.4, val2:2.2]</v>
      </c>
      <c r="H129" s="63">
        <f t="shared" si="16"/>
        <v>9</v>
      </c>
      <c r="I129" s="63">
        <f t="shared" si="17"/>
        <v>22</v>
      </c>
      <c r="J129" s="63" t="e">
        <f t="shared" si="18"/>
        <v>#VALUE!</v>
      </c>
      <c r="K129" s="63">
        <f t="shared" si="19"/>
        <v>32</v>
      </c>
      <c r="L129" s="63" t="str">
        <f>IFERROR(VLOOKUP(MID(G129,J129,K129-J129),[5]skilldef!$C:$D,2,FALSE),"-") &amp; " / " &amp; IFERROR(VLOOKUP(MID(G129,H129,I129-H129),[5]skilldef!$A:$B,2,FALSE),"-")</f>
        <v>- / -</v>
      </c>
      <c r="M129" s="63" t="str">
        <f t="shared" si="20"/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N129" s="48" t="str">
        <f>IFERROR(LEFT(M129,FIND("],",M129)+#REF!),M129)</f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O129" s="63">
        <f t="shared" si="21"/>
        <v>9</v>
      </c>
      <c r="P129" s="63">
        <f t="shared" si="22"/>
        <v>29</v>
      </c>
      <c r="Q129" s="63">
        <f t="shared" si="23"/>
        <v>116</v>
      </c>
      <c r="R129" s="63">
        <f t="shared" si="24"/>
        <v>39</v>
      </c>
      <c r="S129" s="63" t="str">
        <f>IFERROR(VLOOKUP(MID(N129,Q129,R129-Q129),[5]skilldef!$C:$D,2,FALSE),"-") &amp; " / " &amp; IFERROR(VLOOKUP(MID(N129,O129,P129-O129),[5]skilldef!$A:$B,2,FALSE),"-")</f>
        <v>- / -</v>
      </c>
      <c r="T129" s="48" t="str">
        <f t="shared" si="25"/>
        <v>[effect:tolerance, target:myself, turn:-1, tolerance_effect:hungup, count:-1, animation:en_tolerance]</v>
      </c>
      <c r="U129" s="63">
        <f t="shared" si="26"/>
        <v>9</v>
      </c>
      <c r="V129" s="63">
        <f t="shared" si="27"/>
        <v>18</v>
      </c>
      <c r="W129" s="63">
        <f t="shared" si="28"/>
        <v>27</v>
      </c>
      <c r="X129" s="63">
        <f t="shared" si="29"/>
        <v>33</v>
      </c>
      <c r="Y129" s="63" t="str">
        <f>IFERROR(VLOOKUP(MID(T129,W129,X129-W129),[5]skilldef!$C:$D,2,FALSE),"-") &amp; " / " &amp; IFERROR(VLOOKUP(MID(T129,U129,V129-U129),[5]skilldef!$A:$B,2,FALSE),"-")</f>
        <v>自分自身に / 状態異常耐性</v>
      </c>
      <c r="Z129" s="50" t="s">
        <v>230</v>
      </c>
      <c r="AA129" s="52"/>
      <c r="AB129" s="50"/>
    </row>
    <row r="130" spans="1:28" ht="21" customHeight="1" x14ac:dyDescent="0.15">
      <c r="A130" s="108">
        <v>41006129</v>
      </c>
      <c r="B130" s="108" t="s">
        <v>484</v>
      </c>
      <c r="C130" s="109">
        <v>3</v>
      </c>
      <c r="D130" s="109" t="s">
        <v>355</v>
      </c>
      <c r="E130" s="160" t="s">
        <v>496</v>
      </c>
      <c r="F130" s="160" t="s">
        <v>498</v>
      </c>
      <c r="G130" s="63" t="str">
        <f t="shared" si="15"/>
        <v>[effect:enemy_message, val1:1.4, val2:2.2]</v>
      </c>
      <c r="H130" s="63">
        <f t="shared" si="16"/>
        <v>9</v>
      </c>
      <c r="I130" s="63">
        <f t="shared" si="17"/>
        <v>22</v>
      </c>
      <c r="J130" s="63" t="e">
        <f t="shared" si="18"/>
        <v>#VALUE!</v>
      </c>
      <c r="K130" s="63">
        <f t="shared" si="19"/>
        <v>32</v>
      </c>
      <c r="L130" s="63" t="str">
        <f>IFERROR(VLOOKUP(MID(G130,J130,K130-J130),[5]skilldef!$C:$D,2,FALSE),"-") &amp; " / " &amp; IFERROR(VLOOKUP(MID(G130,H130,I130-H130),[5]skilldef!$A:$B,2,FALSE),"-")</f>
        <v>- / -</v>
      </c>
      <c r="M130" s="63" t="str">
        <f t="shared" si="20"/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N130" s="48" t="str">
        <f>IFERROR(LEFT(M130,FIND("],",M130)+#REF!),M130)</f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O130" s="63">
        <f t="shared" si="21"/>
        <v>9</v>
      </c>
      <c r="P130" s="63">
        <f t="shared" si="22"/>
        <v>29</v>
      </c>
      <c r="Q130" s="63">
        <f t="shared" si="23"/>
        <v>116</v>
      </c>
      <c r="R130" s="63">
        <f t="shared" si="24"/>
        <v>39</v>
      </c>
      <c r="S130" s="63" t="str">
        <f>IFERROR(VLOOKUP(MID(N130,Q130,R130-Q130),[5]skilldef!$C:$D,2,FALSE),"-") &amp; " / " &amp; IFERROR(VLOOKUP(MID(N130,O130,P130-O130),[5]skilldef!$A:$B,2,FALSE),"-")</f>
        <v>- / -</v>
      </c>
      <c r="T130" s="48" t="str">
        <f t="shared" si="25"/>
        <v>[effect:tolerance, target:myself, turn:-1, tolerance_effect:hungup, count:-1, animation:en_tolerance]</v>
      </c>
      <c r="U130" s="63">
        <f t="shared" si="26"/>
        <v>9</v>
      </c>
      <c r="V130" s="63">
        <f t="shared" si="27"/>
        <v>18</v>
      </c>
      <c r="W130" s="63">
        <f t="shared" si="28"/>
        <v>27</v>
      </c>
      <c r="X130" s="63">
        <f t="shared" si="29"/>
        <v>33</v>
      </c>
      <c r="Y130" s="63" t="str">
        <f>IFERROR(VLOOKUP(MID(T130,W130,X130-W130),[5]skilldef!$C:$D,2,FALSE),"-") &amp; " / " &amp; IFERROR(VLOOKUP(MID(T130,U130,V130-U130),[5]skilldef!$A:$B,2,FALSE),"-")</f>
        <v>自分自身に / 状態異常耐性</v>
      </c>
      <c r="Z130" s="50" t="s">
        <v>230</v>
      </c>
      <c r="AA130" s="52"/>
      <c r="AB130" s="50"/>
    </row>
    <row r="131" spans="1:28" ht="21" customHeight="1" x14ac:dyDescent="0.15">
      <c r="A131" s="108">
        <v>41006130</v>
      </c>
      <c r="B131" s="108" t="s">
        <v>484</v>
      </c>
      <c r="C131" s="109">
        <v>3</v>
      </c>
      <c r="D131" s="109" t="s">
        <v>355</v>
      </c>
      <c r="E131" s="160" t="s">
        <v>504</v>
      </c>
      <c r="F131" s="160" t="s">
        <v>505</v>
      </c>
      <c r="G131" s="63" t="str">
        <f t="shared" si="15"/>
        <v>[effect:enemy_message, val1:1.4, val2:2.2]</v>
      </c>
      <c r="H131" s="63">
        <f t="shared" si="16"/>
        <v>9</v>
      </c>
      <c r="I131" s="63">
        <f t="shared" si="17"/>
        <v>22</v>
      </c>
      <c r="J131" s="63" t="e">
        <f t="shared" si="18"/>
        <v>#VALUE!</v>
      </c>
      <c r="K131" s="63">
        <f t="shared" si="19"/>
        <v>32</v>
      </c>
      <c r="L131" s="63" t="str">
        <f>IFERROR(VLOOKUP(MID(G131,J131,K131-J131),[5]skilldef!$C:$D,2,FALSE),"-") &amp; " / " &amp; IFERROR(VLOOKUP(MID(G131,H131,I131-H131),[5]skilldef!$A:$B,2,FALSE),"-")</f>
        <v>- / -</v>
      </c>
      <c r="M131" s="63" t="str">
        <f t="shared" si="20"/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N131" s="48" t="str">
        <f>IFERROR(LEFT(M131,FIND("],",M131)+#REF!),M131)</f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O131" s="63">
        <f t="shared" si="21"/>
        <v>9</v>
      </c>
      <c r="P131" s="63">
        <f t="shared" si="22"/>
        <v>29</v>
      </c>
      <c r="Q131" s="63">
        <f t="shared" si="23"/>
        <v>116</v>
      </c>
      <c r="R131" s="63">
        <f t="shared" si="24"/>
        <v>39</v>
      </c>
      <c r="S131" s="63" t="str">
        <f>IFERROR(VLOOKUP(MID(N131,Q131,R131-Q131),[5]skilldef!$C:$D,2,FALSE),"-") &amp; " / " &amp; IFERROR(VLOOKUP(MID(N131,O131,P131-O131),[5]skilldef!$A:$B,2,FALSE),"-")</f>
        <v>- / -</v>
      </c>
      <c r="T131" s="48" t="str">
        <f t="shared" si="25"/>
        <v>[effect:tolerance, target:myself, turn:-1, tolerance_effect:hungup, count:-1, animation:en_tolerance]</v>
      </c>
      <c r="U131" s="63">
        <f t="shared" si="26"/>
        <v>9</v>
      </c>
      <c r="V131" s="63">
        <f t="shared" si="27"/>
        <v>18</v>
      </c>
      <c r="W131" s="63">
        <f t="shared" si="28"/>
        <v>27</v>
      </c>
      <c r="X131" s="63">
        <f t="shared" si="29"/>
        <v>33</v>
      </c>
      <c r="Y131" s="63" t="str">
        <f>IFERROR(VLOOKUP(MID(T131,W131,X131-W131),[5]skilldef!$C:$D,2,FALSE),"-") &amp; " / " &amp; IFERROR(VLOOKUP(MID(T131,U131,V131-U131),[5]skilldef!$A:$B,2,FALSE),"-")</f>
        <v>自分自身に / 状態異常耐性</v>
      </c>
      <c r="Z131" s="50" t="s">
        <v>230</v>
      </c>
      <c r="AA131" s="52"/>
      <c r="AB131" s="50"/>
    </row>
    <row r="132" spans="1:28" ht="21" customHeight="1" x14ac:dyDescent="0.15">
      <c r="A132" s="108">
        <v>41006131</v>
      </c>
      <c r="B132" s="108" t="s">
        <v>484</v>
      </c>
      <c r="C132" s="109">
        <v>3</v>
      </c>
      <c r="D132" s="109" t="s">
        <v>355</v>
      </c>
      <c r="E132" s="160" t="s">
        <v>504</v>
      </c>
      <c r="F132" s="160" t="s">
        <v>505</v>
      </c>
      <c r="G132" s="63" t="str">
        <f t="shared" ref="G132:G154" si="30">IFERROR(LEFT(B132,FIND("],",B132)),B132)</f>
        <v>[effect:enemy_message, val1:1.4, val2:2.2]</v>
      </c>
      <c r="H132" s="63">
        <f t="shared" ref="H132:H154" si="31">FIND("effect:",G132)+7</f>
        <v>9</v>
      </c>
      <c r="I132" s="63">
        <f t="shared" ref="I132:I154" si="32">IFERROR(FIND(",",G132),LEN(G132))</f>
        <v>22</v>
      </c>
      <c r="J132" s="63" t="e">
        <f t="shared" ref="J132:J154" si="33">FIND("target:",G132)+7</f>
        <v>#VALUE!</v>
      </c>
      <c r="K132" s="63">
        <f t="shared" ref="K132:K154" si="34">FIND(",",G132,I132+1)</f>
        <v>32</v>
      </c>
      <c r="L132" s="63" t="str">
        <f>IFERROR(VLOOKUP(MID(G132,J132,K132-J132),[5]skilldef!$C:$D,2,FALSE),"-") &amp; " / " &amp; IFERROR(VLOOKUP(MID(G132,H132,I132-H132),[5]skilldef!$A:$B,2,FALSE),"-")</f>
        <v>- / -</v>
      </c>
      <c r="M132" s="63" t="str">
        <f t="shared" ref="M132:M154" si="35">IFERROR(RIGHT(B132,LEN(B132)-FIND("],",B132)-1),"none")</f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N132" s="48" t="str">
        <f>IFERROR(LEFT(M132,FIND("],",M132)+#REF!),M132)</f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O132" s="63">
        <f t="shared" ref="O132:O154" si="36">FIND("effect:",N132)+7</f>
        <v>9</v>
      </c>
      <c r="P132" s="63">
        <f t="shared" ref="P132:P154" si="37">IFERROR(FIND(",",N132),LEN(N132))</f>
        <v>29</v>
      </c>
      <c r="Q132" s="63">
        <f t="shared" ref="Q132:Q154" si="38">FIND("target:",N132)+7</f>
        <v>116</v>
      </c>
      <c r="R132" s="63">
        <f t="shared" ref="R132:R154" si="39">FIND(",",N132,P132+1)</f>
        <v>39</v>
      </c>
      <c r="S132" s="63" t="str">
        <f>IFERROR(VLOOKUP(MID(N132,Q132,R132-Q132),[5]skilldef!$C:$D,2,FALSE),"-") &amp; " / " &amp; IFERROR(VLOOKUP(MID(N132,O132,P132-O132),[5]skilldef!$A:$B,2,FALSE),"-")</f>
        <v>- / -</v>
      </c>
      <c r="T132" s="48" t="str">
        <f t="shared" ref="T132:T154" si="40">IFERROR(RIGHT(M132,LEN(M132)-FIND("],",M132)-1),"none")</f>
        <v>[effect:tolerance, target:myself, turn:-1, tolerance_effect:hungup, count:-1, animation:en_tolerance]</v>
      </c>
      <c r="U132" s="63">
        <f t="shared" ref="U132:U154" si="41">FIND("effect:",T132)+7</f>
        <v>9</v>
      </c>
      <c r="V132" s="63">
        <f t="shared" ref="V132:V154" si="42">IFERROR(FIND(",",T132),LEN(T132))</f>
        <v>18</v>
      </c>
      <c r="W132" s="63">
        <f t="shared" ref="W132:W154" si="43">FIND("target:",T132)+7</f>
        <v>27</v>
      </c>
      <c r="X132" s="63">
        <f t="shared" ref="X132:X154" si="44">FIND(",",T132,V132+1)</f>
        <v>33</v>
      </c>
      <c r="Y132" s="63" t="str">
        <f>IFERROR(VLOOKUP(MID(T132,W132,X132-W132),[5]skilldef!$C:$D,2,FALSE),"-") &amp; " / " &amp; IFERROR(VLOOKUP(MID(T132,U132,V132-U132),[5]skilldef!$A:$B,2,FALSE),"-")</f>
        <v>自分自身に / 状態異常耐性</v>
      </c>
      <c r="Z132" s="50" t="s">
        <v>230</v>
      </c>
      <c r="AA132" s="52"/>
      <c r="AB132" s="50"/>
    </row>
    <row r="133" spans="1:28" ht="21" customHeight="1" x14ac:dyDescent="0.15">
      <c r="A133" s="108">
        <v>41006132</v>
      </c>
      <c r="B133" s="108" t="s">
        <v>484</v>
      </c>
      <c r="C133" s="109">
        <v>3</v>
      </c>
      <c r="D133" s="109" t="s">
        <v>355</v>
      </c>
      <c r="E133" s="160" t="s">
        <v>504</v>
      </c>
      <c r="F133" s="160" t="s">
        <v>505</v>
      </c>
      <c r="G133" s="63" t="str">
        <f t="shared" si="30"/>
        <v>[effect:enemy_message, val1:1.4, val2:2.2]</v>
      </c>
      <c r="H133" s="63">
        <f t="shared" si="31"/>
        <v>9</v>
      </c>
      <c r="I133" s="63">
        <f t="shared" si="32"/>
        <v>22</v>
      </c>
      <c r="J133" s="63" t="e">
        <f t="shared" si="33"/>
        <v>#VALUE!</v>
      </c>
      <c r="K133" s="63">
        <f t="shared" si="34"/>
        <v>32</v>
      </c>
      <c r="L133" s="63" t="str">
        <f>IFERROR(VLOOKUP(MID(G133,J133,K133-J133),[5]skilldef!$C:$D,2,FALSE),"-") &amp; " / " &amp; IFERROR(VLOOKUP(MID(G133,H133,I133-H133),[5]skilldef!$A:$B,2,FALSE),"-")</f>
        <v>- / -</v>
      </c>
      <c r="M133" s="63" t="str">
        <f t="shared" si="35"/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N133" s="48" t="str">
        <f>IFERROR(LEFT(M133,FIND("],",M133)+#REF!),M133)</f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O133" s="63">
        <f t="shared" si="36"/>
        <v>9</v>
      </c>
      <c r="P133" s="63">
        <f t="shared" si="37"/>
        <v>29</v>
      </c>
      <c r="Q133" s="63">
        <f t="shared" si="38"/>
        <v>116</v>
      </c>
      <c r="R133" s="63">
        <f t="shared" si="39"/>
        <v>39</v>
      </c>
      <c r="S133" s="63" t="str">
        <f>IFERROR(VLOOKUP(MID(N133,Q133,R133-Q133),[5]skilldef!$C:$D,2,FALSE),"-") &amp; " / " &amp; IFERROR(VLOOKUP(MID(N133,O133,P133-O133),[5]skilldef!$A:$B,2,FALSE),"-")</f>
        <v>- / -</v>
      </c>
      <c r="T133" s="48" t="str">
        <f t="shared" si="40"/>
        <v>[effect:tolerance, target:myself, turn:-1, tolerance_effect:hungup, count:-1, animation:en_tolerance]</v>
      </c>
      <c r="U133" s="63">
        <f t="shared" si="41"/>
        <v>9</v>
      </c>
      <c r="V133" s="63">
        <f t="shared" si="42"/>
        <v>18</v>
      </c>
      <c r="W133" s="63">
        <f t="shared" si="43"/>
        <v>27</v>
      </c>
      <c r="X133" s="63">
        <f t="shared" si="44"/>
        <v>33</v>
      </c>
      <c r="Y133" s="63" t="str">
        <f>IFERROR(VLOOKUP(MID(T133,W133,X133-W133),[5]skilldef!$C:$D,2,FALSE),"-") &amp; " / " &amp; IFERROR(VLOOKUP(MID(T133,U133,V133-U133),[5]skilldef!$A:$B,2,FALSE),"-")</f>
        <v>自分自身に / 状態異常耐性</v>
      </c>
      <c r="Z133" s="50" t="s">
        <v>230</v>
      </c>
      <c r="AA133" s="52"/>
      <c r="AB133" s="50"/>
    </row>
    <row r="134" spans="1:28" ht="21" customHeight="1" x14ac:dyDescent="0.15">
      <c r="A134" s="108">
        <v>41006133</v>
      </c>
      <c r="B134" s="108" t="s">
        <v>484</v>
      </c>
      <c r="C134" s="109">
        <v>3</v>
      </c>
      <c r="D134" s="109" t="s">
        <v>355</v>
      </c>
      <c r="E134" s="160" t="s">
        <v>468</v>
      </c>
      <c r="F134" s="160" t="s">
        <v>466</v>
      </c>
      <c r="G134" s="63" t="str">
        <f t="shared" si="30"/>
        <v>[effect:enemy_message, val1:1.4, val2:2.2]</v>
      </c>
      <c r="H134" s="63">
        <f t="shared" si="31"/>
        <v>9</v>
      </c>
      <c r="I134" s="63">
        <f t="shared" si="32"/>
        <v>22</v>
      </c>
      <c r="J134" s="63" t="e">
        <f t="shared" si="33"/>
        <v>#VALUE!</v>
      </c>
      <c r="K134" s="63">
        <f t="shared" si="34"/>
        <v>32</v>
      </c>
      <c r="L134" s="63" t="str">
        <f>IFERROR(VLOOKUP(MID(G134,J134,K134-J134),[5]skilldef!$C:$D,2,FALSE),"-") &amp; " / " &amp; IFERROR(VLOOKUP(MID(G134,H134,I134-H134),[5]skilldef!$A:$B,2,FALSE),"-")</f>
        <v>- / -</v>
      </c>
      <c r="M134" s="63" t="str">
        <f t="shared" si="35"/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N134" s="48" t="str">
        <f>IFERROR(LEFT(M134,FIND("],",M134)+#REF!),M134)</f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O134" s="63">
        <f t="shared" si="36"/>
        <v>9</v>
      </c>
      <c r="P134" s="63">
        <f t="shared" si="37"/>
        <v>29</v>
      </c>
      <c r="Q134" s="63">
        <f t="shared" si="38"/>
        <v>116</v>
      </c>
      <c r="R134" s="63">
        <f t="shared" si="39"/>
        <v>39</v>
      </c>
      <c r="S134" s="63" t="str">
        <f>IFERROR(VLOOKUP(MID(N134,Q134,R134-Q134),[5]skilldef!$C:$D,2,FALSE),"-") &amp; " / " &amp; IFERROR(VLOOKUP(MID(N134,O134,P134-O134),[5]skilldef!$A:$B,2,FALSE),"-")</f>
        <v>- / -</v>
      </c>
      <c r="T134" s="48" t="str">
        <f t="shared" si="40"/>
        <v>[effect:tolerance, target:myself, turn:-1, tolerance_effect:hungup, count:-1, animation:en_tolerance]</v>
      </c>
      <c r="U134" s="63">
        <f t="shared" si="41"/>
        <v>9</v>
      </c>
      <c r="V134" s="63">
        <f t="shared" si="42"/>
        <v>18</v>
      </c>
      <c r="W134" s="63">
        <f t="shared" si="43"/>
        <v>27</v>
      </c>
      <c r="X134" s="63">
        <f t="shared" si="44"/>
        <v>33</v>
      </c>
      <c r="Y134" s="63" t="str">
        <f>IFERROR(VLOOKUP(MID(T134,W134,X134-W134),[5]skilldef!$C:$D,2,FALSE),"-") &amp; " / " &amp; IFERROR(VLOOKUP(MID(T134,U134,V134-U134),[5]skilldef!$A:$B,2,FALSE),"-")</f>
        <v>自分自身に / 状態異常耐性</v>
      </c>
      <c r="Z134" s="50" t="s">
        <v>230</v>
      </c>
      <c r="AA134" s="52"/>
      <c r="AB134" s="50"/>
    </row>
    <row r="135" spans="1:28" ht="21" customHeight="1" x14ac:dyDescent="0.15">
      <c r="A135" s="108">
        <v>41006134</v>
      </c>
      <c r="B135" s="108" t="s">
        <v>484</v>
      </c>
      <c r="C135" s="109">
        <v>3</v>
      </c>
      <c r="D135" s="109" t="s">
        <v>355</v>
      </c>
      <c r="E135" s="160" t="s">
        <v>468</v>
      </c>
      <c r="F135" s="160" t="s">
        <v>466</v>
      </c>
      <c r="G135" s="63" t="str">
        <f t="shared" si="30"/>
        <v>[effect:enemy_message, val1:1.4, val2:2.2]</v>
      </c>
      <c r="H135" s="63">
        <f t="shared" si="31"/>
        <v>9</v>
      </c>
      <c r="I135" s="63">
        <f t="shared" si="32"/>
        <v>22</v>
      </c>
      <c r="J135" s="63" t="e">
        <f t="shared" si="33"/>
        <v>#VALUE!</v>
      </c>
      <c r="K135" s="63">
        <f t="shared" si="34"/>
        <v>32</v>
      </c>
      <c r="L135" s="63" t="str">
        <f>IFERROR(VLOOKUP(MID(G135,J135,K135-J135),[5]skilldef!$C:$D,2,FALSE),"-") &amp; " / " &amp; IFERROR(VLOOKUP(MID(G135,H135,I135-H135),[5]skilldef!$A:$B,2,FALSE),"-")</f>
        <v>- / -</v>
      </c>
      <c r="M135" s="63" t="str">
        <f t="shared" si="35"/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N135" s="48" t="str">
        <f>IFERROR(LEFT(M135,FIND("],",M135)+#REF!),M135)</f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O135" s="63">
        <f t="shared" si="36"/>
        <v>9</v>
      </c>
      <c r="P135" s="63">
        <f t="shared" si="37"/>
        <v>29</v>
      </c>
      <c r="Q135" s="63">
        <f t="shared" si="38"/>
        <v>116</v>
      </c>
      <c r="R135" s="63">
        <f t="shared" si="39"/>
        <v>39</v>
      </c>
      <c r="S135" s="63" t="str">
        <f>IFERROR(VLOOKUP(MID(N135,Q135,R135-Q135),[5]skilldef!$C:$D,2,FALSE),"-") &amp; " / " &amp; IFERROR(VLOOKUP(MID(N135,O135,P135-O135),[5]skilldef!$A:$B,2,FALSE),"-")</f>
        <v>- / -</v>
      </c>
      <c r="T135" s="48" t="str">
        <f t="shared" si="40"/>
        <v>[effect:tolerance, target:myself, turn:-1, tolerance_effect:hungup, count:-1, animation:en_tolerance]</v>
      </c>
      <c r="U135" s="63">
        <f t="shared" si="41"/>
        <v>9</v>
      </c>
      <c r="V135" s="63">
        <f t="shared" si="42"/>
        <v>18</v>
      </c>
      <c r="W135" s="63">
        <f t="shared" si="43"/>
        <v>27</v>
      </c>
      <c r="X135" s="63">
        <f t="shared" si="44"/>
        <v>33</v>
      </c>
      <c r="Y135" s="63" t="str">
        <f>IFERROR(VLOOKUP(MID(T135,W135,X135-W135),[5]skilldef!$C:$D,2,FALSE),"-") &amp; " / " &amp; IFERROR(VLOOKUP(MID(T135,U135,V135-U135),[5]skilldef!$A:$B,2,FALSE),"-")</f>
        <v>自分自身に / 状態異常耐性</v>
      </c>
      <c r="Z135" s="50" t="s">
        <v>230</v>
      </c>
      <c r="AA135" s="52"/>
      <c r="AB135" s="50"/>
    </row>
    <row r="136" spans="1:28" ht="21" customHeight="1" x14ac:dyDescent="0.15">
      <c r="A136" s="108">
        <v>41006135</v>
      </c>
      <c r="B136" s="108" t="s">
        <v>484</v>
      </c>
      <c r="C136" s="109">
        <v>3</v>
      </c>
      <c r="D136" s="109" t="s">
        <v>355</v>
      </c>
      <c r="E136" s="160" t="s">
        <v>468</v>
      </c>
      <c r="F136" s="160" t="s">
        <v>466</v>
      </c>
      <c r="G136" s="63" t="str">
        <f t="shared" si="30"/>
        <v>[effect:enemy_message, val1:1.4, val2:2.2]</v>
      </c>
      <c r="H136" s="63">
        <f t="shared" si="31"/>
        <v>9</v>
      </c>
      <c r="I136" s="63">
        <f t="shared" si="32"/>
        <v>22</v>
      </c>
      <c r="J136" s="63" t="e">
        <f t="shared" si="33"/>
        <v>#VALUE!</v>
      </c>
      <c r="K136" s="63">
        <f t="shared" si="34"/>
        <v>32</v>
      </c>
      <c r="L136" s="63" t="str">
        <f>IFERROR(VLOOKUP(MID(G136,J136,K136-J136),[5]skilldef!$C:$D,2,FALSE),"-") &amp; " / " &amp; IFERROR(VLOOKUP(MID(G136,H136,I136-H136),[5]skilldef!$A:$B,2,FALSE),"-")</f>
        <v>- / -</v>
      </c>
      <c r="M136" s="63" t="str">
        <f t="shared" si="35"/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N136" s="48" t="str">
        <f>IFERROR(LEFT(M136,FIND("],",M136)+#REF!),M136)</f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O136" s="63">
        <f t="shared" si="36"/>
        <v>9</v>
      </c>
      <c r="P136" s="63">
        <f t="shared" si="37"/>
        <v>29</v>
      </c>
      <c r="Q136" s="63">
        <f t="shared" si="38"/>
        <v>116</v>
      </c>
      <c r="R136" s="63">
        <f t="shared" si="39"/>
        <v>39</v>
      </c>
      <c r="S136" s="63" t="str">
        <f>IFERROR(VLOOKUP(MID(N136,Q136,R136-Q136),[5]skilldef!$C:$D,2,FALSE),"-") &amp; " / " &amp; IFERROR(VLOOKUP(MID(N136,O136,P136-O136),[5]skilldef!$A:$B,2,FALSE),"-")</f>
        <v>- / -</v>
      </c>
      <c r="T136" s="48" t="str">
        <f t="shared" si="40"/>
        <v>[effect:tolerance, target:myself, turn:-1, tolerance_effect:hungup, count:-1, animation:en_tolerance]</v>
      </c>
      <c r="U136" s="63">
        <f t="shared" si="41"/>
        <v>9</v>
      </c>
      <c r="V136" s="63">
        <f t="shared" si="42"/>
        <v>18</v>
      </c>
      <c r="W136" s="63">
        <f t="shared" si="43"/>
        <v>27</v>
      </c>
      <c r="X136" s="63">
        <f t="shared" si="44"/>
        <v>33</v>
      </c>
      <c r="Y136" s="63" t="str">
        <f>IFERROR(VLOOKUP(MID(T136,W136,X136-W136),[5]skilldef!$C:$D,2,FALSE),"-") &amp; " / " &amp; IFERROR(VLOOKUP(MID(T136,U136,V136-U136),[5]skilldef!$A:$B,2,FALSE),"-")</f>
        <v>自分自身に / 状態異常耐性</v>
      </c>
      <c r="Z136" s="50" t="s">
        <v>230</v>
      </c>
      <c r="AA136" s="52"/>
      <c r="AB136" s="50"/>
    </row>
    <row r="137" spans="1:28" ht="21" customHeight="1" x14ac:dyDescent="0.15">
      <c r="A137" s="108">
        <v>41006136</v>
      </c>
      <c r="B137" s="108" t="s">
        <v>484</v>
      </c>
      <c r="C137" s="109">
        <v>3</v>
      </c>
      <c r="D137" s="109" t="s">
        <v>355</v>
      </c>
      <c r="E137" s="160" t="s">
        <v>481</v>
      </c>
      <c r="F137" s="160" t="s">
        <v>495</v>
      </c>
      <c r="G137" s="63" t="str">
        <f t="shared" si="30"/>
        <v>[effect:enemy_message, val1:1.4, val2:2.2]</v>
      </c>
      <c r="H137" s="63">
        <f t="shared" si="31"/>
        <v>9</v>
      </c>
      <c r="I137" s="63">
        <f t="shared" si="32"/>
        <v>22</v>
      </c>
      <c r="J137" s="63" t="e">
        <f t="shared" si="33"/>
        <v>#VALUE!</v>
      </c>
      <c r="K137" s="63">
        <f t="shared" si="34"/>
        <v>32</v>
      </c>
      <c r="L137" s="63" t="str">
        <f>IFERROR(VLOOKUP(MID(G137,J137,K137-J137),[5]skilldef!$C:$D,2,FALSE),"-") &amp; " / " &amp; IFERROR(VLOOKUP(MID(G137,H137,I137-H137),[5]skilldef!$A:$B,2,FALSE),"-")</f>
        <v>- / -</v>
      </c>
      <c r="M137" s="63" t="str">
        <f t="shared" si="35"/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N137" s="48" t="str">
        <f>IFERROR(LEFT(M137,FIND("],",M137)+#REF!),M137)</f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O137" s="63">
        <f t="shared" si="36"/>
        <v>9</v>
      </c>
      <c r="P137" s="63">
        <f t="shared" si="37"/>
        <v>29</v>
      </c>
      <c r="Q137" s="63">
        <f t="shared" si="38"/>
        <v>116</v>
      </c>
      <c r="R137" s="63">
        <f t="shared" si="39"/>
        <v>39</v>
      </c>
      <c r="S137" s="63" t="str">
        <f>IFERROR(VLOOKUP(MID(N137,Q137,R137-Q137),[5]skilldef!$C:$D,2,FALSE),"-") &amp; " / " &amp; IFERROR(VLOOKUP(MID(N137,O137,P137-O137),[5]skilldef!$A:$B,2,FALSE),"-")</f>
        <v>- / -</v>
      </c>
      <c r="T137" s="48" t="str">
        <f t="shared" si="40"/>
        <v>[effect:tolerance, target:myself, turn:-1, tolerance_effect:hungup, count:-1, animation:en_tolerance]</v>
      </c>
      <c r="U137" s="63">
        <f t="shared" si="41"/>
        <v>9</v>
      </c>
      <c r="V137" s="63">
        <f t="shared" si="42"/>
        <v>18</v>
      </c>
      <c r="W137" s="63">
        <f t="shared" si="43"/>
        <v>27</v>
      </c>
      <c r="X137" s="63">
        <f t="shared" si="44"/>
        <v>33</v>
      </c>
      <c r="Y137" s="63" t="str">
        <f>IFERROR(VLOOKUP(MID(T137,W137,X137-W137),[5]skilldef!$C:$D,2,FALSE),"-") &amp; " / " &amp; IFERROR(VLOOKUP(MID(T137,U137,V137-U137),[5]skilldef!$A:$B,2,FALSE),"-")</f>
        <v>自分自身に / 状態異常耐性</v>
      </c>
      <c r="Z137" s="50" t="s">
        <v>230</v>
      </c>
      <c r="AA137" s="52"/>
      <c r="AB137" s="50"/>
    </row>
    <row r="138" spans="1:28" ht="21" customHeight="1" x14ac:dyDescent="0.15">
      <c r="A138" s="108">
        <v>41006137</v>
      </c>
      <c r="B138" s="108" t="s">
        <v>484</v>
      </c>
      <c r="C138" s="109">
        <v>3</v>
      </c>
      <c r="D138" s="109" t="s">
        <v>355</v>
      </c>
      <c r="E138" s="160" t="s">
        <v>481</v>
      </c>
      <c r="F138" s="160" t="s">
        <v>495</v>
      </c>
      <c r="G138" s="63" t="str">
        <f t="shared" si="30"/>
        <v>[effect:enemy_message, val1:1.4, val2:2.2]</v>
      </c>
      <c r="H138" s="63">
        <f t="shared" si="31"/>
        <v>9</v>
      </c>
      <c r="I138" s="63">
        <f t="shared" si="32"/>
        <v>22</v>
      </c>
      <c r="J138" s="63" t="e">
        <f t="shared" si="33"/>
        <v>#VALUE!</v>
      </c>
      <c r="K138" s="63">
        <f t="shared" si="34"/>
        <v>32</v>
      </c>
      <c r="L138" s="63" t="str">
        <f>IFERROR(VLOOKUP(MID(G138,J138,K138-J138),[5]skilldef!$C:$D,2,FALSE),"-") &amp; " / " &amp; IFERROR(VLOOKUP(MID(G138,H138,I138-H138),[5]skilldef!$A:$B,2,FALSE),"-")</f>
        <v>- / -</v>
      </c>
      <c r="M138" s="63" t="str">
        <f t="shared" si="35"/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N138" s="48" t="str">
        <f>IFERROR(LEFT(M138,FIND("],",M138)+#REF!),M138)</f>
        <v>[effect:break_enchance_enemy, val:0.05, lowest_val:0.1, count:8, status:attack, turn:-1, block:block_heart, target:myself, calc:mul, animation:enemy_enhance_attack],[effect:tolerance, target:myself, turn:-1, tolerance_effect:hungup, count:-1, animation:en_tolerance]</v>
      </c>
      <c r="O138" s="63">
        <f t="shared" si="36"/>
        <v>9</v>
      </c>
      <c r="P138" s="63">
        <f t="shared" si="37"/>
        <v>29</v>
      </c>
      <c r="Q138" s="63">
        <f t="shared" si="38"/>
        <v>116</v>
      </c>
      <c r="R138" s="63">
        <f t="shared" si="39"/>
        <v>39</v>
      </c>
      <c r="S138" s="63" t="str">
        <f>IFERROR(VLOOKUP(MID(N138,Q138,R138-Q138),[5]skilldef!$C:$D,2,FALSE),"-") &amp; " / " &amp; IFERROR(VLOOKUP(MID(N138,O138,P138-O138),[5]skilldef!$A:$B,2,FALSE),"-")</f>
        <v>- / -</v>
      </c>
      <c r="T138" s="48" t="str">
        <f t="shared" si="40"/>
        <v>[effect:tolerance, target:myself, turn:-1, tolerance_effect:hungup, count:-1, animation:en_tolerance]</v>
      </c>
      <c r="U138" s="63">
        <f t="shared" si="41"/>
        <v>9</v>
      </c>
      <c r="V138" s="63">
        <f t="shared" si="42"/>
        <v>18</v>
      </c>
      <c r="W138" s="63">
        <f t="shared" si="43"/>
        <v>27</v>
      </c>
      <c r="X138" s="63">
        <f t="shared" si="44"/>
        <v>33</v>
      </c>
      <c r="Y138" s="63" t="str">
        <f>IFERROR(VLOOKUP(MID(T138,W138,X138-W138),[5]skilldef!$C:$D,2,FALSE),"-") &amp; " / " &amp; IFERROR(VLOOKUP(MID(T138,U138,V138-U138),[5]skilldef!$A:$B,2,FALSE),"-")</f>
        <v>自分自身に / 状態異常耐性</v>
      </c>
      <c r="Z138" s="50" t="s">
        <v>230</v>
      </c>
      <c r="AA138" s="52"/>
      <c r="AB138" s="50"/>
    </row>
    <row r="139" spans="1:28" ht="21" customHeight="1" x14ac:dyDescent="0.15">
      <c r="A139" s="108">
        <v>41006138</v>
      </c>
      <c r="B139" s="108" t="s">
        <v>485</v>
      </c>
      <c r="C139" s="109">
        <v>3</v>
      </c>
      <c r="D139" s="109" t="s">
        <v>355</v>
      </c>
      <c r="E139" s="161" t="s">
        <v>499</v>
      </c>
      <c r="F139" s="161" t="s">
        <v>506</v>
      </c>
      <c r="G139" s="63" t="str">
        <f t="shared" si="30"/>
        <v>[effect:enemy_message, val1:1.4, val2:2.6]</v>
      </c>
      <c r="H139" s="63">
        <f t="shared" si="31"/>
        <v>9</v>
      </c>
      <c r="I139" s="63">
        <f t="shared" si="32"/>
        <v>22</v>
      </c>
      <c r="J139" s="63" t="e">
        <f t="shared" si="33"/>
        <v>#VALUE!</v>
      </c>
      <c r="K139" s="63">
        <f t="shared" si="34"/>
        <v>32</v>
      </c>
      <c r="L139" s="63" t="str">
        <f>IFERROR(VLOOKUP(MID(G139,J139,K139-J139),[5]skilldef!$C:$D,2,FALSE),"-") &amp; " / " &amp; IFERROR(VLOOKUP(MID(G139,H139,I139-H139),[5]skilldef!$A:$B,2,FALSE),"-")</f>
        <v>- / -</v>
      </c>
      <c r="M139" s="63" t="str">
        <f t="shared" si="35"/>
        <v>[effect:tolerance, target:myself, turn:-1, tolerance_effect:all, count:-1, animation:enemy_tolerance],[effect:fix_speed,target:myself,turn:2]</v>
      </c>
      <c r="N139" s="48" t="str">
        <f>IFERROR(LEFT(M139,FIND("],",M139)+#REF!),M139)</f>
        <v>[effect:tolerance, target:myself, turn:-1, tolerance_effect:all, count:-1, animation:enemy_tolerance],[effect:fix_speed,target:myself,turn:2]</v>
      </c>
      <c r="O139" s="63">
        <f t="shared" si="36"/>
        <v>9</v>
      </c>
      <c r="P139" s="63">
        <f t="shared" si="37"/>
        <v>18</v>
      </c>
      <c r="Q139" s="63">
        <f t="shared" si="38"/>
        <v>27</v>
      </c>
      <c r="R139" s="63">
        <f t="shared" si="39"/>
        <v>33</v>
      </c>
      <c r="S139" s="63" t="str">
        <f>IFERROR(VLOOKUP(MID(N139,Q139,R139-Q139),[5]skilldef!$C:$D,2,FALSE),"-") &amp; " / " &amp; IFERROR(VLOOKUP(MID(N139,O139,P139-O139),[5]skilldef!$A:$B,2,FALSE),"-")</f>
        <v>自分自身に / 状態異常耐性</v>
      </c>
      <c r="T139" s="48" t="str">
        <f t="shared" si="40"/>
        <v>[effect:fix_speed,target:myself,turn:2]</v>
      </c>
      <c r="U139" s="63">
        <f t="shared" si="41"/>
        <v>9</v>
      </c>
      <c r="V139" s="63">
        <f t="shared" si="42"/>
        <v>18</v>
      </c>
      <c r="W139" s="63">
        <f t="shared" si="43"/>
        <v>26</v>
      </c>
      <c r="X139" s="63">
        <f t="shared" si="44"/>
        <v>32</v>
      </c>
      <c r="Y139" s="63" t="str">
        <f>IFERROR(VLOOKUP(MID(T139,W139,X139-W139),[5]skilldef!$C:$D,2,FALSE),"-") &amp; " / " &amp; IFERROR(VLOOKUP(MID(T139,U139,V139-U139),[5]skilldef!$A:$B,2,FALSE),"-")</f>
        <v>自分自身に / 行動値設定</v>
      </c>
      <c r="Z139" s="50" t="s">
        <v>230</v>
      </c>
      <c r="AA139" s="52"/>
      <c r="AB139" s="50"/>
    </row>
    <row r="140" spans="1:28" ht="21" customHeight="1" x14ac:dyDescent="0.15">
      <c r="A140" s="108">
        <v>41006139</v>
      </c>
      <c r="B140" s="108" t="s">
        <v>485</v>
      </c>
      <c r="C140" s="109">
        <v>3</v>
      </c>
      <c r="D140" s="109" t="s">
        <v>355</v>
      </c>
      <c r="E140" s="161" t="s">
        <v>499</v>
      </c>
      <c r="F140" s="161" t="s">
        <v>506</v>
      </c>
      <c r="G140" s="63" t="str">
        <f t="shared" si="30"/>
        <v>[effect:enemy_message, val1:1.4, val2:2.6]</v>
      </c>
      <c r="H140" s="63">
        <f t="shared" si="31"/>
        <v>9</v>
      </c>
      <c r="I140" s="63">
        <f t="shared" si="32"/>
        <v>22</v>
      </c>
      <c r="J140" s="63" t="e">
        <f t="shared" si="33"/>
        <v>#VALUE!</v>
      </c>
      <c r="K140" s="63">
        <f t="shared" si="34"/>
        <v>32</v>
      </c>
      <c r="L140" s="63" t="str">
        <f>IFERROR(VLOOKUP(MID(G140,J140,K140-J140),[5]skilldef!$C:$D,2,FALSE),"-") &amp; " / " &amp; IFERROR(VLOOKUP(MID(G140,H140,I140-H140),[5]skilldef!$A:$B,2,FALSE),"-")</f>
        <v>- / -</v>
      </c>
      <c r="M140" s="63" t="str">
        <f t="shared" si="35"/>
        <v>[effect:tolerance, target:myself, turn:-1, tolerance_effect:all, count:-1, animation:enemy_tolerance],[effect:fix_speed,target:myself,turn:2]</v>
      </c>
      <c r="N140" s="48" t="str">
        <f>IFERROR(LEFT(M140,FIND("],",M140)+#REF!),M140)</f>
        <v>[effect:tolerance, target:myself, turn:-1, tolerance_effect:all, count:-1, animation:enemy_tolerance],[effect:fix_speed,target:myself,turn:2]</v>
      </c>
      <c r="O140" s="63">
        <f t="shared" si="36"/>
        <v>9</v>
      </c>
      <c r="P140" s="63">
        <f t="shared" si="37"/>
        <v>18</v>
      </c>
      <c r="Q140" s="63">
        <f t="shared" si="38"/>
        <v>27</v>
      </c>
      <c r="R140" s="63">
        <f t="shared" si="39"/>
        <v>33</v>
      </c>
      <c r="S140" s="63" t="str">
        <f>IFERROR(VLOOKUP(MID(N140,Q140,R140-Q140),[5]skilldef!$C:$D,2,FALSE),"-") &amp; " / " &amp; IFERROR(VLOOKUP(MID(N140,O140,P140-O140),[5]skilldef!$A:$B,2,FALSE),"-")</f>
        <v>自分自身に / 状態異常耐性</v>
      </c>
      <c r="T140" s="48" t="str">
        <f t="shared" si="40"/>
        <v>[effect:fix_speed,target:myself,turn:2]</v>
      </c>
      <c r="U140" s="63">
        <f t="shared" si="41"/>
        <v>9</v>
      </c>
      <c r="V140" s="63">
        <f t="shared" si="42"/>
        <v>18</v>
      </c>
      <c r="W140" s="63">
        <f t="shared" si="43"/>
        <v>26</v>
      </c>
      <c r="X140" s="63">
        <f t="shared" si="44"/>
        <v>32</v>
      </c>
      <c r="Y140" s="63" t="str">
        <f>IFERROR(VLOOKUP(MID(T140,W140,X140-W140),[5]skilldef!$C:$D,2,FALSE),"-") &amp; " / " &amp; IFERROR(VLOOKUP(MID(T140,U140,V140-U140),[5]skilldef!$A:$B,2,FALSE),"-")</f>
        <v>自分自身に / 行動値設定</v>
      </c>
      <c r="Z140" s="50" t="s">
        <v>230</v>
      </c>
      <c r="AA140" s="52"/>
      <c r="AB140" s="50"/>
    </row>
    <row r="141" spans="1:28" ht="21" customHeight="1" x14ac:dyDescent="0.15">
      <c r="A141" s="108">
        <v>41006140</v>
      </c>
      <c r="B141" s="108" t="s">
        <v>485</v>
      </c>
      <c r="C141" s="109">
        <v>3</v>
      </c>
      <c r="D141" s="109" t="s">
        <v>355</v>
      </c>
      <c r="E141" s="161" t="s">
        <v>499</v>
      </c>
      <c r="F141" s="161" t="s">
        <v>506</v>
      </c>
      <c r="G141" s="63" t="str">
        <f t="shared" si="30"/>
        <v>[effect:enemy_message, val1:1.4, val2:2.6]</v>
      </c>
      <c r="H141" s="63">
        <f t="shared" si="31"/>
        <v>9</v>
      </c>
      <c r="I141" s="63">
        <f t="shared" si="32"/>
        <v>22</v>
      </c>
      <c r="J141" s="63" t="e">
        <f t="shared" si="33"/>
        <v>#VALUE!</v>
      </c>
      <c r="K141" s="63">
        <f t="shared" si="34"/>
        <v>32</v>
      </c>
      <c r="L141" s="63" t="str">
        <f>IFERROR(VLOOKUP(MID(G141,J141,K141-J141),[5]skilldef!$C:$D,2,FALSE),"-") &amp; " / " &amp; IFERROR(VLOOKUP(MID(G141,H141,I141-H141),[5]skilldef!$A:$B,2,FALSE),"-")</f>
        <v>- / -</v>
      </c>
      <c r="M141" s="63" t="str">
        <f t="shared" si="35"/>
        <v>[effect:tolerance, target:myself, turn:-1, tolerance_effect:all, count:-1, animation:enemy_tolerance],[effect:fix_speed,target:myself,turn:2]</v>
      </c>
      <c r="N141" s="48" t="str">
        <f>IFERROR(LEFT(M141,FIND("],",M141)+#REF!),M141)</f>
        <v>[effect:tolerance, target:myself, turn:-1, tolerance_effect:all, count:-1, animation:enemy_tolerance],[effect:fix_speed,target:myself,turn:2]</v>
      </c>
      <c r="O141" s="63">
        <f t="shared" si="36"/>
        <v>9</v>
      </c>
      <c r="P141" s="63">
        <f t="shared" si="37"/>
        <v>18</v>
      </c>
      <c r="Q141" s="63">
        <f t="shared" si="38"/>
        <v>27</v>
      </c>
      <c r="R141" s="63">
        <f t="shared" si="39"/>
        <v>33</v>
      </c>
      <c r="S141" s="63" t="str">
        <f>IFERROR(VLOOKUP(MID(N141,Q141,R141-Q141),[5]skilldef!$C:$D,2,FALSE),"-") &amp; " / " &amp; IFERROR(VLOOKUP(MID(N141,O141,P141-O141),[5]skilldef!$A:$B,2,FALSE),"-")</f>
        <v>自分自身に / 状態異常耐性</v>
      </c>
      <c r="T141" s="48" t="str">
        <f t="shared" si="40"/>
        <v>[effect:fix_speed,target:myself,turn:2]</v>
      </c>
      <c r="U141" s="63">
        <f t="shared" si="41"/>
        <v>9</v>
      </c>
      <c r="V141" s="63">
        <f t="shared" si="42"/>
        <v>18</v>
      </c>
      <c r="W141" s="63">
        <f t="shared" si="43"/>
        <v>26</v>
      </c>
      <c r="X141" s="63">
        <f t="shared" si="44"/>
        <v>32</v>
      </c>
      <c r="Y141" s="63" t="str">
        <f>IFERROR(VLOOKUP(MID(T141,W141,X141-W141),[5]skilldef!$C:$D,2,FALSE),"-") &amp; " / " &amp; IFERROR(VLOOKUP(MID(T141,U141,V141-U141),[5]skilldef!$A:$B,2,FALSE),"-")</f>
        <v>自分自身に / 行動値設定</v>
      </c>
      <c r="Z141" s="50" t="s">
        <v>230</v>
      </c>
      <c r="AA141" s="52"/>
      <c r="AB141" s="50"/>
    </row>
    <row r="142" spans="1:28" ht="21" customHeight="1" x14ac:dyDescent="0.15">
      <c r="A142" s="108">
        <v>41006141</v>
      </c>
      <c r="B142" s="108" t="s">
        <v>485</v>
      </c>
      <c r="C142" s="109">
        <v>3</v>
      </c>
      <c r="D142" s="109" t="s">
        <v>355</v>
      </c>
      <c r="E142" s="161" t="s">
        <v>477</v>
      </c>
      <c r="F142" s="161" t="s">
        <v>478</v>
      </c>
      <c r="G142" s="63" t="str">
        <f t="shared" si="30"/>
        <v>[effect:enemy_message, val1:1.4, val2:2.6]</v>
      </c>
      <c r="H142" s="63">
        <f t="shared" si="31"/>
        <v>9</v>
      </c>
      <c r="I142" s="63">
        <f t="shared" si="32"/>
        <v>22</v>
      </c>
      <c r="J142" s="63" t="e">
        <f t="shared" si="33"/>
        <v>#VALUE!</v>
      </c>
      <c r="K142" s="63">
        <f t="shared" si="34"/>
        <v>32</v>
      </c>
      <c r="L142" s="63" t="str">
        <f>IFERROR(VLOOKUP(MID(G142,J142,K142-J142),[5]skilldef!$C:$D,2,FALSE),"-") &amp; " / " &amp; IFERROR(VLOOKUP(MID(G142,H142,I142-H142),[5]skilldef!$A:$B,2,FALSE),"-")</f>
        <v>- / -</v>
      </c>
      <c r="M142" s="63" t="str">
        <f t="shared" si="35"/>
        <v>[effect:tolerance, target:myself, turn:-1, tolerance_effect:all, count:-1, animation:enemy_tolerance],[effect:fix_speed,target:myself,turn:2]</v>
      </c>
      <c r="N142" s="48" t="str">
        <f>IFERROR(LEFT(M142,FIND("],",M142)+#REF!),M142)</f>
        <v>[effect:tolerance, target:myself, turn:-1, tolerance_effect:all, count:-1, animation:enemy_tolerance],[effect:fix_speed,target:myself,turn:2]</v>
      </c>
      <c r="O142" s="63">
        <f t="shared" si="36"/>
        <v>9</v>
      </c>
      <c r="P142" s="63">
        <f t="shared" si="37"/>
        <v>18</v>
      </c>
      <c r="Q142" s="63">
        <f t="shared" si="38"/>
        <v>27</v>
      </c>
      <c r="R142" s="63">
        <f t="shared" si="39"/>
        <v>33</v>
      </c>
      <c r="S142" s="63" t="str">
        <f>IFERROR(VLOOKUP(MID(N142,Q142,R142-Q142),[5]skilldef!$C:$D,2,FALSE),"-") &amp; " / " &amp; IFERROR(VLOOKUP(MID(N142,O142,P142-O142),[5]skilldef!$A:$B,2,FALSE),"-")</f>
        <v>自分自身に / 状態異常耐性</v>
      </c>
      <c r="T142" s="48" t="str">
        <f t="shared" si="40"/>
        <v>[effect:fix_speed,target:myself,turn:2]</v>
      </c>
      <c r="U142" s="63">
        <f t="shared" si="41"/>
        <v>9</v>
      </c>
      <c r="V142" s="63">
        <f t="shared" si="42"/>
        <v>18</v>
      </c>
      <c r="W142" s="63">
        <f t="shared" si="43"/>
        <v>26</v>
      </c>
      <c r="X142" s="63">
        <f t="shared" si="44"/>
        <v>32</v>
      </c>
      <c r="Y142" s="63" t="str">
        <f>IFERROR(VLOOKUP(MID(T142,W142,X142-W142),[5]skilldef!$C:$D,2,FALSE),"-") &amp; " / " &amp; IFERROR(VLOOKUP(MID(T142,U142,V142-U142),[5]skilldef!$A:$B,2,FALSE),"-")</f>
        <v>自分自身に / 行動値設定</v>
      </c>
      <c r="Z142" s="50" t="s">
        <v>230</v>
      </c>
      <c r="AA142" s="52"/>
      <c r="AB142" s="50"/>
    </row>
    <row r="143" spans="1:28" ht="21" customHeight="1" x14ac:dyDescent="0.15">
      <c r="A143" s="108">
        <v>41006142</v>
      </c>
      <c r="B143" s="108" t="s">
        <v>485</v>
      </c>
      <c r="C143" s="109">
        <v>3</v>
      </c>
      <c r="D143" s="109" t="s">
        <v>355</v>
      </c>
      <c r="E143" s="161" t="s">
        <v>477</v>
      </c>
      <c r="F143" s="161" t="s">
        <v>478</v>
      </c>
      <c r="G143" s="63" t="str">
        <f t="shared" si="30"/>
        <v>[effect:enemy_message, val1:1.4, val2:2.6]</v>
      </c>
      <c r="H143" s="63">
        <f t="shared" si="31"/>
        <v>9</v>
      </c>
      <c r="I143" s="63">
        <f t="shared" si="32"/>
        <v>22</v>
      </c>
      <c r="J143" s="63" t="e">
        <f t="shared" si="33"/>
        <v>#VALUE!</v>
      </c>
      <c r="K143" s="63">
        <f t="shared" si="34"/>
        <v>32</v>
      </c>
      <c r="L143" s="63" t="str">
        <f>IFERROR(VLOOKUP(MID(G143,J143,K143-J143),[5]skilldef!$C:$D,2,FALSE),"-") &amp; " / " &amp; IFERROR(VLOOKUP(MID(G143,H143,I143-H143),[5]skilldef!$A:$B,2,FALSE),"-")</f>
        <v>- / -</v>
      </c>
      <c r="M143" s="63" t="str">
        <f t="shared" si="35"/>
        <v>[effect:tolerance, target:myself, turn:-1, tolerance_effect:all, count:-1, animation:enemy_tolerance],[effect:fix_speed,target:myself,turn:2]</v>
      </c>
      <c r="N143" s="48" t="str">
        <f>IFERROR(LEFT(M143,FIND("],",M143)+#REF!),M143)</f>
        <v>[effect:tolerance, target:myself, turn:-1, tolerance_effect:all, count:-1, animation:enemy_tolerance],[effect:fix_speed,target:myself,turn:2]</v>
      </c>
      <c r="O143" s="63">
        <f t="shared" si="36"/>
        <v>9</v>
      </c>
      <c r="P143" s="63">
        <f t="shared" si="37"/>
        <v>18</v>
      </c>
      <c r="Q143" s="63">
        <f t="shared" si="38"/>
        <v>27</v>
      </c>
      <c r="R143" s="63">
        <f t="shared" si="39"/>
        <v>33</v>
      </c>
      <c r="S143" s="63" t="str">
        <f>IFERROR(VLOOKUP(MID(N143,Q143,R143-Q143),[5]skilldef!$C:$D,2,FALSE),"-") &amp; " / " &amp; IFERROR(VLOOKUP(MID(N143,O143,P143-O143),[5]skilldef!$A:$B,2,FALSE),"-")</f>
        <v>自分自身に / 状態異常耐性</v>
      </c>
      <c r="T143" s="48" t="str">
        <f t="shared" si="40"/>
        <v>[effect:fix_speed,target:myself,turn:2]</v>
      </c>
      <c r="U143" s="63">
        <f t="shared" si="41"/>
        <v>9</v>
      </c>
      <c r="V143" s="63">
        <f t="shared" si="42"/>
        <v>18</v>
      </c>
      <c r="W143" s="63">
        <f t="shared" si="43"/>
        <v>26</v>
      </c>
      <c r="X143" s="63">
        <f t="shared" si="44"/>
        <v>32</v>
      </c>
      <c r="Y143" s="63" t="str">
        <f>IFERROR(VLOOKUP(MID(T143,W143,X143-W143),[5]skilldef!$C:$D,2,FALSE),"-") &amp; " / " &amp; IFERROR(VLOOKUP(MID(T143,U143,V143-U143),[5]skilldef!$A:$B,2,FALSE),"-")</f>
        <v>自分自身に / 行動値設定</v>
      </c>
      <c r="Z143" s="50" t="s">
        <v>230</v>
      </c>
      <c r="AA143" s="52"/>
      <c r="AB143" s="50"/>
    </row>
    <row r="144" spans="1:28" ht="21" customHeight="1" x14ac:dyDescent="0.15">
      <c r="A144" s="108">
        <v>41006143</v>
      </c>
      <c r="B144" s="108" t="s">
        <v>485</v>
      </c>
      <c r="C144" s="109">
        <v>3</v>
      </c>
      <c r="D144" s="109" t="s">
        <v>355</v>
      </c>
      <c r="E144" s="161" t="s">
        <v>477</v>
      </c>
      <c r="F144" s="161" t="s">
        <v>478</v>
      </c>
      <c r="G144" s="63" t="str">
        <f t="shared" si="30"/>
        <v>[effect:enemy_message, val1:1.4, val2:2.6]</v>
      </c>
      <c r="H144" s="63">
        <f t="shared" si="31"/>
        <v>9</v>
      </c>
      <c r="I144" s="63">
        <f t="shared" si="32"/>
        <v>22</v>
      </c>
      <c r="J144" s="63" t="e">
        <f t="shared" si="33"/>
        <v>#VALUE!</v>
      </c>
      <c r="K144" s="63">
        <f t="shared" si="34"/>
        <v>32</v>
      </c>
      <c r="L144" s="63" t="str">
        <f>IFERROR(VLOOKUP(MID(G144,J144,K144-J144),[5]skilldef!$C:$D,2,FALSE),"-") &amp; " / " &amp; IFERROR(VLOOKUP(MID(G144,H144,I144-H144),[5]skilldef!$A:$B,2,FALSE),"-")</f>
        <v>- / -</v>
      </c>
      <c r="M144" s="63" t="str">
        <f t="shared" si="35"/>
        <v>[effect:tolerance, target:myself, turn:-1, tolerance_effect:all, count:-1, animation:enemy_tolerance],[effect:fix_speed,target:myself,turn:2]</v>
      </c>
      <c r="N144" s="48" t="str">
        <f>IFERROR(LEFT(M144,FIND("],",M144)+#REF!),M144)</f>
        <v>[effect:tolerance, target:myself, turn:-1, tolerance_effect:all, count:-1, animation:enemy_tolerance],[effect:fix_speed,target:myself,turn:2]</v>
      </c>
      <c r="O144" s="63">
        <f t="shared" si="36"/>
        <v>9</v>
      </c>
      <c r="P144" s="63">
        <f t="shared" si="37"/>
        <v>18</v>
      </c>
      <c r="Q144" s="63">
        <f t="shared" si="38"/>
        <v>27</v>
      </c>
      <c r="R144" s="63">
        <f t="shared" si="39"/>
        <v>33</v>
      </c>
      <c r="S144" s="63" t="str">
        <f>IFERROR(VLOOKUP(MID(N144,Q144,R144-Q144),[5]skilldef!$C:$D,2,FALSE),"-") &amp; " / " &amp; IFERROR(VLOOKUP(MID(N144,O144,P144-O144),[5]skilldef!$A:$B,2,FALSE),"-")</f>
        <v>自分自身に / 状態異常耐性</v>
      </c>
      <c r="T144" s="48" t="str">
        <f t="shared" si="40"/>
        <v>[effect:fix_speed,target:myself,turn:2]</v>
      </c>
      <c r="U144" s="63">
        <f t="shared" si="41"/>
        <v>9</v>
      </c>
      <c r="V144" s="63">
        <f t="shared" si="42"/>
        <v>18</v>
      </c>
      <c r="W144" s="63">
        <f t="shared" si="43"/>
        <v>26</v>
      </c>
      <c r="X144" s="63">
        <f t="shared" si="44"/>
        <v>32</v>
      </c>
      <c r="Y144" s="63" t="str">
        <f>IFERROR(VLOOKUP(MID(T144,W144,X144-W144),[5]skilldef!$C:$D,2,FALSE),"-") &amp; " / " &amp; IFERROR(VLOOKUP(MID(T144,U144,V144-U144),[5]skilldef!$A:$B,2,FALSE),"-")</f>
        <v>自分自身に / 行動値設定</v>
      </c>
      <c r="Z144" s="50" t="s">
        <v>230</v>
      </c>
      <c r="AA144" s="52"/>
      <c r="AB144" s="50"/>
    </row>
    <row r="145" spans="1:28" ht="21" customHeight="1" x14ac:dyDescent="0.15">
      <c r="A145" s="108">
        <v>41006144</v>
      </c>
      <c r="B145" s="108" t="s">
        <v>485</v>
      </c>
      <c r="C145" s="109">
        <v>3</v>
      </c>
      <c r="D145" s="109" t="s">
        <v>355</v>
      </c>
      <c r="E145" s="161" t="s">
        <v>465</v>
      </c>
      <c r="F145" s="161" t="s">
        <v>469</v>
      </c>
      <c r="G145" s="63" t="str">
        <f t="shared" si="30"/>
        <v>[effect:enemy_message, val1:1.4, val2:2.6]</v>
      </c>
      <c r="H145" s="63">
        <f t="shared" si="31"/>
        <v>9</v>
      </c>
      <c r="I145" s="63">
        <f t="shared" si="32"/>
        <v>22</v>
      </c>
      <c r="J145" s="63" t="e">
        <f t="shared" si="33"/>
        <v>#VALUE!</v>
      </c>
      <c r="K145" s="63">
        <f t="shared" si="34"/>
        <v>32</v>
      </c>
      <c r="L145" s="63" t="str">
        <f>IFERROR(VLOOKUP(MID(G145,J145,K145-J145),[5]skilldef!$C:$D,2,FALSE),"-") &amp; " / " &amp; IFERROR(VLOOKUP(MID(G145,H145,I145-H145),[5]skilldef!$A:$B,2,FALSE),"-")</f>
        <v>- / -</v>
      </c>
      <c r="M145" s="63" t="str">
        <f t="shared" si="35"/>
        <v>[effect:tolerance, target:myself, turn:-1, tolerance_effect:all, count:-1, animation:enemy_tolerance],[effect:fix_speed,target:myself,turn:2]</v>
      </c>
      <c r="N145" s="48" t="str">
        <f>IFERROR(LEFT(M145,FIND("],",M145)+#REF!),M145)</f>
        <v>[effect:tolerance, target:myself, turn:-1, tolerance_effect:all, count:-1, animation:enemy_tolerance],[effect:fix_speed,target:myself,turn:2]</v>
      </c>
      <c r="O145" s="63">
        <f t="shared" si="36"/>
        <v>9</v>
      </c>
      <c r="P145" s="63">
        <f t="shared" si="37"/>
        <v>18</v>
      </c>
      <c r="Q145" s="63">
        <f t="shared" si="38"/>
        <v>27</v>
      </c>
      <c r="R145" s="63">
        <f t="shared" si="39"/>
        <v>33</v>
      </c>
      <c r="S145" s="63" t="str">
        <f>IFERROR(VLOOKUP(MID(N145,Q145,R145-Q145),[5]skilldef!$C:$D,2,FALSE),"-") &amp; " / " &amp; IFERROR(VLOOKUP(MID(N145,O145,P145-O145),[5]skilldef!$A:$B,2,FALSE),"-")</f>
        <v>自分自身に / 状態異常耐性</v>
      </c>
      <c r="T145" s="48" t="str">
        <f t="shared" si="40"/>
        <v>[effect:fix_speed,target:myself,turn:2]</v>
      </c>
      <c r="U145" s="63">
        <f t="shared" si="41"/>
        <v>9</v>
      </c>
      <c r="V145" s="63">
        <f t="shared" si="42"/>
        <v>18</v>
      </c>
      <c r="W145" s="63">
        <f t="shared" si="43"/>
        <v>26</v>
      </c>
      <c r="X145" s="63">
        <f t="shared" si="44"/>
        <v>32</v>
      </c>
      <c r="Y145" s="63" t="str">
        <f>IFERROR(VLOOKUP(MID(T145,W145,X145-W145),[5]skilldef!$C:$D,2,FALSE),"-") &amp; " / " &amp; IFERROR(VLOOKUP(MID(T145,U145,V145-U145),[5]skilldef!$A:$B,2,FALSE),"-")</f>
        <v>自分自身に / 行動値設定</v>
      </c>
      <c r="Z145" s="50" t="s">
        <v>230</v>
      </c>
      <c r="AA145" s="52"/>
      <c r="AB145" s="50"/>
    </row>
    <row r="146" spans="1:28" ht="21" customHeight="1" x14ac:dyDescent="0.15">
      <c r="A146" s="108">
        <v>41006145</v>
      </c>
      <c r="B146" s="108" t="s">
        <v>485</v>
      </c>
      <c r="C146" s="109">
        <v>3</v>
      </c>
      <c r="D146" s="109" t="s">
        <v>355</v>
      </c>
      <c r="E146" s="161" t="s">
        <v>465</v>
      </c>
      <c r="F146" s="161" t="s">
        <v>469</v>
      </c>
      <c r="G146" s="63" t="str">
        <f t="shared" si="30"/>
        <v>[effect:enemy_message, val1:1.4, val2:2.6]</v>
      </c>
      <c r="H146" s="63">
        <f t="shared" si="31"/>
        <v>9</v>
      </c>
      <c r="I146" s="63">
        <f t="shared" si="32"/>
        <v>22</v>
      </c>
      <c r="J146" s="63" t="e">
        <f t="shared" si="33"/>
        <v>#VALUE!</v>
      </c>
      <c r="K146" s="63">
        <f t="shared" si="34"/>
        <v>32</v>
      </c>
      <c r="L146" s="63" t="str">
        <f>IFERROR(VLOOKUP(MID(G146,J146,K146-J146),[5]skilldef!$C:$D,2,FALSE),"-") &amp; " / " &amp; IFERROR(VLOOKUP(MID(G146,H146,I146-H146),[5]skilldef!$A:$B,2,FALSE),"-")</f>
        <v>- / -</v>
      </c>
      <c r="M146" s="63" t="str">
        <f t="shared" si="35"/>
        <v>[effect:tolerance, target:myself, turn:-1, tolerance_effect:all, count:-1, animation:enemy_tolerance],[effect:fix_speed,target:myself,turn:2]</v>
      </c>
      <c r="N146" s="48" t="str">
        <f>IFERROR(LEFT(M146,FIND("],",M146)+#REF!),M146)</f>
        <v>[effect:tolerance, target:myself, turn:-1, tolerance_effect:all, count:-1, animation:enemy_tolerance],[effect:fix_speed,target:myself,turn:2]</v>
      </c>
      <c r="O146" s="63">
        <f t="shared" si="36"/>
        <v>9</v>
      </c>
      <c r="P146" s="63">
        <f t="shared" si="37"/>
        <v>18</v>
      </c>
      <c r="Q146" s="63">
        <f t="shared" si="38"/>
        <v>27</v>
      </c>
      <c r="R146" s="63">
        <f t="shared" si="39"/>
        <v>33</v>
      </c>
      <c r="S146" s="63" t="str">
        <f>IFERROR(VLOOKUP(MID(N146,Q146,R146-Q146),[5]skilldef!$C:$D,2,FALSE),"-") &amp; " / " &amp; IFERROR(VLOOKUP(MID(N146,O146,P146-O146),[5]skilldef!$A:$B,2,FALSE),"-")</f>
        <v>自分自身に / 状態異常耐性</v>
      </c>
      <c r="T146" s="48" t="str">
        <f t="shared" si="40"/>
        <v>[effect:fix_speed,target:myself,turn:2]</v>
      </c>
      <c r="U146" s="63">
        <f t="shared" si="41"/>
        <v>9</v>
      </c>
      <c r="V146" s="63">
        <f t="shared" si="42"/>
        <v>18</v>
      </c>
      <c r="W146" s="63">
        <f t="shared" si="43"/>
        <v>26</v>
      </c>
      <c r="X146" s="63">
        <f t="shared" si="44"/>
        <v>32</v>
      </c>
      <c r="Y146" s="63" t="str">
        <f>IFERROR(VLOOKUP(MID(T146,W146,X146-W146),[5]skilldef!$C:$D,2,FALSE),"-") &amp; " / " &amp; IFERROR(VLOOKUP(MID(T146,U146,V146-U146),[5]skilldef!$A:$B,2,FALSE),"-")</f>
        <v>自分自身に / 行動値設定</v>
      </c>
      <c r="Z146" s="50" t="s">
        <v>230</v>
      </c>
      <c r="AA146" s="52"/>
      <c r="AB146" s="50"/>
    </row>
    <row r="147" spans="1:28" ht="21" customHeight="1" x14ac:dyDescent="0.15">
      <c r="A147" s="108">
        <v>41006146</v>
      </c>
      <c r="B147" s="108" t="s">
        <v>485</v>
      </c>
      <c r="C147" s="109">
        <v>3</v>
      </c>
      <c r="D147" s="109" t="s">
        <v>355</v>
      </c>
      <c r="E147" s="161" t="s">
        <v>465</v>
      </c>
      <c r="F147" s="161" t="s">
        <v>469</v>
      </c>
      <c r="G147" s="63" t="str">
        <f t="shared" si="30"/>
        <v>[effect:enemy_message, val1:1.4, val2:2.6]</v>
      </c>
      <c r="H147" s="63">
        <f t="shared" si="31"/>
        <v>9</v>
      </c>
      <c r="I147" s="63">
        <f t="shared" si="32"/>
        <v>22</v>
      </c>
      <c r="J147" s="63" t="e">
        <f t="shared" si="33"/>
        <v>#VALUE!</v>
      </c>
      <c r="K147" s="63">
        <f t="shared" si="34"/>
        <v>32</v>
      </c>
      <c r="L147" s="63" t="str">
        <f>IFERROR(VLOOKUP(MID(G147,J147,K147-J147),[5]skilldef!$C:$D,2,FALSE),"-") &amp; " / " &amp; IFERROR(VLOOKUP(MID(G147,H147,I147-H147),[5]skilldef!$A:$B,2,FALSE),"-")</f>
        <v>- / -</v>
      </c>
      <c r="M147" s="63" t="str">
        <f t="shared" si="35"/>
        <v>[effect:tolerance, target:myself, turn:-1, tolerance_effect:all, count:-1, animation:enemy_tolerance],[effect:fix_speed,target:myself,turn:2]</v>
      </c>
      <c r="N147" s="48" t="str">
        <f>IFERROR(LEFT(M147,FIND("],",M147)+#REF!),M147)</f>
        <v>[effect:tolerance, target:myself, turn:-1, tolerance_effect:all, count:-1, animation:enemy_tolerance],[effect:fix_speed,target:myself,turn:2]</v>
      </c>
      <c r="O147" s="63">
        <f t="shared" si="36"/>
        <v>9</v>
      </c>
      <c r="P147" s="63">
        <f t="shared" si="37"/>
        <v>18</v>
      </c>
      <c r="Q147" s="63">
        <f t="shared" si="38"/>
        <v>27</v>
      </c>
      <c r="R147" s="63">
        <f t="shared" si="39"/>
        <v>33</v>
      </c>
      <c r="S147" s="63" t="str">
        <f>IFERROR(VLOOKUP(MID(N147,Q147,R147-Q147),[5]skilldef!$C:$D,2,FALSE),"-") &amp; " / " &amp; IFERROR(VLOOKUP(MID(N147,O147,P147-O147),[5]skilldef!$A:$B,2,FALSE),"-")</f>
        <v>自分自身に / 状態異常耐性</v>
      </c>
      <c r="T147" s="48" t="str">
        <f t="shared" si="40"/>
        <v>[effect:fix_speed,target:myself,turn:2]</v>
      </c>
      <c r="U147" s="63">
        <f t="shared" si="41"/>
        <v>9</v>
      </c>
      <c r="V147" s="63">
        <f t="shared" si="42"/>
        <v>18</v>
      </c>
      <c r="W147" s="63">
        <f t="shared" si="43"/>
        <v>26</v>
      </c>
      <c r="X147" s="63">
        <f t="shared" si="44"/>
        <v>32</v>
      </c>
      <c r="Y147" s="63" t="str">
        <f>IFERROR(VLOOKUP(MID(T147,W147,X147-W147),[5]skilldef!$C:$D,2,FALSE),"-") &amp; " / " &amp; IFERROR(VLOOKUP(MID(T147,U147,V147-U147),[5]skilldef!$A:$B,2,FALSE),"-")</f>
        <v>自分自身に / 行動値設定</v>
      </c>
      <c r="Z147" s="50" t="s">
        <v>230</v>
      </c>
      <c r="AA147" s="52"/>
      <c r="AB147" s="50"/>
    </row>
    <row r="148" spans="1:28" ht="21" customHeight="1" x14ac:dyDescent="0.15">
      <c r="A148" s="108">
        <v>41006147</v>
      </c>
      <c r="B148" s="108" t="s">
        <v>485</v>
      </c>
      <c r="C148" s="109">
        <v>3</v>
      </c>
      <c r="D148" s="109" t="s">
        <v>355</v>
      </c>
      <c r="E148" s="161" t="s">
        <v>475</v>
      </c>
      <c r="F148" s="161" t="s">
        <v>503</v>
      </c>
      <c r="G148" s="63" t="str">
        <f t="shared" si="30"/>
        <v>[effect:enemy_message, val1:1.4, val2:2.6]</v>
      </c>
      <c r="H148" s="63">
        <f t="shared" si="31"/>
        <v>9</v>
      </c>
      <c r="I148" s="63">
        <f t="shared" si="32"/>
        <v>22</v>
      </c>
      <c r="J148" s="63" t="e">
        <f t="shared" si="33"/>
        <v>#VALUE!</v>
      </c>
      <c r="K148" s="63">
        <f t="shared" si="34"/>
        <v>32</v>
      </c>
      <c r="L148" s="63" t="str">
        <f>IFERROR(VLOOKUP(MID(G148,J148,K148-J148),[5]skilldef!$C:$D,2,FALSE),"-") &amp; " / " &amp; IFERROR(VLOOKUP(MID(G148,H148,I148-H148),[5]skilldef!$A:$B,2,FALSE),"-")</f>
        <v>- / -</v>
      </c>
      <c r="M148" s="63" t="str">
        <f t="shared" si="35"/>
        <v>[effect:tolerance, target:myself, turn:-1, tolerance_effect:all, count:-1, animation:enemy_tolerance],[effect:fix_speed,target:myself,turn:2]</v>
      </c>
      <c r="N148" s="48" t="str">
        <f>IFERROR(LEFT(M148,FIND("],",M148)+#REF!),M148)</f>
        <v>[effect:tolerance, target:myself, turn:-1, tolerance_effect:all, count:-1, animation:enemy_tolerance],[effect:fix_speed,target:myself,turn:2]</v>
      </c>
      <c r="O148" s="63">
        <f t="shared" si="36"/>
        <v>9</v>
      </c>
      <c r="P148" s="63">
        <f t="shared" si="37"/>
        <v>18</v>
      </c>
      <c r="Q148" s="63">
        <f t="shared" si="38"/>
        <v>27</v>
      </c>
      <c r="R148" s="63">
        <f t="shared" si="39"/>
        <v>33</v>
      </c>
      <c r="S148" s="63" t="str">
        <f>IFERROR(VLOOKUP(MID(N148,Q148,R148-Q148),[5]skilldef!$C:$D,2,FALSE),"-") &amp; " / " &amp; IFERROR(VLOOKUP(MID(N148,O148,P148-O148),[5]skilldef!$A:$B,2,FALSE),"-")</f>
        <v>自分自身に / 状態異常耐性</v>
      </c>
      <c r="T148" s="48" t="str">
        <f t="shared" si="40"/>
        <v>[effect:fix_speed,target:myself,turn:2]</v>
      </c>
      <c r="U148" s="63">
        <f t="shared" si="41"/>
        <v>9</v>
      </c>
      <c r="V148" s="63">
        <f t="shared" si="42"/>
        <v>18</v>
      </c>
      <c r="W148" s="63">
        <f t="shared" si="43"/>
        <v>26</v>
      </c>
      <c r="X148" s="63">
        <f t="shared" si="44"/>
        <v>32</v>
      </c>
      <c r="Y148" s="63" t="str">
        <f>IFERROR(VLOOKUP(MID(T148,W148,X148-W148),[5]skilldef!$C:$D,2,FALSE),"-") &amp; " / " &amp; IFERROR(VLOOKUP(MID(T148,U148,V148-U148),[5]skilldef!$A:$B,2,FALSE),"-")</f>
        <v>自分自身に / 行動値設定</v>
      </c>
      <c r="Z148" s="50" t="s">
        <v>230</v>
      </c>
      <c r="AA148" s="52"/>
      <c r="AB148" s="50"/>
    </row>
    <row r="149" spans="1:28" ht="21" customHeight="1" x14ac:dyDescent="0.15">
      <c r="A149" s="108">
        <v>41006148</v>
      </c>
      <c r="B149" s="108" t="s">
        <v>485</v>
      </c>
      <c r="C149" s="109">
        <v>3</v>
      </c>
      <c r="D149" s="109" t="s">
        <v>355</v>
      </c>
      <c r="E149" s="161" t="s">
        <v>475</v>
      </c>
      <c r="F149" s="161" t="s">
        <v>503</v>
      </c>
      <c r="G149" s="63" t="str">
        <f t="shared" si="30"/>
        <v>[effect:enemy_message, val1:1.4, val2:2.6]</v>
      </c>
      <c r="H149" s="63">
        <f t="shared" si="31"/>
        <v>9</v>
      </c>
      <c r="I149" s="63">
        <f t="shared" si="32"/>
        <v>22</v>
      </c>
      <c r="J149" s="63" t="e">
        <f t="shared" si="33"/>
        <v>#VALUE!</v>
      </c>
      <c r="K149" s="63">
        <f t="shared" si="34"/>
        <v>32</v>
      </c>
      <c r="L149" s="63" t="str">
        <f>IFERROR(VLOOKUP(MID(G149,J149,K149-J149),[5]skilldef!$C:$D,2,FALSE),"-") &amp; " / " &amp; IFERROR(VLOOKUP(MID(G149,H149,I149-H149),[5]skilldef!$A:$B,2,FALSE),"-")</f>
        <v>- / -</v>
      </c>
      <c r="M149" s="63" t="str">
        <f t="shared" si="35"/>
        <v>[effect:tolerance, target:myself, turn:-1, tolerance_effect:all, count:-1, animation:enemy_tolerance],[effect:fix_speed,target:myself,turn:2]</v>
      </c>
      <c r="N149" s="48" t="str">
        <f>IFERROR(LEFT(M149,FIND("],",M149)+#REF!),M149)</f>
        <v>[effect:tolerance, target:myself, turn:-1, tolerance_effect:all, count:-1, animation:enemy_tolerance],[effect:fix_speed,target:myself,turn:2]</v>
      </c>
      <c r="O149" s="63">
        <f t="shared" si="36"/>
        <v>9</v>
      </c>
      <c r="P149" s="63">
        <f t="shared" si="37"/>
        <v>18</v>
      </c>
      <c r="Q149" s="63">
        <f t="shared" si="38"/>
        <v>27</v>
      </c>
      <c r="R149" s="63">
        <f t="shared" si="39"/>
        <v>33</v>
      </c>
      <c r="S149" s="63" t="str">
        <f>IFERROR(VLOOKUP(MID(N149,Q149,R149-Q149),[5]skilldef!$C:$D,2,FALSE),"-") &amp; " / " &amp; IFERROR(VLOOKUP(MID(N149,O149,P149-O149),[5]skilldef!$A:$B,2,FALSE),"-")</f>
        <v>自分自身に / 状態異常耐性</v>
      </c>
      <c r="T149" s="48" t="str">
        <f t="shared" si="40"/>
        <v>[effect:fix_speed,target:myself,turn:2]</v>
      </c>
      <c r="U149" s="63">
        <f t="shared" si="41"/>
        <v>9</v>
      </c>
      <c r="V149" s="63">
        <f t="shared" si="42"/>
        <v>18</v>
      </c>
      <c r="W149" s="63">
        <f t="shared" si="43"/>
        <v>26</v>
      </c>
      <c r="X149" s="63">
        <f t="shared" si="44"/>
        <v>32</v>
      </c>
      <c r="Y149" s="63" t="str">
        <f>IFERROR(VLOOKUP(MID(T149,W149,X149-W149),[5]skilldef!$C:$D,2,FALSE),"-") &amp; " / " &amp; IFERROR(VLOOKUP(MID(T149,U149,V149-U149),[5]skilldef!$A:$B,2,FALSE),"-")</f>
        <v>自分自身に / 行動値設定</v>
      </c>
      <c r="Z149" s="50" t="s">
        <v>230</v>
      </c>
      <c r="AA149" s="52"/>
      <c r="AB149" s="50"/>
    </row>
    <row r="150" spans="1:28" ht="21" customHeight="1" x14ac:dyDescent="0.15">
      <c r="A150" s="108">
        <v>41006149</v>
      </c>
      <c r="B150" s="108" t="s">
        <v>490</v>
      </c>
      <c r="C150" s="109">
        <v>3</v>
      </c>
      <c r="D150" s="109" t="s">
        <v>355</v>
      </c>
      <c r="E150" s="161" t="s">
        <v>500</v>
      </c>
      <c r="F150" s="161" t="s">
        <v>502</v>
      </c>
      <c r="G150" s="63" t="str">
        <f t="shared" ref="G150:G152" si="45">IFERROR(LEFT(B150,FIND("],",B150)),B150)</f>
        <v>[effect:enemy_message, val1:1.8, val2:2.4, dead_type:suicide]</v>
      </c>
      <c r="H150" s="63">
        <f t="shared" ref="H150:H152" si="46">FIND("effect:",G150)+7</f>
        <v>9</v>
      </c>
      <c r="I150" s="63">
        <f t="shared" ref="I150:I152" si="47">IFERROR(FIND(",",G150),LEN(G150))</f>
        <v>22</v>
      </c>
      <c r="J150" s="63" t="e">
        <f t="shared" ref="J150:J152" si="48">FIND("target:",G150)+7</f>
        <v>#VALUE!</v>
      </c>
      <c r="K150" s="63">
        <f t="shared" ref="K150:K152" si="49">FIND(",",G150,I150+1)</f>
        <v>32</v>
      </c>
      <c r="L150" s="63" t="str">
        <f>IFERROR(VLOOKUP(MID(G150,J150,K150-J150),[5]skilldef!$C:$D,2,FALSE),"-") &amp; " / " &amp; IFERROR(VLOOKUP(MID(G150,H150,I150-H150),[5]skilldef!$A:$B,2,FALSE),"-")</f>
        <v>- / -</v>
      </c>
      <c r="M150" s="63" t="str">
        <f t="shared" ref="M150:M152" si="50">IFERROR(RIGHT(B150,LEN(B150)-FIND("],",B150)-1),"none")</f>
        <v>none</v>
      </c>
      <c r="N150" s="48" t="str">
        <f>IFERROR(LEFT(M150,FIND("],",M150)+#REF!),M150)</f>
        <v>none</v>
      </c>
      <c r="O150" s="63" t="e">
        <f t="shared" ref="O150:O152" si="51">FIND("effect:",N150)+7</f>
        <v>#VALUE!</v>
      </c>
      <c r="P150" s="63">
        <f t="shared" ref="P150:P152" si="52">IFERROR(FIND(",",N150),LEN(N150))</f>
        <v>4</v>
      </c>
      <c r="Q150" s="63" t="e">
        <f t="shared" ref="Q150:Q152" si="53">FIND("target:",N150)+7</f>
        <v>#VALUE!</v>
      </c>
      <c r="R150" s="63" t="e">
        <f t="shared" ref="R150:R152" si="54">FIND(",",N150,P150+1)</f>
        <v>#VALUE!</v>
      </c>
      <c r="S150" s="63" t="str">
        <f>IFERROR(VLOOKUP(MID(N150,Q150,R150-Q150),[5]skilldef!$C:$D,2,FALSE),"-") &amp; " / " &amp; IFERROR(VLOOKUP(MID(N150,O150,P150-O150),[5]skilldef!$A:$B,2,FALSE),"-")</f>
        <v>- / -</v>
      </c>
      <c r="T150" s="48" t="str">
        <f t="shared" ref="T150:T152" si="55">IFERROR(RIGHT(M150,LEN(M150)-FIND("],",M150)-1),"none")</f>
        <v>none</v>
      </c>
      <c r="U150" s="63" t="e">
        <f t="shared" ref="U150:U152" si="56">FIND("effect:",T150)+7</f>
        <v>#VALUE!</v>
      </c>
      <c r="V150" s="63">
        <f t="shared" ref="V150:V152" si="57">IFERROR(FIND(",",T150),LEN(T150))</f>
        <v>4</v>
      </c>
      <c r="W150" s="63" t="e">
        <f t="shared" ref="W150:W152" si="58">FIND("target:",T150)+7</f>
        <v>#VALUE!</v>
      </c>
      <c r="X150" s="63" t="e">
        <f t="shared" ref="X150:X152" si="59">FIND(",",T150,V150+1)</f>
        <v>#VALUE!</v>
      </c>
      <c r="Y150" s="63" t="str">
        <f>IFERROR(VLOOKUP(MID(T150,W150,X150-W150),[5]skilldef!$C:$D,2,FALSE),"-") &amp; " / " &amp; IFERROR(VLOOKUP(MID(T150,U150,V150-U150),[5]skilldef!$A:$B,2,FALSE),"-")</f>
        <v>- / -</v>
      </c>
      <c r="Z150" s="50" t="s">
        <v>230</v>
      </c>
      <c r="AA150" s="52"/>
      <c r="AB150" s="50"/>
    </row>
    <row r="151" spans="1:28" ht="21" customHeight="1" x14ac:dyDescent="0.15">
      <c r="A151" s="108">
        <v>41006150</v>
      </c>
      <c r="B151" s="108" t="s">
        <v>490</v>
      </c>
      <c r="C151" s="109">
        <v>3</v>
      </c>
      <c r="D151" s="109" t="s">
        <v>355</v>
      </c>
      <c r="E151" s="161" t="s">
        <v>500</v>
      </c>
      <c r="F151" s="161" t="s">
        <v>502</v>
      </c>
      <c r="G151" s="63" t="str">
        <f t="shared" si="45"/>
        <v>[effect:enemy_message, val1:1.8, val2:2.4, dead_type:suicide]</v>
      </c>
      <c r="H151" s="63">
        <f t="shared" si="46"/>
        <v>9</v>
      </c>
      <c r="I151" s="63">
        <f t="shared" si="47"/>
        <v>22</v>
      </c>
      <c r="J151" s="63" t="e">
        <f t="shared" si="48"/>
        <v>#VALUE!</v>
      </c>
      <c r="K151" s="63">
        <f t="shared" si="49"/>
        <v>32</v>
      </c>
      <c r="L151" s="63" t="str">
        <f>IFERROR(VLOOKUP(MID(G151,J151,K151-J151),[5]skilldef!$C:$D,2,FALSE),"-") &amp; " / " &amp; IFERROR(VLOOKUP(MID(G151,H151,I151-H151),[5]skilldef!$A:$B,2,FALSE),"-")</f>
        <v>- / -</v>
      </c>
      <c r="M151" s="63" t="str">
        <f t="shared" si="50"/>
        <v>none</v>
      </c>
      <c r="N151" s="48" t="str">
        <f>IFERROR(LEFT(M151,FIND("],",M151)+#REF!),M151)</f>
        <v>none</v>
      </c>
      <c r="O151" s="63" t="e">
        <f t="shared" si="51"/>
        <v>#VALUE!</v>
      </c>
      <c r="P151" s="63">
        <f t="shared" si="52"/>
        <v>4</v>
      </c>
      <c r="Q151" s="63" t="e">
        <f t="shared" si="53"/>
        <v>#VALUE!</v>
      </c>
      <c r="R151" s="63" t="e">
        <f t="shared" si="54"/>
        <v>#VALUE!</v>
      </c>
      <c r="S151" s="63" t="str">
        <f>IFERROR(VLOOKUP(MID(N151,Q151,R151-Q151),[5]skilldef!$C:$D,2,FALSE),"-") &amp; " / " &amp; IFERROR(VLOOKUP(MID(N151,O151,P151-O151),[5]skilldef!$A:$B,2,FALSE),"-")</f>
        <v>- / -</v>
      </c>
      <c r="T151" s="48" t="str">
        <f t="shared" si="55"/>
        <v>none</v>
      </c>
      <c r="U151" s="63" t="e">
        <f t="shared" si="56"/>
        <v>#VALUE!</v>
      </c>
      <c r="V151" s="63">
        <f t="shared" si="57"/>
        <v>4</v>
      </c>
      <c r="W151" s="63" t="e">
        <f t="shared" si="58"/>
        <v>#VALUE!</v>
      </c>
      <c r="X151" s="63" t="e">
        <f t="shared" si="59"/>
        <v>#VALUE!</v>
      </c>
      <c r="Y151" s="63" t="str">
        <f>IFERROR(VLOOKUP(MID(T151,W151,X151-W151),[5]skilldef!$C:$D,2,FALSE),"-") &amp; " / " &amp; IFERROR(VLOOKUP(MID(T151,U151,V151-U151),[5]skilldef!$A:$B,2,FALSE),"-")</f>
        <v>- / -</v>
      </c>
      <c r="Z151" s="50" t="s">
        <v>230</v>
      </c>
      <c r="AA151" s="52"/>
      <c r="AB151" s="50"/>
    </row>
    <row r="152" spans="1:28" ht="21" customHeight="1" x14ac:dyDescent="0.15">
      <c r="A152" s="108">
        <v>41006151</v>
      </c>
      <c r="B152" s="108" t="s">
        <v>490</v>
      </c>
      <c r="C152" s="109">
        <v>3</v>
      </c>
      <c r="D152" s="109" t="s">
        <v>355</v>
      </c>
      <c r="E152" s="161" t="s">
        <v>500</v>
      </c>
      <c r="F152" s="161" t="s">
        <v>502</v>
      </c>
      <c r="G152" s="63" t="str">
        <f t="shared" si="45"/>
        <v>[effect:enemy_message, val1:1.8, val2:2.4, dead_type:suicide]</v>
      </c>
      <c r="H152" s="63">
        <f t="shared" si="46"/>
        <v>9</v>
      </c>
      <c r="I152" s="63">
        <f t="shared" si="47"/>
        <v>22</v>
      </c>
      <c r="J152" s="63" t="e">
        <f t="shared" si="48"/>
        <v>#VALUE!</v>
      </c>
      <c r="K152" s="63">
        <f t="shared" si="49"/>
        <v>32</v>
      </c>
      <c r="L152" s="63" t="str">
        <f>IFERROR(VLOOKUP(MID(G152,J152,K152-J152),[5]skilldef!$C:$D,2,FALSE),"-") &amp; " / " &amp; IFERROR(VLOOKUP(MID(G152,H152,I152-H152),[5]skilldef!$A:$B,2,FALSE),"-")</f>
        <v>- / -</v>
      </c>
      <c r="M152" s="63" t="str">
        <f t="shared" si="50"/>
        <v>none</v>
      </c>
      <c r="N152" s="48" t="str">
        <f>IFERROR(LEFT(M152,FIND("],",M152)+#REF!),M152)</f>
        <v>none</v>
      </c>
      <c r="O152" s="63" t="e">
        <f t="shared" si="51"/>
        <v>#VALUE!</v>
      </c>
      <c r="P152" s="63">
        <f t="shared" si="52"/>
        <v>4</v>
      </c>
      <c r="Q152" s="63" t="e">
        <f t="shared" si="53"/>
        <v>#VALUE!</v>
      </c>
      <c r="R152" s="63" t="e">
        <f t="shared" si="54"/>
        <v>#VALUE!</v>
      </c>
      <c r="S152" s="63" t="str">
        <f>IFERROR(VLOOKUP(MID(N152,Q152,R152-Q152),[5]skilldef!$C:$D,2,FALSE),"-") &amp; " / " &amp; IFERROR(VLOOKUP(MID(N152,O152,P152-O152),[5]skilldef!$A:$B,2,FALSE),"-")</f>
        <v>- / -</v>
      </c>
      <c r="T152" s="48" t="str">
        <f t="shared" si="55"/>
        <v>none</v>
      </c>
      <c r="U152" s="63" t="e">
        <f t="shared" si="56"/>
        <v>#VALUE!</v>
      </c>
      <c r="V152" s="63">
        <f t="shared" si="57"/>
        <v>4</v>
      </c>
      <c r="W152" s="63" t="e">
        <f t="shared" si="58"/>
        <v>#VALUE!</v>
      </c>
      <c r="X152" s="63" t="e">
        <f t="shared" si="59"/>
        <v>#VALUE!</v>
      </c>
      <c r="Y152" s="63" t="str">
        <f>IFERROR(VLOOKUP(MID(T152,W152,X152-W152),[5]skilldef!$C:$D,2,FALSE),"-") &amp; " / " &amp; IFERROR(VLOOKUP(MID(T152,U152,V152-U152),[5]skilldef!$A:$B,2,FALSE),"-")</f>
        <v>- / -</v>
      </c>
      <c r="Z152" s="50" t="s">
        <v>230</v>
      </c>
      <c r="AA152" s="52"/>
      <c r="AB152" s="50"/>
    </row>
    <row r="153" spans="1:28" ht="21" customHeight="1" x14ac:dyDescent="0.15">
      <c r="A153" s="108">
        <v>41006152</v>
      </c>
      <c r="B153" s="47" t="s">
        <v>234</v>
      </c>
      <c r="C153" s="50">
        <v>3</v>
      </c>
      <c r="D153" s="50" t="s">
        <v>197</v>
      </c>
      <c r="E153" s="51" t="s">
        <v>479</v>
      </c>
      <c r="F153" s="51" t="s">
        <v>507</v>
      </c>
      <c r="G153" s="63" t="str">
        <f t="shared" si="30"/>
        <v>[effect:freq_turn, target:myself, turn:-1, val:1, animation:enemy_freq_turn]</v>
      </c>
      <c r="H153" s="63">
        <f t="shared" si="31"/>
        <v>9</v>
      </c>
      <c r="I153" s="63">
        <f t="shared" si="32"/>
        <v>18</v>
      </c>
      <c r="J153" s="63">
        <f t="shared" si="33"/>
        <v>27</v>
      </c>
      <c r="K153" s="63">
        <f t="shared" si="34"/>
        <v>33</v>
      </c>
      <c r="L153" s="63" t="str">
        <f>IFERROR(VLOOKUP(MID(G153,J153,K153-J153),[5]skilldef!$C:$D,2,FALSE),"-") &amp; " / " &amp; IFERROR(VLOOKUP(MID(G153,H153,I153-H153),[5]skilldef!$A:$B,2,FALSE),"-")</f>
        <v>自分自身に / 攻撃頻度がUP</v>
      </c>
      <c r="M153" s="63" t="str">
        <f t="shared" si="35"/>
        <v>none</v>
      </c>
      <c r="N153" s="48" t="str">
        <f>IFERROR(LEFT(M153,FIND("],",M153)+#REF!),M153)</f>
        <v>none</v>
      </c>
      <c r="O153" s="63" t="e">
        <f t="shared" si="36"/>
        <v>#VALUE!</v>
      </c>
      <c r="P153" s="63">
        <f t="shared" si="37"/>
        <v>4</v>
      </c>
      <c r="Q153" s="63" t="e">
        <f t="shared" si="38"/>
        <v>#VALUE!</v>
      </c>
      <c r="R153" s="63" t="e">
        <f t="shared" si="39"/>
        <v>#VALUE!</v>
      </c>
      <c r="S153" s="63" t="str">
        <f>IFERROR(VLOOKUP(MID(N153,Q153,R153-Q153),[5]skilldef!$C:$D,2,FALSE),"-") &amp; " / " &amp; IFERROR(VLOOKUP(MID(N153,O153,P153-O153),[5]skilldef!$A:$B,2,FALSE),"-")</f>
        <v>- / -</v>
      </c>
      <c r="T153" s="48" t="str">
        <f t="shared" si="40"/>
        <v>none</v>
      </c>
      <c r="U153" s="63" t="e">
        <f t="shared" si="41"/>
        <v>#VALUE!</v>
      </c>
      <c r="V153" s="63">
        <f t="shared" si="42"/>
        <v>4</v>
      </c>
      <c r="W153" s="63" t="e">
        <f t="shared" si="43"/>
        <v>#VALUE!</v>
      </c>
      <c r="X153" s="63" t="e">
        <f t="shared" si="44"/>
        <v>#VALUE!</v>
      </c>
      <c r="Y153" s="63" t="str">
        <f>IFERROR(VLOOKUP(MID(T153,W153,X153-W153),[5]skilldef!$C:$D,2,FALSE),"-") &amp; " / " &amp; IFERROR(VLOOKUP(MID(T153,U153,V153-U153),[5]skilldef!$A:$B,2,FALSE),"-")</f>
        <v>- / -</v>
      </c>
      <c r="Z153" s="50" t="s">
        <v>230</v>
      </c>
      <c r="AA153" s="52"/>
      <c r="AB153" s="50"/>
    </row>
    <row r="154" spans="1:28" ht="21" customHeight="1" x14ac:dyDescent="0.15">
      <c r="A154" s="108">
        <v>41006153</v>
      </c>
      <c r="B154" s="47" t="s">
        <v>489</v>
      </c>
      <c r="C154" s="50">
        <v>3</v>
      </c>
      <c r="D154" s="50" t="s">
        <v>197</v>
      </c>
      <c r="E154" s="51" t="s">
        <v>501</v>
      </c>
      <c r="F154" s="51" t="s">
        <v>398</v>
      </c>
      <c r="G154" s="63" t="str">
        <f t="shared" si="30"/>
        <v>[effect:break_attack_fix, val:500, lowest_val:1000, count:-1, block:jammer, target:unit_all]</v>
      </c>
      <c r="H154" s="63">
        <f t="shared" si="31"/>
        <v>9</v>
      </c>
      <c r="I154" s="63">
        <f t="shared" si="32"/>
        <v>25</v>
      </c>
      <c r="J154" s="63">
        <f t="shared" si="33"/>
        <v>84</v>
      </c>
      <c r="K154" s="63">
        <f t="shared" si="34"/>
        <v>34</v>
      </c>
      <c r="L154" s="63" t="str">
        <f>IFERROR(VLOOKUP(MID(G154,J154,K154-J154),[5]skilldef!$C:$D,2,FALSE),"-") &amp; " / " &amp; IFERROR(VLOOKUP(MID(G154,H154,I154-H154),[5]skilldef!$A:$B,2,FALSE),"-")</f>
        <v>- / -</v>
      </c>
      <c r="M154" s="63" t="str">
        <f t="shared" si="35"/>
        <v>none</v>
      </c>
      <c r="N154" s="48" t="str">
        <f>IFERROR(LEFT(M154,FIND("],",M154)+#REF!),M154)</f>
        <v>none</v>
      </c>
      <c r="O154" s="63" t="e">
        <f t="shared" si="36"/>
        <v>#VALUE!</v>
      </c>
      <c r="P154" s="63">
        <f t="shared" si="37"/>
        <v>4</v>
      </c>
      <c r="Q154" s="63" t="e">
        <f t="shared" si="38"/>
        <v>#VALUE!</v>
      </c>
      <c r="R154" s="63" t="e">
        <f t="shared" si="39"/>
        <v>#VALUE!</v>
      </c>
      <c r="S154" s="63" t="str">
        <f>IFERROR(VLOOKUP(MID(N154,Q154,R154-Q154),[5]skilldef!$C:$D,2,FALSE),"-") &amp; " / " &amp; IFERROR(VLOOKUP(MID(N154,O154,P154-O154),[5]skilldef!$A:$B,2,FALSE),"-")</f>
        <v>- / -</v>
      </c>
      <c r="T154" s="48" t="str">
        <f t="shared" si="40"/>
        <v>none</v>
      </c>
      <c r="U154" s="63" t="e">
        <f t="shared" si="41"/>
        <v>#VALUE!</v>
      </c>
      <c r="V154" s="63">
        <f t="shared" si="42"/>
        <v>4</v>
      </c>
      <c r="W154" s="63" t="e">
        <f t="shared" si="43"/>
        <v>#VALUE!</v>
      </c>
      <c r="X154" s="63" t="e">
        <f t="shared" si="44"/>
        <v>#VALUE!</v>
      </c>
      <c r="Y154" s="63" t="str">
        <f>IFERROR(VLOOKUP(MID(T154,W154,X154-W154),[5]skilldef!$C:$D,2,FALSE),"-") &amp; " / " &amp; IFERROR(VLOOKUP(MID(T154,U154,V154-U154),[5]skilldef!$A:$B,2,FALSE),"-")</f>
        <v>- / -</v>
      </c>
      <c r="Z154" s="50" t="s">
        <v>230</v>
      </c>
      <c r="AA154" s="52"/>
      <c r="AB15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9"/>
  <sheetViews>
    <sheetView showGridLines="0" workbookViewId="0">
      <pane ySplit="1" topLeftCell="A48" activePane="bottomLeft" state="frozenSplit"/>
      <selection pane="bottomLeft" activeCell="I65" sqref="I6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41006001</v>
      </c>
      <c r="B2" s="47">
        <v>1</v>
      </c>
      <c r="C2" s="47" t="s">
        <v>89</v>
      </c>
      <c r="D2" s="47">
        <v>100</v>
      </c>
      <c r="E2" s="47" t="s">
        <v>217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:J58" si="0">D2</f>
        <v>100</v>
      </c>
    </row>
    <row r="3" spans="1:11" ht="21" customHeight="1" x14ac:dyDescent="0.15">
      <c r="A3" s="47">
        <v>41006002</v>
      </c>
      <c r="B3" s="47">
        <v>0</v>
      </c>
      <c r="C3" s="47">
        <v>10</v>
      </c>
      <c r="D3" s="47">
        <v>50</v>
      </c>
      <c r="E3" s="47" t="s">
        <v>90</v>
      </c>
      <c r="F3" s="47" t="s">
        <v>378</v>
      </c>
      <c r="G3" s="47" t="s">
        <v>379</v>
      </c>
      <c r="H3" s="47" t="s">
        <v>379</v>
      </c>
      <c r="I3" s="47" t="s">
        <v>379</v>
      </c>
      <c r="J3" s="48">
        <f t="shared" si="0"/>
        <v>50</v>
      </c>
    </row>
    <row r="4" spans="1:11" ht="21" customHeight="1" x14ac:dyDescent="0.15">
      <c r="A4" s="47">
        <v>41006003</v>
      </c>
      <c r="B4" s="47">
        <v>0</v>
      </c>
      <c r="C4" s="47">
        <v>9</v>
      </c>
      <c r="D4" s="47">
        <v>70</v>
      </c>
      <c r="E4" s="47" t="s">
        <v>90</v>
      </c>
      <c r="F4" s="47" t="s">
        <v>378</v>
      </c>
      <c r="G4" s="47" t="s">
        <v>379</v>
      </c>
      <c r="H4" s="47" t="s">
        <v>379</v>
      </c>
      <c r="I4" s="47" t="s">
        <v>379</v>
      </c>
      <c r="J4" s="48">
        <f t="shared" si="0"/>
        <v>70</v>
      </c>
    </row>
    <row r="5" spans="1:11" ht="21" customHeight="1" x14ac:dyDescent="0.15">
      <c r="A5" s="47">
        <v>41006004</v>
      </c>
      <c r="B5" s="47">
        <v>0</v>
      </c>
      <c r="C5" s="47">
        <v>20</v>
      </c>
      <c r="D5" s="47">
        <v>100</v>
      </c>
      <c r="E5" s="47">
        <v>70</v>
      </c>
      <c r="F5" s="47" t="s">
        <v>378</v>
      </c>
      <c r="G5" s="47">
        <v>1</v>
      </c>
      <c r="H5" s="47" t="s">
        <v>379</v>
      </c>
      <c r="I5" s="47" t="s">
        <v>379</v>
      </c>
      <c r="J5" s="48">
        <f t="shared" si="0"/>
        <v>100</v>
      </c>
    </row>
    <row r="6" spans="1:11" ht="21" customHeight="1" x14ac:dyDescent="0.15">
      <c r="A6" s="47">
        <v>41006005</v>
      </c>
      <c r="B6" s="47">
        <v>0</v>
      </c>
      <c r="C6" s="47">
        <v>19</v>
      </c>
      <c r="D6" s="47">
        <v>100</v>
      </c>
      <c r="E6" s="47">
        <v>40</v>
      </c>
      <c r="F6" s="47" t="s">
        <v>378</v>
      </c>
      <c r="G6" s="47">
        <v>1</v>
      </c>
      <c r="H6" s="47" t="s">
        <v>379</v>
      </c>
      <c r="I6" s="47" t="s">
        <v>379</v>
      </c>
      <c r="J6" s="48">
        <f t="shared" si="0"/>
        <v>100</v>
      </c>
    </row>
    <row r="7" spans="1:11" ht="21" customHeight="1" x14ac:dyDescent="0.15">
      <c r="A7" s="47">
        <v>41006006</v>
      </c>
      <c r="B7" s="47">
        <v>0</v>
      </c>
      <c r="C7" s="47">
        <v>18</v>
      </c>
      <c r="D7" s="47">
        <v>100</v>
      </c>
      <c r="E7" s="47">
        <v>40</v>
      </c>
      <c r="F7" s="47" t="s">
        <v>378</v>
      </c>
      <c r="G7" s="47">
        <v>1</v>
      </c>
      <c r="H7" s="47" t="s">
        <v>379</v>
      </c>
      <c r="I7" s="47" t="s">
        <v>379</v>
      </c>
      <c r="J7" s="48">
        <f t="shared" si="0"/>
        <v>100</v>
      </c>
    </row>
    <row r="8" spans="1:11" ht="21" customHeight="1" x14ac:dyDescent="0.15">
      <c r="A8" s="47">
        <v>41006007</v>
      </c>
      <c r="B8" s="47">
        <v>1</v>
      </c>
      <c r="C8" s="47" t="s">
        <v>378</v>
      </c>
      <c r="D8" s="47">
        <v>100</v>
      </c>
      <c r="E8" s="47" t="s">
        <v>90</v>
      </c>
      <c r="F8" s="47" t="s">
        <v>378</v>
      </c>
      <c r="G8" s="47">
        <v>1</v>
      </c>
      <c r="H8" s="47" t="s">
        <v>379</v>
      </c>
      <c r="I8" s="47" t="s">
        <v>379</v>
      </c>
      <c r="J8" s="48">
        <f t="shared" si="0"/>
        <v>100</v>
      </c>
    </row>
    <row r="9" spans="1:11" ht="21" customHeight="1" x14ac:dyDescent="0.15">
      <c r="A9" s="47">
        <v>41006008</v>
      </c>
      <c r="B9" s="47">
        <v>0</v>
      </c>
      <c r="C9" s="47">
        <v>10</v>
      </c>
      <c r="D9" s="47">
        <v>100</v>
      </c>
      <c r="E9" s="47" t="s">
        <v>90</v>
      </c>
      <c r="F9" s="47" t="s">
        <v>378</v>
      </c>
      <c r="G9" s="47" t="s">
        <v>379</v>
      </c>
      <c r="H9" s="47">
        <v>2</v>
      </c>
      <c r="I9" s="47" t="s">
        <v>379</v>
      </c>
      <c r="J9" s="48">
        <f t="shared" si="0"/>
        <v>100</v>
      </c>
    </row>
    <row r="10" spans="1:11" ht="21" customHeight="1" x14ac:dyDescent="0.15">
      <c r="A10" s="47">
        <v>41006009</v>
      </c>
      <c r="B10" s="47">
        <v>0</v>
      </c>
      <c r="C10" s="47">
        <v>8</v>
      </c>
      <c r="D10" s="47">
        <v>100</v>
      </c>
      <c r="E10" s="47" t="s">
        <v>90</v>
      </c>
      <c r="F10" s="47" t="s">
        <v>378</v>
      </c>
      <c r="G10" s="47" t="s">
        <v>379</v>
      </c>
      <c r="H10" s="47" t="s">
        <v>379</v>
      </c>
      <c r="I10" s="47" t="s">
        <v>379</v>
      </c>
      <c r="J10" s="48">
        <f t="shared" si="0"/>
        <v>100</v>
      </c>
    </row>
    <row r="11" spans="1:11" ht="21" customHeight="1" x14ac:dyDescent="0.15">
      <c r="A11" s="47">
        <v>41006010</v>
      </c>
      <c r="B11" s="47">
        <v>0</v>
      </c>
      <c r="C11" s="47">
        <v>9</v>
      </c>
      <c r="D11" s="47">
        <v>50</v>
      </c>
      <c r="E11" s="47">
        <v>50</v>
      </c>
      <c r="F11" s="47" t="s">
        <v>378</v>
      </c>
      <c r="G11" s="47">
        <v>2</v>
      </c>
      <c r="H11" s="47" t="s">
        <v>379</v>
      </c>
      <c r="I11" s="47" t="s">
        <v>379</v>
      </c>
      <c r="J11" s="48">
        <f t="shared" si="0"/>
        <v>50</v>
      </c>
    </row>
    <row r="12" spans="1:11" ht="21" customHeight="1" x14ac:dyDescent="0.15">
      <c r="A12" s="47">
        <v>41006011</v>
      </c>
      <c r="B12" s="47">
        <v>0</v>
      </c>
      <c r="C12" s="47">
        <v>12</v>
      </c>
      <c r="D12" s="47">
        <v>100</v>
      </c>
      <c r="E12" s="47" t="s">
        <v>90</v>
      </c>
      <c r="F12" s="47" t="s">
        <v>378</v>
      </c>
      <c r="G12" s="47">
        <v>1</v>
      </c>
      <c r="H12" s="47" t="s">
        <v>379</v>
      </c>
      <c r="I12" s="47">
        <v>367</v>
      </c>
      <c r="J12" s="48">
        <f t="shared" si="0"/>
        <v>100</v>
      </c>
    </row>
    <row r="13" spans="1:11" ht="21" customHeight="1" x14ac:dyDescent="0.15">
      <c r="A13" s="47">
        <v>41006012</v>
      </c>
      <c r="B13" s="47">
        <v>0</v>
      </c>
      <c r="C13" s="47">
        <v>11</v>
      </c>
      <c r="D13" s="47">
        <v>100</v>
      </c>
      <c r="E13" s="47" t="s">
        <v>90</v>
      </c>
      <c r="F13" s="47" t="s">
        <v>378</v>
      </c>
      <c r="G13" s="47">
        <v>1</v>
      </c>
      <c r="H13" s="47" t="s">
        <v>379</v>
      </c>
      <c r="I13" s="47">
        <v>367</v>
      </c>
      <c r="J13" s="48">
        <f t="shared" si="0"/>
        <v>100</v>
      </c>
    </row>
    <row r="14" spans="1:11" ht="21" customHeight="1" x14ac:dyDescent="0.15">
      <c r="A14" s="47">
        <v>41006013</v>
      </c>
      <c r="B14" s="47">
        <v>0</v>
      </c>
      <c r="C14" s="47">
        <v>10</v>
      </c>
      <c r="D14" s="47">
        <v>100</v>
      </c>
      <c r="E14" s="47" t="s">
        <v>90</v>
      </c>
      <c r="F14" s="47" t="s">
        <v>378</v>
      </c>
      <c r="G14" s="47" t="s">
        <v>379</v>
      </c>
      <c r="H14" s="47" t="s">
        <v>379</v>
      </c>
      <c r="I14" s="47" t="s">
        <v>379</v>
      </c>
      <c r="J14" s="48">
        <f t="shared" si="0"/>
        <v>100</v>
      </c>
    </row>
    <row r="15" spans="1:11" ht="21" customHeight="1" x14ac:dyDescent="0.15">
      <c r="A15" s="47">
        <v>41006014</v>
      </c>
      <c r="B15" s="47">
        <v>0</v>
      </c>
      <c r="C15" s="47">
        <v>11</v>
      </c>
      <c r="D15" s="47">
        <v>100</v>
      </c>
      <c r="E15" s="47" t="s">
        <v>90</v>
      </c>
      <c r="F15" s="47" t="s">
        <v>378</v>
      </c>
      <c r="G15" s="47" t="s">
        <v>379</v>
      </c>
      <c r="H15" s="47">
        <v>2</v>
      </c>
      <c r="I15" s="47" t="s">
        <v>379</v>
      </c>
      <c r="J15" s="48">
        <f t="shared" si="0"/>
        <v>100</v>
      </c>
    </row>
    <row r="16" spans="1:11" ht="21" customHeight="1" x14ac:dyDescent="0.15">
      <c r="A16" s="47">
        <v>41006015</v>
      </c>
      <c r="B16" s="47">
        <v>0</v>
      </c>
      <c r="C16" s="47">
        <v>10</v>
      </c>
      <c r="D16" s="47">
        <v>100</v>
      </c>
      <c r="E16" s="47" t="s">
        <v>90</v>
      </c>
      <c r="F16" s="47" t="s">
        <v>378</v>
      </c>
      <c r="G16" s="47" t="s">
        <v>379</v>
      </c>
      <c r="H16" s="47" t="s">
        <v>379</v>
      </c>
      <c r="I16" s="47" t="s">
        <v>379</v>
      </c>
      <c r="J16" s="48">
        <f t="shared" si="0"/>
        <v>100</v>
      </c>
    </row>
    <row r="17" spans="1:10" ht="21" customHeight="1" x14ac:dyDescent="0.15">
      <c r="A17" s="47">
        <v>41006016</v>
      </c>
      <c r="B17" s="47">
        <v>1</v>
      </c>
      <c r="C17" s="47" t="s">
        <v>90</v>
      </c>
      <c r="D17" s="47">
        <v>100</v>
      </c>
      <c r="E17" s="47" t="s">
        <v>90</v>
      </c>
      <c r="F17" s="47" t="s">
        <v>378</v>
      </c>
      <c r="G17" s="47">
        <v>1</v>
      </c>
      <c r="H17" s="47" t="s">
        <v>379</v>
      </c>
      <c r="I17" s="47" t="s">
        <v>379</v>
      </c>
      <c r="J17" s="48">
        <f t="shared" si="0"/>
        <v>100</v>
      </c>
    </row>
    <row r="18" spans="1:10" ht="21" customHeight="1" x14ac:dyDescent="0.15">
      <c r="A18" s="47">
        <v>41006017</v>
      </c>
      <c r="B18" s="47">
        <v>0</v>
      </c>
      <c r="C18" s="47">
        <v>10</v>
      </c>
      <c r="D18" s="47">
        <v>50</v>
      </c>
      <c r="E18" s="47" t="s">
        <v>90</v>
      </c>
      <c r="F18" s="47" t="s">
        <v>378</v>
      </c>
      <c r="G18" s="47" t="s">
        <v>379</v>
      </c>
      <c r="H18" s="47" t="s">
        <v>379</v>
      </c>
      <c r="I18" s="47" t="s">
        <v>379</v>
      </c>
      <c r="J18" s="48">
        <f t="shared" si="0"/>
        <v>50</v>
      </c>
    </row>
    <row r="19" spans="1:10" ht="21" customHeight="1" x14ac:dyDescent="0.15">
      <c r="A19" s="47">
        <v>41006018</v>
      </c>
      <c r="B19" s="47">
        <v>0</v>
      </c>
      <c r="C19" s="47">
        <v>9</v>
      </c>
      <c r="D19" s="47">
        <v>50</v>
      </c>
      <c r="E19" s="47" t="s">
        <v>90</v>
      </c>
      <c r="F19" s="47" t="s">
        <v>378</v>
      </c>
      <c r="G19" s="47" t="s">
        <v>379</v>
      </c>
      <c r="H19" s="47" t="s">
        <v>379</v>
      </c>
      <c r="I19" s="47" t="s">
        <v>379</v>
      </c>
      <c r="J19" s="48">
        <f t="shared" si="0"/>
        <v>50</v>
      </c>
    </row>
    <row r="20" spans="1:10" ht="21" customHeight="1" x14ac:dyDescent="0.15">
      <c r="A20" s="47">
        <v>41006019</v>
      </c>
      <c r="B20" s="47">
        <v>0</v>
      </c>
      <c r="C20" s="47">
        <v>12</v>
      </c>
      <c r="D20" s="47">
        <v>100</v>
      </c>
      <c r="E20" s="47" t="s">
        <v>90</v>
      </c>
      <c r="F20" s="47" t="s">
        <v>378</v>
      </c>
      <c r="G20" s="47" t="s">
        <v>379</v>
      </c>
      <c r="H20" s="47">
        <v>3</v>
      </c>
      <c r="I20" s="47" t="s">
        <v>379</v>
      </c>
      <c r="J20" s="48">
        <f t="shared" si="0"/>
        <v>100</v>
      </c>
    </row>
    <row r="21" spans="1:10" ht="21" customHeight="1" x14ac:dyDescent="0.15">
      <c r="A21" s="47">
        <v>41006020</v>
      </c>
      <c r="B21" s="47">
        <v>0</v>
      </c>
      <c r="C21" s="47">
        <v>13</v>
      </c>
      <c r="D21" s="47">
        <v>100</v>
      </c>
      <c r="E21" s="47" t="s">
        <v>90</v>
      </c>
      <c r="F21" s="47" t="s">
        <v>378</v>
      </c>
      <c r="G21" s="47" t="s">
        <v>379</v>
      </c>
      <c r="H21" s="47">
        <v>6</v>
      </c>
      <c r="I21" s="47" t="s">
        <v>379</v>
      </c>
      <c r="J21" s="48">
        <f t="shared" si="0"/>
        <v>100</v>
      </c>
    </row>
    <row r="22" spans="1:10" ht="21" customHeight="1" x14ac:dyDescent="0.15">
      <c r="A22" s="47">
        <v>41006021</v>
      </c>
      <c r="B22" s="47">
        <v>0</v>
      </c>
      <c r="C22" s="47">
        <v>20</v>
      </c>
      <c r="D22" s="47">
        <v>100</v>
      </c>
      <c r="E22" s="47">
        <v>60</v>
      </c>
      <c r="F22" s="47" t="s">
        <v>378</v>
      </c>
      <c r="G22" s="47">
        <v>1</v>
      </c>
      <c r="H22" s="47" t="s">
        <v>379</v>
      </c>
      <c r="I22" s="47" t="s">
        <v>379</v>
      </c>
      <c r="J22" s="48">
        <f t="shared" si="0"/>
        <v>100</v>
      </c>
    </row>
    <row r="23" spans="1:10" ht="21" customHeight="1" x14ac:dyDescent="0.15">
      <c r="A23" s="47">
        <v>41006022</v>
      </c>
      <c r="B23" s="47">
        <v>0</v>
      </c>
      <c r="C23" s="47">
        <v>11</v>
      </c>
      <c r="D23" s="47">
        <v>100</v>
      </c>
      <c r="E23" s="47">
        <v>30</v>
      </c>
      <c r="F23" s="47" t="s">
        <v>378</v>
      </c>
      <c r="G23" s="47">
        <v>1</v>
      </c>
      <c r="H23" s="47" t="s">
        <v>379</v>
      </c>
      <c r="I23" s="47" t="s">
        <v>379</v>
      </c>
      <c r="J23" s="48">
        <f t="shared" si="0"/>
        <v>100</v>
      </c>
    </row>
    <row r="24" spans="1:10" ht="21" customHeight="1" x14ac:dyDescent="0.15">
      <c r="A24" s="47">
        <v>41006023</v>
      </c>
      <c r="B24" s="47">
        <v>0</v>
      </c>
      <c r="C24" s="47">
        <v>11</v>
      </c>
      <c r="D24" s="47">
        <v>100</v>
      </c>
      <c r="E24" s="47">
        <v>30</v>
      </c>
      <c r="F24" s="47" t="s">
        <v>378</v>
      </c>
      <c r="G24" s="47">
        <v>1</v>
      </c>
      <c r="H24" s="47" t="s">
        <v>379</v>
      </c>
      <c r="I24" s="47" t="s">
        <v>379</v>
      </c>
      <c r="J24" s="48">
        <f t="shared" si="0"/>
        <v>100</v>
      </c>
    </row>
    <row r="25" spans="1:10" ht="21" customHeight="1" x14ac:dyDescent="0.15">
      <c r="A25" s="47">
        <v>41006024</v>
      </c>
      <c r="B25" s="47">
        <v>0</v>
      </c>
      <c r="C25" s="47">
        <v>11</v>
      </c>
      <c r="D25" s="47">
        <v>100</v>
      </c>
      <c r="E25" s="47">
        <v>30</v>
      </c>
      <c r="F25" s="47" t="s">
        <v>378</v>
      </c>
      <c r="G25" s="47">
        <v>1</v>
      </c>
      <c r="H25" s="47" t="s">
        <v>379</v>
      </c>
      <c r="I25" s="47" t="s">
        <v>379</v>
      </c>
      <c r="J25" s="48">
        <f t="shared" si="0"/>
        <v>100</v>
      </c>
    </row>
    <row r="26" spans="1:10" ht="21" customHeight="1" x14ac:dyDescent="0.15">
      <c r="A26" s="47">
        <v>41006025</v>
      </c>
      <c r="B26" s="47">
        <v>1</v>
      </c>
      <c r="C26" s="47" t="s">
        <v>90</v>
      </c>
      <c r="D26" s="47">
        <v>100</v>
      </c>
      <c r="E26" s="47" t="s">
        <v>90</v>
      </c>
      <c r="F26" s="47" t="s">
        <v>378</v>
      </c>
      <c r="G26" s="47">
        <v>1</v>
      </c>
      <c r="H26" s="47" t="s">
        <v>379</v>
      </c>
      <c r="I26" s="47" t="s">
        <v>379</v>
      </c>
      <c r="J26" s="48">
        <f t="shared" si="0"/>
        <v>100</v>
      </c>
    </row>
    <row r="27" spans="1:10" ht="21" customHeight="1" x14ac:dyDescent="0.15">
      <c r="A27" s="47">
        <v>41006026</v>
      </c>
      <c r="B27" s="47">
        <v>0</v>
      </c>
      <c r="C27" s="47">
        <v>10</v>
      </c>
      <c r="D27" s="47">
        <v>100</v>
      </c>
      <c r="E27" s="47" t="s">
        <v>90</v>
      </c>
      <c r="F27" s="47" t="s">
        <v>378</v>
      </c>
      <c r="G27" s="47" t="s">
        <v>379</v>
      </c>
      <c r="H27" s="47" t="s">
        <v>379</v>
      </c>
      <c r="I27" s="47" t="s">
        <v>379</v>
      </c>
      <c r="J27" s="48">
        <f t="shared" si="0"/>
        <v>100</v>
      </c>
    </row>
    <row r="28" spans="1:10" ht="21" customHeight="1" x14ac:dyDescent="0.15">
      <c r="A28" s="47">
        <v>41006027</v>
      </c>
      <c r="B28" s="47">
        <v>0</v>
      </c>
      <c r="C28" s="47">
        <v>11</v>
      </c>
      <c r="D28" s="47">
        <v>40</v>
      </c>
      <c r="E28" s="47">
        <v>90</v>
      </c>
      <c r="F28" s="47" t="s">
        <v>378</v>
      </c>
      <c r="G28" s="47">
        <v>2</v>
      </c>
      <c r="H28" s="47" t="s">
        <v>379</v>
      </c>
      <c r="I28" s="47" t="s">
        <v>379</v>
      </c>
      <c r="J28" s="48">
        <f t="shared" si="0"/>
        <v>40</v>
      </c>
    </row>
    <row r="29" spans="1:10" ht="21" customHeight="1" x14ac:dyDescent="0.15">
      <c r="A29" s="47">
        <v>41006028</v>
      </c>
      <c r="B29" s="47">
        <v>0</v>
      </c>
      <c r="C29" s="47">
        <v>12</v>
      </c>
      <c r="D29" s="47">
        <v>100</v>
      </c>
      <c r="E29" s="47" t="s">
        <v>90</v>
      </c>
      <c r="F29" s="47" t="s">
        <v>378</v>
      </c>
      <c r="G29" s="47">
        <v>3</v>
      </c>
      <c r="H29" s="47">
        <v>3</v>
      </c>
      <c r="I29" s="47" t="s">
        <v>379</v>
      </c>
      <c r="J29" s="48">
        <f t="shared" si="0"/>
        <v>100</v>
      </c>
    </row>
    <row r="30" spans="1:10" ht="21" customHeight="1" x14ac:dyDescent="0.15">
      <c r="A30" s="47">
        <v>41006029</v>
      </c>
      <c r="B30" s="47">
        <v>0</v>
      </c>
      <c r="C30" s="47">
        <v>20</v>
      </c>
      <c r="D30" s="47">
        <v>100</v>
      </c>
      <c r="E30" s="47" t="s">
        <v>90</v>
      </c>
      <c r="F30" s="47" t="s">
        <v>378</v>
      </c>
      <c r="G30" s="47">
        <v>1</v>
      </c>
      <c r="H30" s="47">
        <v>10</v>
      </c>
      <c r="I30" s="47" t="s">
        <v>379</v>
      </c>
      <c r="J30" s="48">
        <f t="shared" si="0"/>
        <v>100</v>
      </c>
    </row>
    <row r="31" spans="1:10" ht="21" customHeight="1" x14ac:dyDescent="0.15">
      <c r="A31" s="47">
        <v>41006030</v>
      </c>
      <c r="B31" s="47">
        <v>1</v>
      </c>
      <c r="C31" s="47" t="s">
        <v>90</v>
      </c>
      <c r="D31" s="47">
        <v>100</v>
      </c>
      <c r="E31" s="47" t="s">
        <v>90</v>
      </c>
      <c r="F31" s="47" t="s">
        <v>378</v>
      </c>
      <c r="G31" s="47">
        <v>1</v>
      </c>
      <c r="H31" s="47" t="s">
        <v>379</v>
      </c>
      <c r="I31" s="47" t="s">
        <v>379</v>
      </c>
      <c r="J31" s="48">
        <f t="shared" si="0"/>
        <v>100</v>
      </c>
    </row>
    <row r="32" spans="1:10" ht="21" customHeight="1" x14ac:dyDescent="0.15">
      <c r="A32" s="47">
        <v>41006031</v>
      </c>
      <c r="B32" s="47">
        <v>0</v>
      </c>
      <c r="C32" s="47">
        <v>20</v>
      </c>
      <c r="D32" s="47">
        <v>100</v>
      </c>
      <c r="E32" s="47" t="s">
        <v>90</v>
      </c>
      <c r="F32" s="47" t="s">
        <v>378</v>
      </c>
      <c r="G32" s="47">
        <v>1</v>
      </c>
      <c r="H32" s="47">
        <v>1</v>
      </c>
      <c r="I32" s="47" t="s">
        <v>379</v>
      </c>
      <c r="J32" s="48">
        <f t="shared" si="0"/>
        <v>100</v>
      </c>
    </row>
    <row r="33" spans="1:10" ht="21" customHeight="1" x14ac:dyDescent="0.15">
      <c r="A33" s="47">
        <v>41006032</v>
      </c>
      <c r="B33" s="47">
        <v>0</v>
      </c>
      <c r="C33" s="47">
        <v>19</v>
      </c>
      <c r="D33" s="47">
        <v>100</v>
      </c>
      <c r="E33" s="47" t="s">
        <v>90</v>
      </c>
      <c r="F33" s="47" t="s">
        <v>378</v>
      </c>
      <c r="G33" s="47">
        <v>1</v>
      </c>
      <c r="H33" s="47">
        <v>4</v>
      </c>
      <c r="I33" s="47" t="s">
        <v>379</v>
      </c>
      <c r="J33" s="48">
        <f t="shared" si="0"/>
        <v>100</v>
      </c>
    </row>
    <row r="34" spans="1:10" ht="21" customHeight="1" x14ac:dyDescent="0.15">
      <c r="A34" s="47">
        <v>41006033</v>
      </c>
      <c r="B34" s="47">
        <v>0</v>
      </c>
      <c r="C34" s="47">
        <v>13</v>
      </c>
      <c r="D34" s="47">
        <v>100</v>
      </c>
      <c r="E34" s="47" t="s">
        <v>90</v>
      </c>
      <c r="F34" s="47" t="s">
        <v>378</v>
      </c>
      <c r="G34" s="47">
        <v>1</v>
      </c>
      <c r="H34" s="47">
        <v>2</v>
      </c>
      <c r="I34" s="47" t="s">
        <v>379</v>
      </c>
      <c r="J34" s="48">
        <f t="shared" si="0"/>
        <v>100</v>
      </c>
    </row>
    <row r="35" spans="1:10" ht="21" customHeight="1" x14ac:dyDescent="0.15">
      <c r="A35" s="47">
        <v>41006034</v>
      </c>
      <c r="B35" s="47">
        <v>0</v>
      </c>
      <c r="C35" s="47">
        <v>12</v>
      </c>
      <c r="D35" s="47">
        <v>100</v>
      </c>
      <c r="E35" s="47" t="s">
        <v>90</v>
      </c>
      <c r="F35" s="47" t="s">
        <v>378</v>
      </c>
      <c r="G35" s="47">
        <v>1</v>
      </c>
      <c r="H35" s="47">
        <v>2</v>
      </c>
      <c r="I35" s="47" t="s">
        <v>379</v>
      </c>
      <c r="J35" s="48">
        <f t="shared" si="0"/>
        <v>100</v>
      </c>
    </row>
    <row r="36" spans="1:10" ht="21" customHeight="1" x14ac:dyDescent="0.15">
      <c r="A36" s="47">
        <v>41006035</v>
      </c>
      <c r="B36" s="47">
        <v>0</v>
      </c>
      <c r="C36" s="47">
        <v>11</v>
      </c>
      <c r="D36" s="47">
        <v>100</v>
      </c>
      <c r="E36" s="47" t="s">
        <v>90</v>
      </c>
      <c r="F36" s="47" t="s">
        <v>378</v>
      </c>
      <c r="G36" s="47">
        <v>1</v>
      </c>
      <c r="H36" s="47">
        <v>2</v>
      </c>
      <c r="I36" s="47" t="s">
        <v>379</v>
      </c>
      <c r="J36" s="48">
        <f t="shared" si="0"/>
        <v>100</v>
      </c>
    </row>
    <row r="37" spans="1:10" ht="21" customHeight="1" x14ac:dyDescent="0.15">
      <c r="A37" s="47">
        <v>41006036</v>
      </c>
      <c r="B37" s="47">
        <v>0</v>
      </c>
      <c r="C37" s="47">
        <v>10</v>
      </c>
      <c r="D37" s="47">
        <v>100</v>
      </c>
      <c r="E37" s="47" t="s">
        <v>90</v>
      </c>
      <c r="F37" s="47" t="s">
        <v>378</v>
      </c>
      <c r="G37" s="47" t="s">
        <v>379</v>
      </c>
      <c r="H37" s="47">
        <v>2</v>
      </c>
      <c r="I37" s="47" t="s">
        <v>379</v>
      </c>
      <c r="J37" s="48">
        <f t="shared" si="0"/>
        <v>100</v>
      </c>
    </row>
    <row r="38" spans="1:10" ht="21" customHeight="1" x14ac:dyDescent="0.15">
      <c r="A38" s="47">
        <v>41006037</v>
      </c>
      <c r="B38" s="47">
        <v>0</v>
      </c>
      <c r="C38" s="47">
        <v>9</v>
      </c>
      <c r="D38" s="47">
        <v>100</v>
      </c>
      <c r="E38" s="47" t="s">
        <v>90</v>
      </c>
      <c r="F38" s="47" t="s">
        <v>378</v>
      </c>
      <c r="G38" s="47" t="s">
        <v>379</v>
      </c>
      <c r="H38" s="47" t="s">
        <v>379</v>
      </c>
      <c r="I38" s="47" t="s">
        <v>379</v>
      </c>
      <c r="J38" s="48">
        <f t="shared" si="0"/>
        <v>100</v>
      </c>
    </row>
    <row r="39" spans="1:10" ht="21" customHeight="1" x14ac:dyDescent="0.15">
      <c r="A39" s="47">
        <v>41006038</v>
      </c>
      <c r="B39" s="47">
        <v>1</v>
      </c>
      <c r="C39" s="47" t="s">
        <v>90</v>
      </c>
      <c r="D39" s="47">
        <v>100</v>
      </c>
      <c r="E39" s="47" t="s">
        <v>90</v>
      </c>
      <c r="F39" s="47" t="s">
        <v>378</v>
      </c>
      <c r="G39" s="47">
        <v>1</v>
      </c>
      <c r="H39" s="47" t="s">
        <v>379</v>
      </c>
      <c r="I39" s="47" t="s">
        <v>379</v>
      </c>
      <c r="J39" s="48">
        <f t="shared" si="0"/>
        <v>100</v>
      </c>
    </row>
    <row r="40" spans="1:10" ht="21" customHeight="1" x14ac:dyDescent="0.15">
      <c r="A40" s="47">
        <v>41006039</v>
      </c>
      <c r="B40" s="47">
        <v>0</v>
      </c>
      <c r="C40" s="47">
        <v>20</v>
      </c>
      <c r="D40" s="47">
        <v>100</v>
      </c>
      <c r="E40" s="47" t="s">
        <v>90</v>
      </c>
      <c r="F40" s="47" t="s">
        <v>378</v>
      </c>
      <c r="G40" s="47">
        <v>1</v>
      </c>
      <c r="H40" s="47">
        <v>1</v>
      </c>
      <c r="I40" s="47" t="s">
        <v>379</v>
      </c>
      <c r="J40" s="48">
        <f t="shared" si="0"/>
        <v>100</v>
      </c>
    </row>
    <row r="41" spans="1:10" ht="21" customHeight="1" x14ac:dyDescent="0.15">
      <c r="A41" s="47">
        <v>41006040</v>
      </c>
      <c r="B41" s="47">
        <v>0</v>
      </c>
      <c r="C41" s="47">
        <v>19</v>
      </c>
      <c r="D41" s="47">
        <v>100</v>
      </c>
      <c r="E41" s="47" t="s">
        <v>90</v>
      </c>
      <c r="F41" s="47" t="s">
        <v>378</v>
      </c>
      <c r="G41" s="47">
        <v>1</v>
      </c>
      <c r="H41" s="47">
        <v>3</v>
      </c>
      <c r="I41" s="47" t="s">
        <v>379</v>
      </c>
      <c r="J41" s="48">
        <f t="shared" si="0"/>
        <v>100</v>
      </c>
    </row>
    <row r="42" spans="1:10" ht="21" customHeight="1" x14ac:dyDescent="0.15">
      <c r="A42" s="47">
        <v>41006041</v>
      </c>
      <c r="B42" s="47">
        <v>0</v>
      </c>
      <c r="C42" s="47">
        <v>12</v>
      </c>
      <c r="D42" s="47">
        <v>100</v>
      </c>
      <c r="E42" s="47" t="s">
        <v>90</v>
      </c>
      <c r="F42" s="47" t="s">
        <v>378</v>
      </c>
      <c r="G42" s="47">
        <v>1</v>
      </c>
      <c r="H42" s="47">
        <v>2</v>
      </c>
      <c r="I42" s="47" t="s">
        <v>379</v>
      </c>
      <c r="J42" s="48">
        <f t="shared" si="0"/>
        <v>100</v>
      </c>
    </row>
    <row r="43" spans="1:10" ht="21" customHeight="1" x14ac:dyDescent="0.15">
      <c r="A43" s="47">
        <v>41006042</v>
      </c>
      <c r="B43" s="47">
        <v>0</v>
      </c>
      <c r="C43" s="47">
        <v>11</v>
      </c>
      <c r="D43" s="47">
        <v>100</v>
      </c>
      <c r="E43" s="47" t="s">
        <v>90</v>
      </c>
      <c r="F43" s="47" t="s">
        <v>378</v>
      </c>
      <c r="G43" s="47">
        <v>1</v>
      </c>
      <c r="H43" s="47">
        <v>2</v>
      </c>
      <c r="I43" s="47" t="s">
        <v>379</v>
      </c>
      <c r="J43" s="48">
        <f t="shared" si="0"/>
        <v>100</v>
      </c>
    </row>
    <row r="44" spans="1:10" ht="21" customHeight="1" x14ac:dyDescent="0.15">
      <c r="A44" s="47">
        <v>41006043</v>
      </c>
      <c r="B44" s="47">
        <v>0</v>
      </c>
      <c r="C44" s="47">
        <v>10</v>
      </c>
      <c r="D44" s="47">
        <v>100</v>
      </c>
      <c r="E44" s="47" t="s">
        <v>90</v>
      </c>
      <c r="F44" s="47" t="s">
        <v>378</v>
      </c>
      <c r="G44" s="47" t="s">
        <v>379</v>
      </c>
      <c r="H44" s="47">
        <v>2</v>
      </c>
      <c r="I44" s="47" t="s">
        <v>379</v>
      </c>
      <c r="J44" s="48">
        <f t="shared" si="0"/>
        <v>100</v>
      </c>
    </row>
    <row r="45" spans="1:10" ht="21" customHeight="1" x14ac:dyDescent="0.15">
      <c r="A45" s="47">
        <v>41006044</v>
      </c>
      <c r="B45" s="47">
        <v>0</v>
      </c>
      <c r="C45" s="47">
        <v>8</v>
      </c>
      <c r="D45" s="47">
        <v>60</v>
      </c>
      <c r="E45" s="47" t="s">
        <v>90</v>
      </c>
      <c r="F45" s="47" t="s">
        <v>378</v>
      </c>
      <c r="G45" s="47" t="s">
        <v>379</v>
      </c>
      <c r="H45" s="47" t="s">
        <v>379</v>
      </c>
      <c r="I45" s="47" t="s">
        <v>379</v>
      </c>
      <c r="J45" s="48">
        <f t="shared" si="0"/>
        <v>60</v>
      </c>
    </row>
    <row r="46" spans="1:10" ht="21" customHeight="1" x14ac:dyDescent="0.15">
      <c r="A46" s="47">
        <v>41006045</v>
      </c>
      <c r="B46" s="47">
        <v>0</v>
      </c>
      <c r="C46" s="47">
        <v>7</v>
      </c>
      <c r="D46" s="47">
        <v>100</v>
      </c>
      <c r="E46" s="47" t="s">
        <v>90</v>
      </c>
      <c r="F46" s="47" t="s">
        <v>378</v>
      </c>
      <c r="G46" s="47" t="s">
        <v>379</v>
      </c>
      <c r="H46" s="47" t="s">
        <v>379</v>
      </c>
      <c r="I46" s="47" t="s">
        <v>379</v>
      </c>
      <c r="J46" s="48">
        <f t="shared" si="0"/>
        <v>100</v>
      </c>
    </row>
    <row r="47" spans="1:10" ht="21" customHeight="1" x14ac:dyDescent="0.15">
      <c r="A47" s="47">
        <v>41006046</v>
      </c>
      <c r="B47" s="47">
        <v>0</v>
      </c>
      <c r="C47" s="47">
        <v>9</v>
      </c>
      <c r="D47" s="47">
        <v>40</v>
      </c>
      <c r="E47" s="47" t="s">
        <v>90</v>
      </c>
      <c r="F47" s="47" t="s">
        <v>378</v>
      </c>
      <c r="G47" s="47">
        <v>2</v>
      </c>
      <c r="H47" s="47" t="s">
        <v>379</v>
      </c>
      <c r="I47" s="47" t="s">
        <v>379</v>
      </c>
      <c r="J47" s="48">
        <f t="shared" si="0"/>
        <v>40</v>
      </c>
    </row>
    <row r="48" spans="1:10" ht="21" customHeight="1" x14ac:dyDescent="0.15">
      <c r="A48" s="47">
        <v>41006047</v>
      </c>
      <c r="B48" s="47">
        <v>1</v>
      </c>
      <c r="C48" s="47" t="s">
        <v>382</v>
      </c>
      <c r="D48" s="47">
        <v>100</v>
      </c>
      <c r="E48" s="47" t="s">
        <v>90</v>
      </c>
      <c r="F48" s="47" t="s">
        <v>378</v>
      </c>
      <c r="G48" s="47">
        <v>1</v>
      </c>
      <c r="H48" s="47" t="s">
        <v>379</v>
      </c>
      <c r="I48" s="47" t="s">
        <v>379</v>
      </c>
      <c r="J48" s="48">
        <f t="shared" si="0"/>
        <v>100</v>
      </c>
    </row>
    <row r="49" spans="1:10" ht="21" customHeight="1" x14ac:dyDescent="0.15">
      <c r="A49" s="47">
        <v>41006048</v>
      </c>
      <c r="B49" s="47">
        <v>0</v>
      </c>
      <c r="C49" s="47">
        <v>30</v>
      </c>
      <c r="D49" s="47">
        <v>100</v>
      </c>
      <c r="E49" s="47" t="s">
        <v>90</v>
      </c>
      <c r="F49" s="47">
        <v>90</v>
      </c>
      <c r="G49" s="47" t="s">
        <v>379</v>
      </c>
      <c r="H49" s="47" t="s">
        <v>379</v>
      </c>
      <c r="I49" s="47" t="s">
        <v>379</v>
      </c>
      <c r="J49" s="48">
        <f t="shared" si="0"/>
        <v>100</v>
      </c>
    </row>
    <row r="50" spans="1:10" ht="21" customHeight="1" x14ac:dyDescent="0.15">
      <c r="A50" s="47">
        <v>41006049</v>
      </c>
      <c r="B50" s="47">
        <v>0</v>
      </c>
      <c r="C50" s="47">
        <v>29</v>
      </c>
      <c r="D50" s="47">
        <v>100</v>
      </c>
      <c r="E50" s="47" t="s">
        <v>90</v>
      </c>
      <c r="F50" s="47">
        <v>82</v>
      </c>
      <c r="G50" s="47" t="s">
        <v>379</v>
      </c>
      <c r="H50" s="47" t="s">
        <v>379</v>
      </c>
      <c r="I50" s="47" t="s">
        <v>379</v>
      </c>
      <c r="J50" s="48">
        <f t="shared" si="0"/>
        <v>100</v>
      </c>
    </row>
    <row r="51" spans="1:10" ht="21" customHeight="1" x14ac:dyDescent="0.15">
      <c r="A51" s="47">
        <v>41006050</v>
      </c>
      <c r="B51" s="47">
        <v>0</v>
      </c>
      <c r="C51" s="47">
        <v>28</v>
      </c>
      <c r="D51" s="47">
        <v>100</v>
      </c>
      <c r="E51" s="47" t="s">
        <v>90</v>
      </c>
      <c r="F51" s="47">
        <v>75</v>
      </c>
      <c r="G51" s="47" t="s">
        <v>379</v>
      </c>
      <c r="H51" s="47" t="s">
        <v>379</v>
      </c>
      <c r="I51" s="47" t="s">
        <v>379</v>
      </c>
      <c r="J51" s="48">
        <f t="shared" si="0"/>
        <v>100</v>
      </c>
    </row>
    <row r="52" spans="1:10" ht="21" customHeight="1" x14ac:dyDescent="0.15">
      <c r="A52" s="47">
        <v>41006051</v>
      </c>
      <c r="B52" s="47">
        <v>0</v>
      </c>
      <c r="C52" s="47">
        <v>10</v>
      </c>
      <c r="D52" s="47">
        <v>50</v>
      </c>
      <c r="E52" s="47" t="s">
        <v>90</v>
      </c>
      <c r="F52" s="47" t="s">
        <v>378</v>
      </c>
      <c r="G52" s="47" t="s">
        <v>379</v>
      </c>
      <c r="H52" s="47" t="s">
        <v>379</v>
      </c>
      <c r="I52" s="47" t="s">
        <v>379</v>
      </c>
      <c r="J52" s="48">
        <f t="shared" si="0"/>
        <v>50</v>
      </c>
    </row>
    <row r="53" spans="1:10" ht="21" customHeight="1" x14ac:dyDescent="0.15">
      <c r="A53" s="47">
        <v>41006052</v>
      </c>
      <c r="B53" s="47">
        <v>0</v>
      </c>
      <c r="C53" s="47">
        <v>9</v>
      </c>
      <c r="D53" s="47">
        <v>100</v>
      </c>
      <c r="E53" s="47" t="s">
        <v>90</v>
      </c>
      <c r="F53" s="47" t="s">
        <v>378</v>
      </c>
      <c r="G53" s="47" t="s">
        <v>379</v>
      </c>
      <c r="H53" s="47" t="s">
        <v>379</v>
      </c>
      <c r="I53" s="47" t="s">
        <v>379</v>
      </c>
      <c r="J53" s="48">
        <f t="shared" si="0"/>
        <v>100</v>
      </c>
    </row>
    <row r="54" spans="1:10" ht="21" customHeight="1" x14ac:dyDescent="0.15">
      <c r="A54" s="47">
        <v>41006053</v>
      </c>
      <c r="B54" s="47">
        <v>0</v>
      </c>
      <c r="C54" s="47">
        <v>11</v>
      </c>
      <c r="D54" s="47">
        <v>40</v>
      </c>
      <c r="E54" s="47">
        <v>75</v>
      </c>
      <c r="F54" s="47" t="s">
        <v>378</v>
      </c>
      <c r="G54" s="47">
        <v>2</v>
      </c>
      <c r="H54" s="47" t="s">
        <v>379</v>
      </c>
      <c r="I54" s="47" t="s">
        <v>379</v>
      </c>
      <c r="J54" s="48">
        <f t="shared" si="0"/>
        <v>40</v>
      </c>
    </row>
    <row r="55" spans="1:10" ht="21" customHeight="1" x14ac:dyDescent="0.15">
      <c r="A55" s="47">
        <v>41006054</v>
      </c>
      <c r="B55" s="47">
        <v>0</v>
      </c>
      <c r="C55" s="47">
        <v>20</v>
      </c>
      <c r="D55" s="47">
        <v>100</v>
      </c>
      <c r="E55" s="47">
        <v>30</v>
      </c>
      <c r="F55" s="47" t="s">
        <v>378</v>
      </c>
      <c r="G55" s="47">
        <v>1</v>
      </c>
      <c r="H55" s="47" t="s">
        <v>379</v>
      </c>
      <c r="I55" s="47" t="s">
        <v>379</v>
      </c>
      <c r="J55" s="48">
        <f t="shared" si="0"/>
        <v>100</v>
      </c>
    </row>
    <row r="56" spans="1:10" ht="21" customHeight="1" x14ac:dyDescent="0.15">
      <c r="A56" s="47">
        <v>41006055</v>
      </c>
      <c r="B56" s="47">
        <v>0</v>
      </c>
      <c r="C56" s="47">
        <v>17</v>
      </c>
      <c r="D56" s="47">
        <v>100</v>
      </c>
      <c r="E56" s="47">
        <v>30</v>
      </c>
      <c r="F56" s="47" t="s">
        <v>378</v>
      </c>
      <c r="G56" s="47" t="s">
        <v>379</v>
      </c>
      <c r="H56" s="47" t="s">
        <v>379</v>
      </c>
      <c r="I56" s="47" t="s">
        <v>379</v>
      </c>
      <c r="J56" s="48">
        <f t="shared" si="0"/>
        <v>100</v>
      </c>
    </row>
    <row r="57" spans="1:10" ht="21" customHeight="1" x14ac:dyDescent="0.15">
      <c r="A57" s="47">
        <v>41006056</v>
      </c>
      <c r="B57" s="47">
        <v>0</v>
      </c>
      <c r="C57" s="47">
        <v>18</v>
      </c>
      <c r="D57" s="47">
        <v>100</v>
      </c>
      <c r="E57" s="47">
        <v>20</v>
      </c>
      <c r="F57" s="47" t="s">
        <v>378</v>
      </c>
      <c r="G57" s="47" t="s">
        <v>379</v>
      </c>
      <c r="H57" s="47" t="s">
        <v>379</v>
      </c>
      <c r="I57" s="47" t="s">
        <v>379</v>
      </c>
      <c r="J57" s="48">
        <f t="shared" si="0"/>
        <v>100</v>
      </c>
    </row>
    <row r="58" spans="1:10" ht="21" customHeight="1" x14ac:dyDescent="0.15">
      <c r="A58" s="47">
        <v>41006057</v>
      </c>
      <c r="B58" s="47">
        <v>0</v>
      </c>
      <c r="C58" s="47">
        <v>19</v>
      </c>
      <c r="D58" s="47">
        <v>100</v>
      </c>
      <c r="E58" s="47">
        <v>10</v>
      </c>
      <c r="F58" s="47" t="s">
        <v>378</v>
      </c>
      <c r="G58" s="47" t="s">
        <v>379</v>
      </c>
      <c r="H58" s="47" t="s">
        <v>379</v>
      </c>
      <c r="I58" s="47" t="s">
        <v>379</v>
      </c>
      <c r="J58" s="48">
        <f t="shared" si="0"/>
        <v>100</v>
      </c>
    </row>
    <row r="59" spans="1:10" ht="21" customHeight="1" x14ac:dyDescent="0.15">
      <c r="A59" s="47">
        <v>41006058</v>
      </c>
      <c r="B59" s="47">
        <v>0</v>
      </c>
      <c r="C59" s="47">
        <v>12</v>
      </c>
      <c r="D59" s="47">
        <v>100</v>
      </c>
      <c r="E59" s="47" t="s">
        <v>90</v>
      </c>
      <c r="F59" s="47" t="s">
        <v>378</v>
      </c>
      <c r="G59" s="47" t="s">
        <v>379</v>
      </c>
      <c r="H59" s="47">
        <v>2</v>
      </c>
      <c r="I59" s="47" t="s">
        <v>379</v>
      </c>
      <c r="J59" s="48">
        <f t="shared" ref="J59:J67" si="1">D59</f>
        <v>100</v>
      </c>
    </row>
    <row r="60" spans="1:10" ht="21" customHeight="1" x14ac:dyDescent="0.15">
      <c r="A60" s="47">
        <v>41006059</v>
      </c>
      <c r="B60" s="47">
        <v>0</v>
      </c>
      <c r="C60" s="47">
        <v>13</v>
      </c>
      <c r="D60" s="47">
        <v>100</v>
      </c>
      <c r="E60" s="47" t="s">
        <v>90</v>
      </c>
      <c r="F60" s="47" t="s">
        <v>378</v>
      </c>
      <c r="G60" s="47" t="s">
        <v>379</v>
      </c>
      <c r="H60" s="47">
        <v>4</v>
      </c>
      <c r="I60" s="47" t="s">
        <v>379</v>
      </c>
      <c r="J60" s="48">
        <f t="shared" si="1"/>
        <v>100</v>
      </c>
    </row>
    <row r="61" spans="1:10" ht="21" customHeight="1" x14ac:dyDescent="0.15">
      <c r="A61" s="47">
        <v>41006060</v>
      </c>
      <c r="B61" s="47">
        <v>0</v>
      </c>
      <c r="C61" s="47">
        <v>28</v>
      </c>
      <c r="D61" s="47">
        <v>100</v>
      </c>
      <c r="E61" s="47" t="s">
        <v>90</v>
      </c>
      <c r="F61" s="47">
        <v>80</v>
      </c>
      <c r="G61" s="47">
        <v>1</v>
      </c>
      <c r="H61" s="47" t="s">
        <v>379</v>
      </c>
      <c r="I61" s="47" t="s">
        <v>379</v>
      </c>
      <c r="J61" s="48">
        <f t="shared" si="1"/>
        <v>100</v>
      </c>
    </row>
    <row r="62" spans="1:10" ht="21" customHeight="1" x14ac:dyDescent="0.15">
      <c r="A62" s="47">
        <v>41006061</v>
      </c>
      <c r="B62" s="47">
        <v>0</v>
      </c>
      <c r="C62" s="47">
        <v>15</v>
      </c>
      <c r="D62" s="47">
        <v>100</v>
      </c>
      <c r="E62" s="47" t="s">
        <v>90</v>
      </c>
      <c r="F62" s="47" t="s">
        <v>89</v>
      </c>
      <c r="G62" s="47">
        <v>3</v>
      </c>
      <c r="H62" s="47">
        <v>1</v>
      </c>
      <c r="I62" s="47" t="s">
        <v>379</v>
      </c>
      <c r="J62" s="48">
        <f t="shared" si="1"/>
        <v>100</v>
      </c>
    </row>
    <row r="63" spans="1:10" ht="21" customHeight="1" x14ac:dyDescent="0.15">
      <c r="A63" s="47">
        <v>41006062</v>
      </c>
      <c r="B63" s="47">
        <v>0</v>
      </c>
      <c r="C63" s="47">
        <v>10</v>
      </c>
      <c r="D63" s="47">
        <v>80</v>
      </c>
      <c r="E63" s="47" t="s">
        <v>90</v>
      </c>
      <c r="F63" s="47" t="s">
        <v>89</v>
      </c>
      <c r="G63" s="47" t="s">
        <v>379</v>
      </c>
      <c r="H63" s="47" t="s">
        <v>379</v>
      </c>
      <c r="I63" s="47" t="s">
        <v>379</v>
      </c>
      <c r="J63" s="48">
        <f t="shared" si="1"/>
        <v>80</v>
      </c>
    </row>
    <row r="64" spans="1:10" ht="21" customHeight="1" x14ac:dyDescent="0.15">
      <c r="A64" s="47">
        <v>41006063</v>
      </c>
      <c r="B64" s="47">
        <v>0</v>
      </c>
      <c r="C64" s="47">
        <v>20</v>
      </c>
      <c r="D64" s="47">
        <v>100</v>
      </c>
      <c r="E64" s="47" t="s">
        <v>53</v>
      </c>
      <c r="F64" s="47" t="s">
        <v>378</v>
      </c>
      <c r="G64" s="47">
        <v>1</v>
      </c>
      <c r="H64" s="47">
        <v>7</v>
      </c>
      <c r="I64" s="47" t="s">
        <v>379</v>
      </c>
      <c r="J64" s="48">
        <f t="shared" si="1"/>
        <v>100</v>
      </c>
    </row>
    <row r="65" spans="1:10" ht="21" customHeight="1" x14ac:dyDescent="0.15">
      <c r="A65" s="47">
        <v>41006064</v>
      </c>
      <c r="B65" s="47">
        <v>0</v>
      </c>
      <c r="C65" s="47">
        <v>12</v>
      </c>
      <c r="D65" s="47">
        <v>100</v>
      </c>
      <c r="E65" s="47" t="s">
        <v>53</v>
      </c>
      <c r="F65" s="47" t="s">
        <v>378</v>
      </c>
      <c r="G65" s="47">
        <v>2</v>
      </c>
      <c r="H65" s="47">
        <v>3</v>
      </c>
      <c r="I65" s="47" t="s">
        <v>379</v>
      </c>
      <c r="J65" s="48">
        <f t="shared" si="1"/>
        <v>100</v>
      </c>
    </row>
    <row r="66" spans="1:10" ht="21" customHeight="1" x14ac:dyDescent="0.15">
      <c r="A66" s="159">
        <v>41006065</v>
      </c>
      <c r="B66" s="47">
        <v>1</v>
      </c>
      <c r="C66" s="47">
        <v>11</v>
      </c>
      <c r="D66" s="47">
        <v>100</v>
      </c>
      <c r="E66" s="47" t="s">
        <v>90</v>
      </c>
      <c r="F66" s="47" t="s">
        <v>90</v>
      </c>
      <c r="G66" s="47">
        <v>1</v>
      </c>
      <c r="H66" s="47" t="s">
        <v>379</v>
      </c>
      <c r="I66" s="47">
        <v>819</v>
      </c>
      <c r="J66" s="48">
        <f t="shared" si="1"/>
        <v>100</v>
      </c>
    </row>
    <row r="67" spans="1:10" ht="21" customHeight="1" x14ac:dyDescent="0.15">
      <c r="A67" s="159">
        <v>41006066</v>
      </c>
      <c r="B67" s="47">
        <v>1</v>
      </c>
      <c r="C67" s="47">
        <v>10</v>
      </c>
      <c r="D67" s="47">
        <v>100</v>
      </c>
      <c r="E67" s="47" t="s">
        <v>90</v>
      </c>
      <c r="F67" s="47" t="s">
        <v>90</v>
      </c>
      <c r="G67" s="47">
        <v>1</v>
      </c>
      <c r="H67" s="47" t="s">
        <v>379</v>
      </c>
      <c r="I67" s="47">
        <v>468</v>
      </c>
      <c r="J67" s="48">
        <f t="shared" si="1"/>
        <v>100</v>
      </c>
    </row>
    <row r="68" spans="1:10" ht="21" customHeight="1" x14ac:dyDescent="0.15">
      <c r="A68" s="159">
        <v>41006067</v>
      </c>
      <c r="B68" s="47">
        <v>1</v>
      </c>
      <c r="C68" s="47">
        <v>9</v>
      </c>
      <c r="D68" s="47">
        <v>100</v>
      </c>
      <c r="E68" s="47" t="s">
        <v>90</v>
      </c>
      <c r="F68" s="47" t="s">
        <v>90</v>
      </c>
      <c r="G68" s="47">
        <v>1</v>
      </c>
      <c r="H68" s="47" t="s">
        <v>379</v>
      </c>
      <c r="I68" s="47">
        <v>467</v>
      </c>
      <c r="J68" s="48">
        <f t="shared" ref="J68:J76" si="2">D68</f>
        <v>100</v>
      </c>
    </row>
    <row r="69" spans="1:10" ht="21" customHeight="1" x14ac:dyDescent="0.15">
      <c r="A69" s="159">
        <v>41006068</v>
      </c>
      <c r="B69" s="47">
        <v>1</v>
      </c>
      <c r="C69" s="47">
        <v>8</v>
      </c>
      <c r="D69" s="47">
        <v>100</v>
      </c>
      <c r="E69" s="47" t="s">
        <v>90</v>
      </c>
      <c r="F69" s="47" t="s">
        <v>90</v>
      </c>
      <c r="G69" s="47">
        <v>1</v>
      </c>
      <c r="H69" s="47" t="s">
        <v>379</v>
      </c>
      <c r="I69" s="47">
        <v>839</v>
      </c>
      <c r="J69" s="48">
        <f t="shared" si="2"/>
        <v>100</v>
      </c>
    </row>
    <row r="70" spans="1:10" ht="21" customHeight="1" x14ac:dyDescent="0.15">
      <c r="A70" s="159">
        <v>41006069</v>
      </c>
      <c r="B70" s="47">
        <v>1</v>
      </c>
      <c r="C70" s="47">
        <v>7</v>
      </c>
      <c r="D70" s="47">
        <v>100</v>
      </c>
      <c r="E70" s="47" t="s">
        <v>90</v>
      </c>
      <c r="F70" s="47" t="s">
        <v>90</v>
      </c>
      <c r="G70" s="47">
        <v>1</v>
      </c>
      <c r="H70" s="47" t="s">
        <v>379</v>
      </c>
      <c r="I70" s="47">
        <v>466</v>
      </c>
      <c r="J70" s="48">
        <f t="shared" si="2"/>
        <v>100</v>
      </c>
    </row>
    <row r="71" spans="1:10" ht="21" customHeight="1" x14ac:dyDescent="0.15">
      <c r="A71" s="159">
        <v>41006070</v>
      </c>
      <c r="B71" s="47">
        <v>1</v>
      </c>
      <c r="C71" s="47">
        <v>6</v>
      </c>
      <c r="D71" s="47">
        <v>100</v>
      </c>
      <c r="E71" s="47" t="s">
        <v>90</v>
      </c>
      <c r="F71" s="47" t="s">
        <v>90</v>
      </c>
      <c r="G71" s="47">
        <v>1</v>
      </c>
      <c r="H71" s="47" t="s">
        <v>379</v>
      </c>
      <c r="I71" s="47">
        <v>465</v>
      </c>
      <c r="J71" s="48">
        <f t="shared" si="2"/>
        <v>100</v>
      </c>
    </row>
    <row r="72" spans="1:10" ht="21" customHeight="1" x14ac:dyDescent="0.15">
      <c r="A72" s="159">
        <v>41006071</v>
      </c>
      <c r="B72" s="47">
        <v>1</v>
      </c>
      <c r="C72" s="47">
        <v>5</v>
      </c>
      <c r="D72" s="47">
        <v>100</v>
      </c>
      <c r="E72" s="47" t="s">
        <v>90</v>
      </c>
      <c r="F72" s="47" t="s">
        <v>90</v>
      </c>
      <c r="G72" s="47">
        <v>1</v>
      </c>
      <c r="H72" s="47" t="s">
        <v>379</v>
      </c>
      <c r="I72" s="47">
        <v>961</v>
      </c>
      <c r="J72" s="48">
        <f t="shared" si="2"/>
        <v>100</v>
      </c>
    </row>
    <row r="73" spans="1:10" ht="21" customHeight="1" x14ac:dyDescent="0.15">
      <c r="A73" s="159">
        <v>41006072</v>
      </c>
      <c r="B73" s="47">
        <v>1</v>
      </c>
      <c r="C73" s="47">
        <v>4</v>
      </c>
      <c r="D73" s="47">
        <v>100</v>
      </c>
      <c r="E73" s="47" t="s">
        <v>90</v>
      </c>
      <c r="F73" s="47" t="s">
        <v>90</v>
      </c>
      <c r="G73" s="47">
        <v>1</v>
      </c>
      <c r="H73" s="47" t="s">
        <v>379</v>
      </c>
      <c r="I73" s="47">
        <v>769</v>
      </c>
      <c r="J73" s="48">
        <f t="shared" si="2"/>
        <v>100</v>
      </c>
    </row>
    <row r="74" spans="1:10" ht="21" customHeight="1" x14ac:dyDescent="0.15">
      <c r="A74" s="159">
        <v>41006073</v>
      </c>
      <c r="B74" s="47">
        <v>1</v>
      </c>
      <c r="C74" s="47">
        <v>3</v>
      </c>
      <c r="D74" s="47">
        <v>100</v>
      </c>
      <c r="E74" s="47" t="s">
        <v>90</v>
      </c>
      <c r="F74" s="47" t="s">
        <v>90</v>
      </c>
      <c r="G74" s="47">
        <v>1</v>
      </c>
      <c r="H74" s="47" t="s">
        <v>379</v>
      </c>
      <c r="I74" s="47">
        <v>768</v>
      </c>
      <c r="J74" s="48">
        <f t="shared" si="2"/>
        <v>100</v>
      </c>
    </row>
    <row r="75" spans="1:10" ht="21" customHeight="1" x14ac:dyDescent="0.15">
      <c r="A75" s="159">
        <v>41006074</v>
      </c>
      <c r="B75" s="47">
        <v>1</v>
      </c>
      <c r="C75" s="47">
        <v>2</v>
      </c>
      <c r="D75" s="47">
        <v>100</v>
      </c>
      <c r="E75" s="47" t="s">
        <v>90</v>
      </c>
      <c r="F75" s="47" t="s">
        <v>90</v>
      </c>
      <c r="G75" s="47">
        <v>1</v>
      </c>
      <c r="H75" s="47" t="s">
        <v>379</v>
      </c>
      <c r="I75" s="47">
        <v>765</v>
      </c>
      <c r="J75" s="48">
        <f t="shared" si="2"/>
        <v>100</v>
      </c>
    </row>
    <row r="76" spans="1:10" ht="21" customHeight="1" x14ac:dyDescent="0.15">
      <c r="A76" s="159">
        <v>41006075</v>
      </c>
      <c r="B76" s="47">
        <v>1</v>
      </c>
      <c r="C76" s="47">
        <v>1</v>
      </c>
      <c r="D76" s="47">
        <v>100</v>
      </c>
      <c r="E76" s="47" t="s">
        <v>90</v>
      </c>
      <c r="F76" s="47" t="s">
        <v>90</v>
      </c>
      <c r="G76" s="47">
        <v>1</v>
      </c>
      <c r="H76" s="47" t="s">
        <v>379</v>
      </c>
      <c r="I76" s="47">
        <v>764</v>
      </c>
      <c r="J76" s="48">
        <f t="shared" si="2"/>
        <v>100</v>
      </c>
    </row>
    <row r="77" spans="1:10" ht="21" customHeight="1" x14ac:dyDescent="0.15">
      <c r="A77" s="159">
        <v>41006076</v>
      </c>
      <c r="B77" s="47">
        <v>0</v>
      </c>
      <c r="C77" s="47">
        <v>3</v>
      </c>
      <c r="D77" s="47">
        <v>100</v>
      </c>
      <c r="E77" s="47" t="s">
        <v>53</v>
      </c>
      <c r="F77" s="47" t="s">
        <v>53</v>
      </c>
      <c r="G77" s="47">
        <v>0</v>
      </c>
      <c r="H77" s="47" t="s">
        <v>53</v>
      </c>
      <c r="I77" s="47">
        <v>819</v>
      </c>
      <c r="J77" s="48">
        <f t="shared" ref="J77" si="3">D77</f>
        <v>100</v>
      </c>
    </row>
    <row r="78" spans="1:10" ht="21" customHeight="1" x14ac:dyDescent="0.15">
      <c r="A78" s="159">
        <v>41006077</v>
      </c>
      <c r="B78" s="47">
        <v>0</v>
      </c>
      <c r="C78" s="47">
        <v>2</v>
      </c>
      <c r="D78" s="47">
        <v>100</v>
      </c>
      <c r="E78" s="47" t="s">
        <v>53</v>
      </c>
      <c r="F78" s="47" t="s">
        <v>53</v>
      </c>
      <c r="G78" s="47">
        <v>0</v>
      </c>
      <c r="H78" s="47" t="s">
        <v>53</v>
      </c>
      <c r="I78" s="47">
        <v>468</v>
      </c>
      <c r="J78" s="48">
        <f t="shared" ref="J78:J79" si="4">D78</f>
        <v>100</v>
      </c>
    </row>
    <row r="79" spans="1:10" ht="21" customHeight="1" x14ac:dyDescent="0.15">
      <c r="A79" s="159">
        <v>41006078</v>
      </c>
      <c r="B79" s="47">
        <v>0</v>
      </c>
      <c r="C79" s="47">
        <v>1</v>
      </c>
      <c r="D79" s="47">
        <v>100</v>
      </c>
      <c r="E79" s="47" t="s">
        <v>53</v>
      </c>
      <c r="F79" s="47" t="s">
        <v>53</v>
      </c>
      <c r="G79" s="47">
        <v>0</v>
      </c>
      <c r="H79" s="47" t="s">
        <v>53</v>
      </c>
      <c r="I79" s="47">
        <v>467</v>
      </c>
      <c r="J79" s="48">
        <f t="shared" si="4"/>
        <v>100</v>
      </c>
    </row>
  </sheetData>
  <autoFilter ref="A1:G1"/>
  <phoneticPr fontId="5"/>
  <conditionalFormatting sqref="K1:K58 K66:K76 K80:K1048576">
    <cfRule type="duplicateValues" dxfId="9" priority="10"/>
  </conditionalFormatting>
  <conditionalFormatting sqref="K59:K60">
    <cfRule type="duplicateValues" dxfId="8" priority="9"/>
  </conditionalFormatting>
  <conditionalFormatting sqref="K61">
    <cfRule type="duplicateValues" dxfId="7" priority="8"/>
  </conditionalFormatting>
  <conditionalFormatting sqref="K62">
    <cfRule type="duplicateValues" dxfId="6" priority="7"/>
  </conditionalFormatting>
  <conditionalFormatting sqref="K63">
    <cfRule type="duplicateValues" dxfId="5" priority="6"/>
  </conditionalFormatting>
  <conditionalFormatting sqref="K64">
    <cfRule type="duplicateValues" dxfId="4" priority="5"/>
  </conditionalFormatting>
  <conditionalFormatting sqref="K65">
    <cfRule type="duplicateValues" dxfId="3" priority="4"/>
  </conditionalFormatting>
  <conditionalFormatting sqref="K77">
    <cfRule type="duplicateValues" dxfId="2" priority="3"/>
  </conditionalFormatting>
  <conditionalFormatting sqref="K78">
    <cfRule type="duplicateValues" dxfId="1" priority="2"/>
  </conditionalFormatting>
  <conditionalFormatting sqref="K7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6"/>
  <sheetViews>
    <sheetView workbookViewId="0">
      <selection activeCell="L31" sqref="L3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1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v>41006</v>
      </c>
      <c r="B2" s="81">
        <v>1</v>
      </c>
      <c r="C2" s="70" t="str">
        <f>A2&amp; "_"&amp;B2</f>
        <v>41006_1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1">
        <v>1</v>
      </c>
      <c r="F2" s="81" t="s">
        <v>168</v>
      </c>
      <c r="G2" s="81">
        <v>40000</v>
      </c>
      <c r="H2" s="81" t="s">
        <v>214</v>
      </c>
      <c r="I2" s="81">
        <v>1</v>
      </c>
      <c r="J2" s="81">
        <v>1</v>
      </c>
      <c r="K2" s="81">
        <v>0</v>
      </c>
      <c r="L2" s="81">
        <v>0</v>
      </c>
      <c r="M2" s="81">
        <v>0</v>
      </c>
      <c r="N2" s="81">
        <v>0</v>
      </c>
      <c r="O2" s="81">
        <v>1</v>
      </c>
      <c r="P2" s="81">
        <v>150</v>
      </c>
      <c r="Q2" s="81" t="s">
        <v>169</v>
      </c>
      <c r="R2" s="81" t="s">
        <v>170</v>
      </c>
    </row>
    <row r="3" spans="1:18" x14ac:dyDescent="0.15">
      <c r="A3" s="57">
        <v>41006</v>
      </c>
      <c r="B3" s="81">
        <v>1</v>
      </c>
      <c r="C3" s="70" t="str">
        <f t="shared" ref="C3:C11" si="0">A3&amp; "_"&amp;B3</f>
        <v>41006_1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1">
        <v>2</v>
      </c>
      <c r="F3" s="81" t="s">
        <v>215</v>
      </c>
      <c r="G3" s="81">
        <v>30</v>
      </c>
      <c r="H3" s="81" t="s">
        <v>90</v>
      </c>
      <c r="I3" s="81">
        <v>1</v>
      </c>
      <c r="J3" s="81">
        <v>1</v>
      </c>
      <c r="K3" s="81">
        <v>0</v>
      </c>
      <c r="L3" s="81">
        <v>0</v>
      </c>
      <c r="M3" s="81">
        <v>0</v>
      </c>
      <c r="N3" s="81">
        <v>0</v>
      </c>
      <c r="O3" s="81">
        <v>1</v>
      </c>
      <c r="P3" s="81">
        <v>150</v>
      </c>
      <c r="Q3" s="81" t="s">
        <v>169</v>
      </c>
      <c r="R3" s="81" t="s">
        <v>170</v>
      </c>
    </row>
    <row r="4" spans="1:18" x14ac:dyDescent="0.15">
      <c r="A4" s="57">
        <v>41006</v>
      </c>
      <c r="B4" s="81">
        <v>1</v>
      </c>
      <c r="C4" s="70" t="str">
        <f t="shared" si="0"/>
        <v>41006_1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1">
        <v>3</v>
      </c>
      <c r="F4" s="81" t="s">
        <v>216</v>
      </c>
      <c r="G4" s="105">
        <v>333</v>
      </c>
      <c r="H4" s="81">
        <v>1</v>
      </c>
      <c r="I4" s="81">
        <v>1</v>
      </c>
      <c r="J4" s="81">
        <v>1</v>
      </c>
      <c r="K4" s="81">
        <v>0</v>
      </c>
      <c r="L4" s="81">
        <v>0</v>
      </c>
      <c r="M4" s="81">
        <v>0</v>
      </c>
      <c r="N4" s="81">
        <v>0</v>
      </c>
      <c r="O4" s="81">
        <v>1</v>
      </c>
      <c r="P4" s="81">
        <v>28</v>
      </c>
      <c r="Q4" s="81" t="s">
        <v>169</v>
      </c>
      <c r="R4" s="81" t="s">
        <v>170</v>
      </c>
    </row>
    <row r="5" spans="1:18" x14ac:dyDescent="0.15">
      <c r="A5" s="57">
        <v>41006</v>
      </c>
      <c r="B5" s="81">
        <v>1</v>
      </c>
      <c r="C5" s="70" t="str">
        <f t="shared" si="0"/>
        <v>41006_1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1">
        <v>4</v>
      </c>
      <c r="F5" s="81" t="s">
        <v>216</v>
      </c>
      <c r="G5" s="105">
        <v>334</v>
      </c>
      <c r="H5" s="81">
        <v>1</v>
      </c>
      <c r="I5" s="81">
        <v>1</v>
      </c>
      <c r="J5" s="81">
        <v>1</v>
      </c>
      <c r="K5" s="81">
        <v>0</v>
      </c>
      <c r="L5" s="81">
        <v>0</v>
      </c>
      <c r="M5" s="81">
        <v>0</v>
      </c>
      <c r="N5" s="81">
        <v>0</v>
      </c>
      <c r="O5" s="81">
        <v>1</v>
      </c>
      <c r="P5" s="81">
        <v>112</v>
      </c>
      <c r="Q5" s="81" t="s">
        <v>169</v>
      </c>
      <c r="R5" s="81" t="s">
        <v>170</v>
      </c>
    </row>
    <row r="6" spans="1:18" x14ac:dyDescent="0.15">
      <c r="A6" s="57">
        <v>41006</v>
      </c>
      <c r="B6" s="81">
        <v>1</v>
      </c>
      <c r="C6" s="70" t="str">
        <f t="shared" si="0"/>
        <v>41006_1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1">
        <v>5</v>
      </c>
      <c r="F6" s="81" t="s">
        <v>216</v>
      </c>
      <c r="G6" s="81">
        <v>121</v>
      </c>
      <c r="H6" s="81">
        <v>1</v>
      </c>
      <c r="I6" s="81">
        <v>1</v>
      </c>
      <c r="J6" s="81">
        <v>1</v>
      </c>
      <c r="K6" s="81">
        <v>0</v>
      </c>
      <c r="L6" s="81">
        <v>0</v>
      </c>
      <c r="M6" s="81">
        <v>0</v>
      </c>
      <c r="N6" s="81">
        <v>0</v>
      </c>
      <c r="O6" s="81">
        <v>1</v>
      </c>
      <c r="P6" s="81">
        <v>100</v>
      </c>
      <c r="Q6" s="81" t="s">
        <v>169</v>
      </c>
      <c r="R6" s="81" t="s">
        <v>170</v>
      </c>
    </row>
    <row r="7" spans="1:18" x14ac:dyDescent="0.15">
      <c r="A7" s="57">
        <v>41006</v>
      </c>
      <c r="B7" s="81">
        <v>1</v>
      </c>
      <c r="C7" s="70" t="str">
        <f t="shared" si="0"/>
        <v>41006_1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1">
        <v>6</v>
      </c>
      <c r="F7" s="81" t="s">
        <v>216</v>
      </c>
      <c r="G7" s="81">
        <v>122</v>
      </c>
      <c r="H7" s="81">
        <v>1</v>
      </c>
      <c r="I7" s="81">
        <v>1</v>
      </c>
      <c r="J7" s="81">
        <v>1</v>
      </c>
      <c r="K7" s="81">
        <v>0</v>
      </c>
      <c r="L7" s="81">
        <v>0</v>
      </c>
      <c r="M7" s="81">
        <v>0</v>
      </c>
      <c r="N7" s="81">
        <v>0</v>
      </c>
      <c r="O7" s="81">
        <v>1</v>
      </c>
      <c r="P7" s="81">
        <v>100</v>
      </c>
      <c r="Q7" s="81" t="s">
        <v>169</v>
      </c>
      <c r="R7" s="81" t="s">
        <v>170</v>
      </c>
    </row>
    <row r="8" spans="1:18" x14ac:dyDescent="0.15">
      <c r="A8" s="57">
        <v>41006</v>
      </c>
      <c r="B8" s="81">
        <v>1</v>
      </c>
      <c r="C8" s="70" t="str">
        <f t="shared" si="0"/>
        <v>41006_1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1">
        <v>7</v>
      </c>
      <c r="F8" s="81" t="s">
        <v>216</v>
      </c>
      <c r="G8" s="81">
        <v>123</v>
      </c>
      <c r="H8" s="81">
        <v>1</v>
      </c>
      <c r="I8" s="81">
        <v>1</v>
      </c>
      <c r="J8" s="81">
        <v>1</v>
      </c>
      <c r="K8" s="81">
        <v>0</v>
      </c>
      <c r="L8" s="81">
        <v>0</v>
      </c>
      <c r="M8" s="81">
        <v>0</v>
      </c>
      <c r="N8" s="81">
        <v>0</v>
      </c>
      <c r="O8" s="81">
        <v>1</v>
      </c>
      <c r="P8" s="81">
        <v>100</v>
      </c>
      <c r="Q8" s="81" t="s">
        <v>169</v>
      </c>
      <c r="R8" s="81" t="s">
        <v>170</v>
      </c>
    </row>
    <row r="9" spans="1:18" x14ac:dyDescent="0.15">
      <c r="A9" s="57">
        <v>41006</v>
      </c>
      <c r="B9" s="81">
        <v>1</v>
      </c>
      <c r="C9" s="70" t="str">
        <f t="shared" si="0"/>
        <v>41006_1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1">
        <v>8</v>
      </c>
      <c r="F9" s="81" t="s">
        <v>216</v>
      </c>
      <c r="G9" s="81">
        <v>125</v>
      </c>
      <c r="H9" s="81">
        <v>1</v>
      </c>
      <c r="I9" s="81">
        <v>1</v>
      </c>
      <c r="J9" s="81">
        <v>1</v>
      </c>
      <c r="K9" s="81">
        <v>0</v>
      </c>
      <c r="L9" s="81">
        <v>0</v>
      </c>
      <c r="M9" s="81">
        <v>0</v>
      </c>
      <c r="N9" s="81">
        <v>0</v>
      </c>
      <c r="O9" s="81">
        <v>1</v>
      </c>
      <c r="P9" s="81">
        <v>10</v>
      </c>
      <c r="Q9" s="81" t="s">
        <v>169</v>
      </c>
      <c r="R9" s="81" t="s">
        <v>170</v>
      </c>
    </row>
    <row r="10" spans="1:18" x14ac:dyDescent="0.15">
      <c r="A10" s="57">
        <v>41006</v>
      </c>
      <c r="B10" s="81">
        <v>1</v>
      </c>
      <c r="C10" s="70" t="str">
        <f t="shared" si="0"/>
        <v>41006_1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1">
        <v>9</v>
      </c>
      <c r="F10" s="81" t="s">
        <v>216</v>
      </c>
      <c r="G10" s="105">
        <v>472</v>
      </c>
      <c r="H10" s="81">
        <v>1</v>
      </c>
      <c r="I10" s="81">
        <v>1</v>
      </c>
      <c r="J10" s="81">
        <v>1</v>
      </c>
      <c r="K10" s="81">
        <v>0</v>
      </c>
      <c r="L10" s="81">
        <v>0</v>
      </c>
      <c r="M10" s="81">
        <v>0</v>
      </c>
      <c r="N10" s="81">
        <v>0</v>
      </c>
      <c r="O10" s="81">
        <v>1</v>
      </c>
      <c r="P10" s="81">
        <v>100</v>
      </c>
      <c r="Q10" s="81" t="s">
        <v>169</v>
      </c>
      <c r="R10" s="81" t="s">
        <v>170</v>
      </c>
    </row>
    <row r="11" spans="1:18" ht="16" thickBot="1" x14ac:dyDescent="0.2">
      <c r="A11" s="101">
        <v>41006</v>
      </c>
      <c r="B11" s="102">
        <v>1</v>
      </c>
      <c r="C11" s="103" t="str">
        <f t="shared" si="0"/>
        <v>41006_1</v>
      </c>
      <c r="D11" s="104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02">
        <v>10</v>
      </c>
      <c r="F11" s="102" t="s">
        <v>216</v>
      </c>
      <c r="G11" s="106">
        <v>348</v>
      </c>
      <c r="H11" s="102">
        <v>1</v>
      </c>
      <c r="I11" s="102">
        <v>1</v>
      </c>
      <c r="J11" s="102">
        <v>1</v>
      </c>
      <c r="K11" s="102">
        <v>0</v>
      </c>
      <c r="L11" s="102">
        <v>0</v>
      </c>
      <c r="M11" s="102">
        <v>0</v>
      </c>
      <c r="N11" s="102">
        <v>0</v>
      </c>
      <c r="O11" s="102">
        <v>1</v>
      </c>
      <c r="P11" s="102">
        <v>150</v>
      </c>
      <c r="Q11" s="102" t="s">
        <v>169</v>
      </c>
      <c r="R11" s="102" t="s">
        <v>170</v>
      </c>
    </row>
    <row r="12" spans="1:18" x14ac:dyDescent="0.15">
      <c r="A12" s="57">
        <v>41006</v>
      </c>
      <c r="B12" s="81">
        <v>2</v>
      </c>
      <c r="C12" s="70" t="str">
        <f t="shared" ref="C12:C18" si="1">A12&amp; "_"&amp;B12</f>
        <v>41006_2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1">
        <v>1</v>
      </c>
      <c r="F12" s="81" t="s">
        <v>510</v>
      </c>
      <c r="G12" s="81">
        <v>334</v>
      </c>
      <c r="H12" s="81">
        <v>1</v>
      </c>
      <c r="I12" s="81">
        <v>1</v>
      </c>
      <c r="J12" s="81">
        <v>1</v>
      </c>
      <c r="K12" s="81">
        <v>0</v>
      </c>
      <c r="L12" s="81">
        <v>0</v>
      </c>
      <c r="M12" s="81">
        <v>0</v>
      </c>
      <c r="N12" s="81">
        <v>0</v>
      </c>
      <c r="O12" s="81">
        <v>1</v>
      </c>
      <c r="P12" s="81">
        <v>50</v>
      </c>
      <c r="Q12" s="81" t="s">
        <v>169</v>
      </c>
      <c r="R12" s="81" t="s">
        <v>170</v>
      </c>
    </row>
    <row r="13" spans="1:18" x14ac:dyDescent="0.15">
      <c r="A13" s="57">
        <v>41006</v>
      </c>
      <c r="B13" s="81">
        <v>2</v>
      </c>
      <c r="C13" s="70" t="str">
        <f t="shared" si="1"/>
        <v>41006_2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1">
        <v>2</v>
      </c>
      <c r="F13" s="81" t="s">
        <v>511</v>
      </c>
      <c r="G13" s="166">
        <v>348</v>
      </c>
      <c r="H13" s="81">
        <v>1</v>
      </c>
      <c r="I13" s="81">
        <v>1</v>
      </c>
      <c r="J13" s="81">
        <v>1</v>
      </c>
      <c r="K13" s="81">
        <v>0</v>
      </c>
      <c r="L13" s="81">
        <v>0</v>
      </c>
      <c r="M13" s="81">
        <v>0</v>
      </c>
      <c r="N13" s="81">
        <v>0</v>
      </c>
      <c r="O13" s="81">
        <v>1</v>
      </c>
      <c r="P13" s="81">
        <v>120</v>
      </c>
      <c r="Q13" s="81" t="s">
        <v>169</v>
      </c>
      <c r="R13" s="81" t="s">
        <v>170</v>
      </c>
    </row>
    <row r="14" spans="1:18" x14ac:dyDescent="0.15">
      <c r="A14" s="57">
        <v>41006</v>
      </c>
      <c r="B14" s="81">
        <v>2</v>
      </c>
      <c r="C14" s="70" t="str">
        <f t="shared" si="1"/>
        <v>41006_2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1">
        <v>3</v>
      </c>
      <c r="F14" s="81" t="s">
        <v>511</v>
      </c>
      <c r="G14" s="81">
        <v>607</v>
      </c>
      <c r="H14" s="81">
        <v>1</v>
      </c>
      <c r="I14" s="81">
        <v>1</v>
      </c>
      <c r="J14" s="81">
        <v>1</v>
      </c>
      <c r="K14" s="81">
        <v>0</v>
      </c>
      <c r="L14" s="81">
        <v>0</v>
      </c>
      <c r="M14" s="81">
        <v>0</v>
      </c>
      <c r="N14" s="81">
        <v>0</v>
      </c>
      <c r="O14" s="81">
        <v>1</v>
      </c>
      <c r="P14" s="81">
        <v>100</v>
      </c>
      <c r="Q14" s="81" t="s">
        <v>169</v>
      </c>
      <c r="R14" s="81" t="s">
        <v>170</v>
      </c>
    </row>
    <row r="15" spans="1:18" x14ac:dyDescent="0.15">
      <c r="A15" s="57">
        <v>41006</v>
      </c>
      <c r="B15" s="81">
        <v>2</v>
      </c>
      <c r="C15" s="70" t="str">
        <f t="shared" si="1"/>
        <v>41006_2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1">
        <v>4</v>
      </c>
      <c r="F15" s="81" t="s">
        <v>511</v>
      </c>
      <c r="G15" s="81">
        <v>608</v>
      </c>
      <c r="H15" s="81">
        <v>1</v>
      </c>
      <c r="I15" s="81">
        <v>1</v>
      </c>
      <c r="J15" s="81">
        <v>1</v>
      </c>
      <c r="K15" s="81">
        <v>0</v>
      </c>
      <c r="L15" s="81">
        <v>0</v>
      </c>
      <c r="M15" s="81">
        <v>0</v>
      </c>
      <c r="N15" s="81">
        <v>0</v>
      </c>
      <c r="O15" s="81">
        <v>1</v>
      </c>
      <c r="P15" s="81">
        <v>100</v>
      </c>
      <c r="Q15" s="81" t="s">
        <v>169</v>
      </c>
      <c r="R15" s="81" t="s">
        <v>170</v>
      </c>
    </row>
    <row r="16" spans="1:18" x14ac:dyDescent="0.15">
      <c r="A16" s="57">
        <v>41006</v>
      </c>
      <c r="B16" s="81">
        <v>2</v>
      </c>
      <c r="C16" s="70" t="str">
        <f t="shared" si="1"/>
        <v>41006_2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1">
        <v>5</v>
      </c>
      <c r="F16" s="81" t="s">
        <v>511</v>
      </c>
      <c r="G16" s="81">
        <v>609</v>
      </c>
      <c r="H16" s="81">
        <v>1</v>
      </c>
      <c r="I16" s="81">
        <v>1</v>
      </c>
      <c r="J16" s="81">
        <v>1</v>
      </c>
      <c r="K16" s="81">
        <v>0</v>
      </c>
      <c r="L16" s="81">
        <v>0</v>
      </c>
      <c r="M16" s="81">
        <v>0</v>
      </c>
      <c r="N16" s="81">
        <v>0</v>
      </c>
      <c r="O16" s="81">
        <v>1</v>
      </c>
      <c r="P16" s="81">
        <v>100</v>
      </c>
      <c r="Q16" s="81" t="s">
        <v>169</v>
      </c>
      <c r="R16" s="81" t="s">
        <v>170</v>
      </c>
    </row>
    <row r="17" spans="1:18" x14ac:dyDescent="0.15">
      <c r="A17" s="57">
        <v>41006</v>
      </c>
      <c r="B17" s="81">
        <v>2</v>
      </c>
      <c r="C17" s="70" t="str">
        <f t="shared" si="1"/>
        <v>41006_2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1">
        <v>6</v>
      </c>
      <c r="F17" s="81" t="s">
        <v>511</v>
      </c>
      <c r="G17" s="81">
        <v>125</v>
      </c>
      <c r="H17" s="81">
        <v>1</v>
      </c>
      <c r="I17" s="81">
        <v>1</v>
      </c>
      <c r="J17" s="81">
        <v>1</v>
      </c>
      <c r="K17" s="81">
        <v>0</v>
      </c>
      <c r="L17" s="81">
        <v>0</v>
      </c>
      <c r="M17" s="81">
        <v>0</v>
      </c>
      <c r="N17" s="81">
        <v>0</v>
      </c>
      <c r="O17" s="81">
        <v>1</v>
      </c>
      <c r="P17" s="81">
        <v>30</v>
      </c>
      <c r="Q17" s="81" t="s">
        <v>169</v>
      </c>
      <c r="R17" s="81" t="s">
        <v>170</v>
      </c>
    </row>
    <row r="18" spans="1:18" ht="16" thickBot="1" x14ac:dyDescent="0.2">
      <c r="A18" s="57">
        <v>41006</v>
      </c>
      <c r="B18" s="81">
        <v>2</v>
      </c>
      <c r="C18" s="70" t="str">
        <f t="shared" si="1"/>
        <v>41006_2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02">
        <v>7</v>
      </c>
      <c r="F18" s="102" t="s">
        <v>511</v>
      </c>
      <c r="G18" s="167">
        <v>472</v>
      </c>
      <c r="H18" s="102">
        <v>1</v>
      </c>
      <c r="I18" s="102">
        <v>1</v>
      </c>
      <c r="J18" s="102">
        <v>1</v>
      </c>
      <c r="K18" s="102">
        <v>0</v>
      </c>
      <c r="L18" s="102">
        <v>0</v>
      </c>
      <c r="M18" s="102">
        <v>0</v>
      </c>
      <c r="N18" s="102">
        <v>0</v>
      </c>
      <c r="O18" s="102">
        <v>1</v>
      </c>
      <c r="P18" s="102">
        <v>500</v>
      </c>
      <c r="Q18" s="102" t="s">
        <v>169</v>
      </c>
      <c r="R18" s="102" t="s">
        <v>170</v>
      </c>
    </row>
    <row r="19" spans="1:18" x14ac:dyDescent="0.15">
      <c r="A19" s="57">
        <v>41006</v>
      </c>
      <c r="B19" s="81">
        <v>3</v>
      </c>
      <c r="C19" s="70" t="str">
        <f>A19&amp; "_"&amp;B19</f>
        <v>41006_3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81">
        <v>1</v>
      </c>
      <c r="F19" s="81" t="s">
        <v>168</v>
      </c>
      <c r="G19" s="81">
        <v>40000</v>
      </c>
      <c r="H19" s="81" t="s">
        <v>53</v>
      </c>
      <c r="I19" s="81">
        <v>1</v>
      </c>
      <c r="J19" s="81">
        <v>1</v>
      </c>
      <c r="K19" s="81">
        <v>0</v>
      </c>
      <c r="L19" s="81">
        <v>0</v>
      </c>
      <c r="M19" s="81">
        <v>0</v>
      </c>
      <c r="N19" s="81">
        <v>0</v>
      </c>
      <c r="O19" s="81">
        <v>1</v>
      </c>
      <c r="P19" s="81">
        <v>150</v>
      </c>
      <c r="Q19" s="81" t="s">
        <v>169</v>
      </c>
      <c r="R19" s="81" t="s">
        <v>170</v>
      </c>
    </row>
    <row r="20" spans="1:18" x14ac:dyDescent="0.15">
      <c r="A20" s="57">
        <v>41006</v>
      </c>
      <c r="B20" s="81">
        <v>3</v>
      </c>
      <c r="C20" s="70" t="str">
        <f t="shared" ref="C20:C26" si="2">A20&amp; "_"&amp;B20</f>
        <v>41006_3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1">
        <v>2</v>
      </c>
      <c r="F20" s="81" t="s">
        <v>510</v>
      </c>
      <c r="G20" s="81">
        <v>334</v>
      </c>
      <c r="H20" s="81">
        <v>1</v>
      </c>
      <c r="I20" s="81">
        <v>1</v>
      </c>
      <c r="J20" s="81">
        <v>1</v>
      </c>
      <c r="K20" s="81">
        <v>0</v>
      </c>
      <c r="L20" s="81">
        <v>0</v>
      </c>
      <c r="M20" s="81">
        <v>0</v>
      </c>
      <c r="N20" s="81">
        <v>0</v>
      </c>
      <c r="O20" s="81">
        <v>1</v>
      </c>
      <c r="P20" s="81">
        <v>150</v>
      </c>
      <c r="Q20" s="81" t="s">
        <v>169</v>
      </c>
      <c r="R20" s="81" t="s">
        <v>170</v>
      </c>
    </row>
    <row r="21" spans="1:18" x14ac:dyDescent="0.15">
      <c r="A21" s="57">
        <v>41006</v>
      </c>
      <c r="B21" s="81">
        <v>3</v>
      </c>
      <c r="C21" s="70" t="str">
        <f t="shared" si="2"/>
        <v>41006_3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1">
        <v>3</v>
      </c>
      <c r="F21" s="81" t="s">
        <v>510</v>
      </c>
      <c r="G21" s="166">
        <v>348</v>
      </c>
      <c r="H21" s="81">
        <v>1</v>
      </c>
      <c r="I21" s="81">
        <v>1</v>
      </c>
      <c r="J21" s="81">
        <v>1</v>
      </c>
      <c r="K21" s="81">
        <v>0</v>
      </c>
      <c r="L21" s="81">
        <v>0</v>
      </c>
      <c r="M21" s="81">
        <v>0</v>
      </c>
      <c r="N21" s="81">
        <v>0</v>
      </c>
      <c r="O21" s="81">
        <v>1</v>
      </c>
      <c r="P21" s="81">
        <v>120</v>
      </c>
      <c r="Q21" s="81" t="s">
        <v>169</v>
      </c>
      <c r="R21" s="81" t="s">
        <v>170</v>
      </c>
    </row>
    <row r="22" spans="1:18" x14ac:dyDescent="0.15">
      <c r="A22" s="57">
        <v>41006</v>
      </c>
      <c r="B22" s="81">
        <v>3</v>
      </c>
      <c r="C22" s="70" t="str">
        <f t="shared" si="2"/>
        <v>41006_3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81">
        <v>4</v>
      </c>
      <c r="F22" s="81" t="s">
        <v>510</v>
      </c>
      <c r="G22" s="81">
        <v>607</v>
      </c>
      <c r="H22" s="81">
        <v>1</v>
      </c>
      <c r="I22" s="81">
        <v>1</v>
      </c>
      <c r="J22" s="81">
        <v>1</v>
      </c>
      <c r="K22" s="81">
        <v>0</v>
      </c>
      <c r="L22" s="81">
        <v>0</v>
      </c>
      <c r="M22" s="81">
        <v>0</v>
      </c>
      <c r="N22" s="81">
        <v>0</v>
      </c>
      <c r="O22" s="81">
        <v>1</v>
      </c>
      <c r="P22" s="81">
        <v>100</v>
      </c>
      <c r="Q22" s="81" t="s">
        <v>169</v>
      </c>
      <c r="R22" s="81" t="s">
        <v>170</v>
      </c>
    </row>
    <row r="23" spans="1:18" x14ac:dyDescent="0.15">
      <c r="A23" s="57">
        <v>41006</v>
      </c>
      <c r="B23" s="81">
        <v>3</v>
      </c>
      <c r="C23" s="70" t="str">
        <f t="shared" si="2"/>
        <v>41006_3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81">
        <v>5</v>
      </c>
      <c r="F23" s="81" t="s">
        <v>510</v>
      </c>
      <c r="G23" s="81">
        <v>608</v>
      </c>
      <c r="H23" s="81">
        <v>1</v>
      </c>
      <c r="I23" s="81">
        <v>1</v>
      </c>
      <c r="J23" s="81">
        <v>1</v>
      </c>
      <c r="K23" s="81">
        <v>0</v>
      </c>
      <c r="L23" s="81">
        <v>0</v>
      </c>
      <c r="M23" s="81">
        <v>0</v>
      </c>
      <c r="N23" s="81">
        <v>0</v>
      </c>
      <c r="O23" s="81">
        <v>1</v>
      </c>
      <c r="P23" s="81">
        <v>100</v>
      </c>
      <c r="Q23" s="81" t="s">
        <v>169</v>
      </c>
      <c r="R23" s="81" t="s">
        <v>170</v>
      </c>
    </row>
    <row r="24" spans="1:18" x14ac:dyDescent="0.15">
      <c r="A24" s="57">
        <v>41006</v>
      </c>
      <c r="B24" s="81">
        <v>3</v>
      </c>
      <c r="C24" s="70" t="str">
        <f t="shared" si="2"/>
        <v>41006_3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1">
        <v>6</v>
      </c>
      <c r="F24" s="81" t="s">
        <v>510</v>
      </c>
      <c r="G24" s="81">
        <v>609</v>
      </c>
      <c r="H24" s="81">
        <v>1</v>
      </c>
      <c r="I24" s="81">
        <v>1</v>
      </c>
      <c r="J24" s="81">
        <v>1</v>
      </c>
      <c r="K24" s="81">
        <v>0</v>
      </c>
      <c r="L24" s="81">
        <v>0</v>
      </c>
      <c r="M24" s="81">
        <v>0</v>
      </c>
      <c r="N24" s="81">
        <v>0</v>
      </c>
      <c r="O24" s="81">
        <v>1</v>
      </c>
      <c r="P24" s="81">
        <v>100</v>
      </c>
      <c r="Q24" s="81" t="s">
        <v>169</v>
      </c>
      <c r="R24" s="81" t="s">
        <v>170</v>
      </c>
    </row>
    <row r="25" spans="1:18" x14ac:dyDescent="0.15">
      <c r="A25" s="57">
        <v>41006</v>
      </c>
      <c r="B25" s="81">
        <v>3</v>
      </c>
      <c r="C25" s="70" t="str">
        <f t="shared" si="2"/>
        <v>41006_3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1">
        <v>7</v>
      </c>
      <c r="F25" s="81" t="s">
        <v>510</v>
      </c>
      <c r="G25" s="81">
        <v>125</v>
      </c>
      <c r="H25" s="81">
        <v>1</v>
      </c>
      <c r="I25" s="81">
        <v>1</v>
      </c>
      <c r="J25" s="81">
        <v>1</v>
      </c>
      <c r="K25" s="81">
        <v>0</v>
      </c>
      <c r="L25" s="81">
        <v>0</v>
      </c>
      <c r="M25" s="81">
        <v>0</v>
      </c>
      <c r="N25" s="81">
        <v>0</v>
      </c>
      <c r="O25" s="81">
        <v>1</v>
      </c>
      <c r="P25" s="81">
        <v>30</v>
      </c>
      <c r="Q25" s="81" t="s">
        <v>169</v>
      </c>
      <c r="R25" s="81" t="s">
        <v>170</v>
      </c>
    </row>
    <row r="26" spans="1:18" ht="16" thickBot="1" x14ac:dyDescent="0.2">
      <c r="A26" s="57">
        <v>41006</v>
      </c>
      <c r="B26" s="81">
        <v>3</v>
      </c>
      <c r="C26" s="70" t="str">
        <f t="shared" si="2"/>
        <v>41006_3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1">
        <v>8</v>
      </c>
      <c r="F26" s="102" t="s">
        <v>510</v>
      </c>
      <c r="G26" s="167">
        <v>472</v>
      </c>
      <c r="H26" s="102">
        <v>1</v>
      </c>
      <c r="I26" s="102">
        <v>1</v>
      </c>
      <c r="J26" s="102">
        <v>1</v>
      </c>
      <c r="K26" s="102">
        <v>0</v>
      </c>
      <c r="L26" s="102">
        <v>0</v>
      </c>
      <c r="M26" s="102">
        <v>0</v>
      </c>
      <c r="N26" s="102">
        <v>0</v>
      </c>
      <c r="O26" s="102">
        <v>1</v>
      </c>
      <c r="P26" s="102">
        <v>250</v>
      </c>
      <c r="Q26" s="81" t="s">
        <v>169</v>
      </c>
      <c r="R26" s="81" t="s">
        <v>170</v>
      </c>
    </row>
  </sheetData>
  <phoneticPr fontId="5"/>
  <dataValidations count="1">
    <dataValidation type="list" allowBlank="1" showInputMessage="1" showErrorMessage="1" sqref="F2:F2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2" activePane="bottomLeft" state="frozen"/>
      <selection pane="bottomLeft" activeCell="P25" sqref="P25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187</v>
      </c>
      <c r="B1" s="72" t="s">
        <v>188</v>
      </c>
      <c r="C1" s="77" t="s">
        <v>189</v>
      </c>
      <c r="D1" s="77" t="s">
        <v>33</v>
      </c>
      <c r="E1" s="72" t="s">
        <v>190</v>
      </c>
      <c r="F1" s="77" t="s">
        <v>191</v>
      </c>
      <c r="G1" s="77" t="s">
        <v>33</v>
      </c>
      <c r="H1" s="72" t="s">
        <v>192</v>
      </c>
      <c r="I1" s="91" t="s">
        <v>194</v>
      </c>
      <c r="J1" s="79" t="s">
        <v>127</v>
      </c>
      <c r="K1" s="78" t="s">
        <v>186</v>
      </c>
      <c r="L1" s="92" t="s">
        <v>185</v>
      </c>
      <c r="M1" s="80" t="s">
        <v>195</v>
      </c>
    </row>
    <row r="2" spans="1:13" x14ac:dyDescent="0.15">
      <c r="A2" s="81" t="s">
        <v>200</v>
      </c>
      <c r="B2" s="82">
        <f>floors!$C$10</f>
        <v>41006</v>
      </c>
      <c r="C2" s="83" t="str">
        <f ca="1">VLOOKUP($B2,OFFSET([2]quests!$A$1,0,0,COUNTA([2]quests!$A:$A),MATCH(C$1,[2]quests!$1:$1,0)-MATCH($B$1,[2]quests!$1:$1,0)+1),MATCH(C$1,[2]quests!$1:$1,0)-MATCH($B$1,[2]quests!$1:$1,0)+1,FALSE)</f>
        <v>アーサー襲来！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降臨1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【超絶級】アーサー襲来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5">
        <v>0</v>
      </c>
      <c r="I2">
        <v>12</v>
      </c>
      <c r="J2" s="84" t="s">
        <v>197</v>
      </c>
      <c r="K2" s="93" t="str">
        <f>VLOOKUP(I2,[6]stage_hints!$A:$C,3,FALSE)</f>
        <v>ユニットのお気に入り登録</v>
      </c>
      <c r="L2" s="94" t="str">
        <f>VLOOKUP(I2,[6]stage_hints!$A:$D,4,FALSE)</f>
        <v>大事なユニットを誤って消さないように_x000D_フォルダから「お気に入り登録」しましょう</v>
      </c>
      <c r="M2" s="57" t="s">
        <v>210</v>
      </c>
    </row>
    <row r="3" spans="1:13" x14ac:dyDescent="0.15">
      <c r="A3" s="81" t="s">
        <v>200</v>
      </c>
      <c r="B3" s="82">
        <f>floors!$C$10</f>
        <v>41006</v>
      </c>
      <c r="C3" s="83" t="str">
        <f ca="1">VLOOKUP($B3,OFFSET([2]quests!$A$1,0,0,COUNTA([2]quests!$A:$A),MATCH(C$1,[2]quests!$1:$1,0)-MATCH($B$1,[2]quests!$1:$1,0)+1),MATCH(C$1,[2]quests!$1:$1,0)-MATCH($B$1,[2]quests!$1:$1,0)+1,FALSE)</f>
        <v>アーサー襲来！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降臨1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【超絶級】アーサー襲来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5">
        <v>0</v>
      </c>
      <c r="I3">
        <v>17</v>
      </c>
      <c r="J3" s="84" t="s">
        <v>197</v>
      </c>
      <c r="K3" s="93" t="str">
        <f>VLOOKUP(I3,[6]stage_hints!$A:$C,3,FALSE)</f>
        <v>リンクガチャ</v>
      </c>
      <c r="L3" s="94" t="str">
        <f>VLOOKUP(I3,[6]stage_hints!$A:$D,4,FALSE)</f>
        <v>無料のリンクガチャを回して_x000D_経験値素材や売却素材を獲得しましょう</v>
      </c>
      <c r="M3" s="57" t="s">
        <v>210</v>
      </c>
    </row>
    <row r="4" spans="1:13" x14ac:dyDescent="0.15">
      <c r="A4" s="81" t="s">
        <v>200</v>
      </c>
      <c r="B4" s="82">
        <f>floors!$C$10</f>
        <v>41006</v>
      </c>
      <c r="C4" s="83" t="str">
        <f ca="1">VLOOKUP($B4,OFFSET([2]quests!$A$1,0,0,COUNTA([2]quests!$A:$A),MATCH(C$1,[2]quests!$1:$1,0)-MATCH($B$1,[2]quests!$1:$1,0)+1),MATCH(C$1,[2]quests!$1:$1,0)-MATCH($B$1,[2]quests!$1:$1,0)+1,FALSE)</f>
        <v>アーサー襲来！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降臨1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【超絶級】アーサー襲来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5">
        <v>0</v>
      </c>
      <c r="I4">
        <v>19</v>
      </c>
      <c r="J4" s="84" t="s">
        <v>197</v>
      </c>
      <c r="K4" s="93" t="str">
        <f>VLOOKUP(I4,[6]stage_hints!$A:$C,3,FALSE)</f>
        <v>ソロ専用タワーオブザクイーン</v>
      </c>
      <c r="L4" s="94" t="str">
        <f>VLOOKUP(I4,[6]stage_hints!$A:$D,4,FALSE)</f>
        <v>ソロ専用の「タワーオブザクイーン」は_x000D_期間限定で定期的に開催されます_x000D_ここでしか獲得できない報酬もあるようです</v>
      </c>
      <c r="M4" s="57" t="s">
        <v>210</v>
      </c>
    </row>
    <row r="5" spans="1:13" x14ac:dyDescent="0.15">
      <c r="A5" s="81" t="s">
        <v>200</v>
      </c>
      <c r="B5" s="82">
        <f>floors!$C$10</f>
        <v>41006</v>
      </c>
      <c r="C5" s="83" t="str">
        <f ca="1">VLOOKUP($B5,OFFSET([2]quests!$A$1,0,0,COUNTA([2]quests!$A:$A),MATCH(C$1,[2]quests!$1:$1,0)-MATCH($B$1,[2]quests!$1:$1,0)+1),MATCH(C$1,[2]quests!$1:$1,0)-MATCH($B$1,[2]quests!$1:$1,0)+1,FALSE)</f>
        <v>アーサー襲来！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降臨1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【超絶級】アーサー襲来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5">
        <v>0</v>
      </c>
      <c r="I5">
        <v>21</v>
      </c>
      <c r="J5" s="84" t="s">
        <v>197</v>
      </c>
      <c r="K5" s="93" t="str">
        <f>VLOOKUP(I5,[6]stage_hints!$A:$C,3,FALSE)</f>
        <v>スキルを有効に</v>
      </c>
      <c r="L5" s="94" t="str">
        <f>VLOOKUP(I5,[6]stage_hints!$A:$D,4,FALSE)</f>
        <v>ターン経過でユニットのスキルが使えます_x000D_強力スキルでバトルを有利に進めましょう</v>
      </c>
      <c r="M5" s="57" t="s">
        <v>210</v>
      </c>
    </row>
    <row r="6" spans="1:13" x14ac:dyDescent="0.15">
      <c r="A6" s="81" t="s">
        <v>200</v>
      </c>
      <c r="B6" s="82">
        <f>floors!$C$10</f>
        <v>41006</v>
      </c>
      <c r="C6" s="83" t="str">
        <f ca="1">VLOOKUP($B6,OFFSET([2]quests!$A$1,0,0,COUNTA([2]quests!$A:$A),MATCH(C$1,[2]quests!$1:$1,0)-MATCH($B$1,[2]quests!$1:$1,0)+1),MATCH(C$1,[2]quests!$1:$1,0)-MATCH($B$1,[2]quests!$1:$1,0)+1,FALSE)</f>
        <v>アーサー襲来！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降臨1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【超絶級】アーサー襲来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5">
        <v>0</v>
      </c>
      <c r="I6">
        <v>29</v>
      </c>
      <c r="J6" s="84" t="s">
        <v>197</v>
      </c>
      <c r="K6" s="93" t="str">
        <f>VLOOKUP(I6,[6]stage_hints!$A:$C,3,FALSE)</f>
        <v>「バグ」のメリット</v>
      </c>
      <c r="L6" s="94" t="str">
        <f>VLOOKUP(I6,[6]stage_hints!$A:$D,4,FALSE)</f>
        <v>ユニットの「バグ」を増やすと_x000D_報酬をもらえる確率がアップします</v>
      </c>
      <c r="M6" s="57" t="s">
        <v>210</v>
      </c>
    </row>
    <row r="7" spans="1:13" x14ac:dyDescent="0.15">
      <c r="A7" s="81" t="s">
        <v>200</v>
      </c>
      <c r="B7" s="82">
        <f>floors!$C$10</f>
        <v>41006</v>
      </c>
      <c r="C7" s="83" t="str">
        <f ca="1">VLOOKUP($B7,OFFSET([2]quests!$A$1,0,0,COUNTA([2]quests!$A:$A),MATCH(C$1,[2]quests!$1:$1,0)-MATCH($B$1,[2]quests!$1:$1,0)+1),MATCH(C$1,[2]quests!$1:$1,0)-MATCH($B$1,[2]quests!$1:$1,0)+1,FALSE)</f>
        <v>アーサー襲来！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降臨1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【超絶級】アーサー襲来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5">
        <v>0</v>
      </c>
      <c r="I7">
        <v>30</v>
      </c>
      <c r="J7" s="84" t="s">
        <v>197</v>
      </c>
      <c r="K7" s="93" t="str">
        <f>VLOOKUP(I7,[6]stage_hints!$A:$C,3,FALSE)</f>
        <v>「バグ」の増やし方</v>
      </c>
      <c r="L7" s="94" t="str">
        <f>VLOOKUP(I7,[6]stage_hints!$A:$D,4,FALSE)</f>
        <v>同じユニット同士を強化で合成すると_x000D_「バグ」を増やすことができます</v>
      </c>
      <c r="M7" s="57" t="s">
        <v>210</v>
      </c>
    </row>
    <row r="8" spans="1:13" x14ac:dyDescent="0.15">
      <c r="A8" s="81" t="s">
        <v>200</v>
      </c>
      <c r="B8" s="82">
        <f>floors!$C$10</f>
        <v>41006</v>
      </c>
      <c r="C8" s="83" t="str">
        <f ca="1">VLOOKUP($B8,OFFSET([2]quests!$A$1,0,0,COUNTA([2]quests!$A:$A),MATCH(C$1,[2]quests!$1:$1,0)-MATCH($B$1,[2]quests!$1:$1,0)+1),MATCH(C$1,[2]quests!$1:$1,0)-MATCH($B$1,[2]quests!$1:$1,0)+1,FALSE)</f>
        <v>アーサー襲来！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降臨1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【超絶級】アーサー襲来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5">
        <v>0</v>
      </c>
      <c r="I8">
        <v>32</v>
      </c>
      <c r="J8" s="84" t="s">
        <v>197</v>
      </c>
      <c r="K8" s="93" t="str">
        <f>VLOOKUP(I8,[6]stage_hints!$A:$C,3,FALSE)</f>
        <v>敵の連続攻撃には</v>
      </c>
      <c r="L8" s="94" t="str">
        <f>VLOOKUP(I8,[6]stage_hints!$A:$D,4,FALSE)</f>
        <v>カウンタースキルを持つユニットがいれば_x000D_ダメージ回数分の反撃ができます</v>
      </c>
      <c r="M8" s="57" t="s">
        <v>210</v>
      </c>
    </row>
    <row r="9" spans="1:13" x14ac:dyDescent="0.15">
      <c r="A9" s="81" t="s">
        <v>200</v>
      </c>
      <c r="B9" s="82">
        <f>floors!$C$10</f>
        <v>41006</v>
      </c>
      <c r="C9" s="83" t="str">
        <f ca="1">VLOOKUP($B9,OFFSET([2]quests!$A$1,0,0,COUNTA([2]quests!$A:$A),MATCH(C$1,[2]quests!$1:$1,0)-MATCH($B$1,[2]quests!$1:$1,0)+1),MATCH(C$1,[2]quests!$1:$1,0)-MATCH($B$1,[2]quests!$1:$1,0)+1,FALSE)</f>
        <v>アーサー襲来！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降臨1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【超絶級】アーサー襲来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5">
        <v>0</v>
      </c>
      <c r="I9">
        <v>33</v>
      </c>
      <c r="J9" s="84" t="s">
        <v>197</v>
      </c>
      <c r="K9" s="93" t="str">
        <f>VLOOKUP(I9,[6]stage_hints!$A:$C,3,FALSE)</f>
        <v>敵のカウンター攻撃には</v>
      </c>
      <c r="L9" s="94" t="str">
        <f>VLOOKUP(I9,[6]stage_hints!$A:$D,4,FALSE)</f>
        <v>カウンターブレイクスキルを持っていれば_x000D_敵のカウンターを解除して攻撃ができます</v>
      </c>
      <c r="M9" s="57" t="s">
        <v>210</v>
      </c>
    </row>
    <row r="10" spans="1:13" x14ac:dyDescent="0.15">
      <c r="A10" s="81" t="s">
        <v>200</v>
      </c>
      <c r="B10" s="82">
        <f>floors!$C$10</f>
        <v>41006</v>
      </c>
      <c r="C10" s="83" t="str">
        <f ca="1">VLOOKUP($B10,OFFSET([2]quests!$A$1,0,0,COUNTA([2]quests!$A:$A),MATCH(C$1,[2]quests!$1:$1,0)-MATCH($B$1,[2]quests!$1:$1,0)+1),MATCH(C$1,[2]quests!$1:$1,0)-MATCH($B$1,[2]quests!$1:$1,0)+1,FALSE)</f>
        <v>アーサー襲来！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【超絶級】アーサー襲来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5">
        <v>0</v>
      </c>
      <c r="I10">
        <v>34</v>
      </c>
      <c r="J10" s="84" t="s">
        <v>197</v>
      </c>
      <c r="K10" s="93" t="str">
        <f>VLOOKUP(I10,[6]stage_hints!$A:$C,3,FALSE)</f>
        <v>ステータスをスキルで下げられたら</v>
      </c>
      <c r="L10" s="94" t="str">
        <f>VLOOKUP(I10,[6]stage_hints!$A:$D,4,FALSE)</f>
        <v>ステータスダウンのスキルを受けたら_x000D_ステータスアップスキルで上書きしましょう</v>
      </c>
      <c r="M10" s="57" t="s">
        <v>210</v>
      </c>
    </row>
    <row r="11" spans="1:13" x14ac:dyDescent="0.15">
      <c r="A11" s="81" t="s">
        <v>200</v>
      </c>
      <c r="B11" s="82">
        <f>floors!$C$10</f>
        <v>41006</v>
      </c>
      <c r="C11" s="83" t="str">
        <f ca="1">VLOOKUP($B11,OFFSET([2]quests!$A$1,0,0,COUNTA([2]quests!$A:$A),MATCH(C$1,[2]quests!$1:$1,0)-MATCH($B$1,[2]quests!$1:$1,0)+1),MATCH(C$1,[2]quests!$1:$1,0)-MATCH($B$1,[2]quests!$1:$1,0)+1,FALSE)</f>
        <v>アーサー襲来！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【超絶級】アーサー襲来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5">
        <v>0</v>
      </c>
      <c r="I11">
        <v>35</v>
      </c>
      <c r="J11" s="84" t="s">
        <v>197</v>
      </c>
      <c r="K11" s="93" t="str">
        <f>VLOOKUP(I11,[6]stage_hints!$A:$C,3,FALSE)</f>
        <v>敵のステータスがスキルで上がったら</v>
      </c>
      <c r="L11" s="94" t="str">
        <f>VLOOKUP(I11,[6]stage_hints!$A:$D,4,FALSE)</f>
        <v>敵のステータスがスキルでアップしたときは_x000D_ステータスダウンスキルで上書きしましょう</v>
      </c>
      <c r="M11" s="57" t="s">
        <v>210</v>
      </c>
    </row>
    <row r="12" spans="1:13" x14ac:dyDescent="0.15">
      <c r="A12" s="81" t="s">
        <v>200</v>
      </c>
      <c r="B12" s="82">
        <f>floors!$C$10</f>
        <v>41006</v>
      </c>
      <c r="C12" s="83" t="str">
        <f ca="1">VLOOKUP($B12,OFFSET([2]quests!$A$1,0,0,COUNTA([2]quests!$A:$A),MATCH(C$1,[2]quests!$1:$1,0)-MATCH($B$1,[2]quests!$1:$1,0)+1),MATCH(C$1,[2]quests!$1:$1,0)-MATCH($B$1,[2]quests!$1:$1,0)+1,FALSE)</f>
        <v>アーサー襲来！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【超絶級】アーサー襲来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5">
        <v>0</v>
      </c>
      <c r="I12">
        <v>36</v>
      </c>
      <c r="J12" s="84" t="s">
        <v>197</v>
      </c>
      <c r="K12" s="93" t="str">
        <f>VLOOKUP(I12,[6]stage_hints!$A:$C,3,FALSE)</f>
        <v>タワーオブザクイーンのボス</v>
      </c>
      <c r="L12" s="94" t="str">
        <f>VLOOKUP(I12,[6]stage_hints!$A:$D,4,FALSE)</f>
        <v>「タワーオブザクイーン」最上階のボスは_x000D_15階の初回クリア報酬で獲得できるほか_x000D_その階にて低確率でドロップもします</v>
      </c>
      <c r="M12" s="57" t="s">
        <v>210</v>
      </c>
    </row>
    <row r="13" spans="1:13" x14ac:dyDescent="0.15">
      <c r="A13" s="81" t="s">
        <v>200</v>
      </c>
      <c r="B13" s="82">
        <f>floors!$C$10</f>
        <v>41006</v>
      </c>
      <c r="C13" s="83" t="str">
        <f ca="1">VLOOKUP($B13,OFFSET([2]quests!$A$1,0,0,COUNTA([2]quests!$A:$A),MATCH(C$1,[2]quests!$1:$1,0)-MATCH($B$1,[2]quests!$1:$1,0)+1),MATCH(C$1,[2]quests!$1:$1,0)-MATCH($B$1,[2]quests!$1:$1,0)+1,FALSE)</f>
        <v>アーサー襲来！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【超絶級】アーサー襲来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5">
        <v>0</v>
      </c>
      <c r="I13">
        <v>37</v>
      </c>
      <c r="J13" s="84" t="s">
        <v>197</v>
      </c>
      <c r="K13" s="93" t="str">
        <f>VLOOKUP(I13,[6]stage_hints!$A:$C,3,FALSE)</f>
        <v>限界突破値の引き継ぎ</v>
      </c>
      <c r="L13" s="94" t="str">
        <f>VLOOKUP(I13,[6]stage_hints!$A:$D,4,FALSE)</f>
        <v>同じユニットを強化で合成すると_x000D_限界突破値を引き継げます（覚醒前後も可）</v>
      </c>
      <c r="M13" s="57" t="s">
        <v>210</v>
      </c>
    </row>
    <row r="14" spans="1:13" x14ac:dyDescent="0.15">
      <c r="A14" s="81" t="s">
        <v>200</v>
      </c>
      <c r="B14" s="82">
        <f>floors!$C$10</f>
        <v>41006</v>
      </c>
      <c r="C14" s="83" t="str">
        <f ca="1">VLOOKUP($B14,OFFSET([2]quests!$A$1,0,0,COUNTA([2]quests!$A:$A),MATCH(C$1,[2]quests!$1:$1,0)-MATCH($B$1,[2]quests!$1:$1,0)+1),MATCH(C$1,[2]quests!$1:$1,0)-MATCH($B$1,[2]quests!$1:$1,0)+1,FALSE)</f>
        <v>アーサー襲来！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【超絶級】アーサー襲来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5">
        <v>0</v>
      </c>
      <c r="I14">
        <v>39</v>
      </c>
      <c r="J14" s="84" t="s">
        <v>197</v>
      </c>
      <c r="K14" s="93" t="str">
        <f>VLOOKUP(I14,[6]stage_hints!$A:$C,3,FALSE)</f>
        <v>システム適合者を確認</v>
      </c>
      <c r="L14" s="94" t="str">
        <f>VLOOKUP(I14,[6]stage_hints!$A:$D,4,FALSE)</f>
        <v>ALICEが 「アナタ」を呼んでいます</v>
      </c>
      <c r="M14" s="57" t="s">
        <v>210</v>
      </c>
    </row>
    <row r="15" spans="1:13" x14ac:dyDescent="0.15">
      <c r="A15" s="81" t="s">
        <v>200</v>
      </c>
      <c r="B15" s="82">
        <f>floors!$C$10</f>
        <v>41006</v>
      </c>
      <c r="C15" s="83" t="str">
        <f ca="1">VLOOKUP($B15,OFFSET([2]quests!$A$1,0,0,COUNTA([2]quests!$A:$A),MATCH(C$1,[2]quests!$1:$1,0)-MATCH($B$1,[2]quests!$1:$1,0)+1),MATCH(C$1,[2]quests!$1:$1,0)-MATCH($B$1,[2]quests!$1:$1,0)+1,FALSE)</f>
        <v>アーサー襲来！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87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85">
        <v>0</v>
      </c>
      <c r="I15">
        <v>12</v>
      </c>
      <c r="J15" s="84" t="s">
        <v>197</v>
      </c>
      <c r="K15" s="93" t="str">
        <f>VLOOKUP(I15,[6]stage_hints!$A:$C,3,FALSE)</f>
        <v>ユニットのお気に入り登録</v>
      </c>
      <c r="L15" s="94" t="str">
        <f>VLOOKUP(I15,[6]stage_hints!$A:$D,4,FALSE)</f>
        <v>大事なユニットを誤って消さないように_x000D_フォルダから「お気に入り登録」しましょう</v>
      </c>
      <c r="M15" s="57" t="s">
        <v>210</v>
      </c>
    </row>
    <row r="16" spans="1:13" x14ac:dyDescent="0.15">
      <c r="A16" s="81" t="s">
        <v>200</v>
      </c>
      <c r="B16" s="82">
        <f>floors!$C$10</f>
        <v>41006</v>
      </c>
      <c r="C16" s="83" t="str">
        <f ca="1">VLOOKUP($B16,OFFSET([2]quests!$A$1,0,0,COUNTA([2]quests!$A:$A),MATCH(C$1,[2]quests!$1:$1,0)-MATCH($B$1,[2]quests!$1:$1,0)+1),MATCH(C$1,[2]quests!$1:$1,0)-MATCH($B$1,[2]quests!$1:$1,0)+1,FALSE)</f>
        <v>アーサー襲来！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7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5">
        <v>0</v>
      </c>
      <c r="I16">
        <v>17</v>
      </c>
      <c r="J16" s="84" t="s">
        <v>197</v>
      </c>
      <c r="K16" s="93" t="str">
        <f>VLOOKUP(I16,[6]stage_hints!$A:$C,3,FALSE)</f>
        <v>リンクガチャ</v>
      </c>
      <c r="L16" s="94" t="str">
        <f>VLOOKUP(I16,[6]stage_hints!$A:$D,4,FALSE)</f>
        <v>無料のリンクガチャを回して_x000D_経験値素材や売却素材を獲得しましょう</v>
      </c>
      <c r="M16" s="57" t="s">
        <v>210</v>
      </c>
    </row>
    <row r="17" spans="1:13" x14ac:dyDescent="0.15">
      <c r="A17" s="81" t="s">
        <v>200</v>
      </c>
      <c r="B17" s="82">
        <f>floors!$C$10</f>
        <v>41006</v>
      </c>
      <c r="C17" s="83" t="str">
        <f ca="1">VLOOKUP($B17,OFFSET([2]quests!$A$1,0,0,COUNTA([2]quests!$A:$A),MATCH(C$1,[2]quests!$1:$1,0)-MATCH($B$1,[2]quests!$1:$1,0)+1),MATCH(C$1,[2]quests!$1:$1,0)-MATCH($B$1,[2]quests!$1:$1,0)+1,FALSE)</f>
        <v>アーサー襲来！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87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85">
        <v>0</v>
      </c>
      <c r="I17">
        <v>19</v>
      </c>
      <c r="J17" s="84" t="s">
        <v>197</v>
      </c>
      <c r="K17" s="93" t="str">
        <f>VLOOKUP(I17,[6]stage_hints!$A:$C,3,FALSE)</f>
        <v>ソロ専用タワーオブザクイーン</v>
      </c>
      <c r="L17" s="94" t="str">
        <f>VLOOKUP(I17,[6]stage_hints!$A:$D,4,FALSE)</f>
        <v>ソロ専用の「タワーオブザクイーン」は_x000D_期間限定で定期的に開催されます_x000D_ここでしか獲得できない報酬もあるようです</v>
      </c>
      <c r="M17" s="57" t="s">
        <v>210</v>
      </c>
    </row>
    <row r="18" spans="1:13" x14ac:dyDescent="0.15">
      <c r="A18" s="81" t="s">
        <v>200</v>
      </c>
      <c r="B18" s="82">
        <f>floors!$C$10</f>
        <v>41006</v>
      </c>
      <c r="C18" s="83" t="str">
        <f ca="1">VLOOKUP($B18,OFFSET([2]quests!$A$1,0,0,COUNTA([2]quests!$A:$A),MATCH(C$1,[2]quests!$1:$1,0)-MATCH($B$1,[2]quests!$1:$1,0)+1),MATCH(C$1,[2]quests!$1:$1,0)-MATCH($B$1,[2]quests!$1:$1,0)+1,FALSE)</f>
        <v>アーサー襲来！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87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85">
        <v>0</v>
      </c>
      <c r="I18">
        <v>21</v>
      </c>
      <c r="J18" s="84" t="s">
        <v>197</v>
      </c>
      <c r="K18" s="93" t="str">
        <f>VLOOKUP(I18,[6]stage_hints!$A:$C,3,FALSE)</f>
        <v>スキルを有効に</v>
      </c>
      <c r="L18" s="94" t="str">
        <f>VLOOKUP(I18,[6]stage_hints!$A:$D,4,FALSE)</f>
        <v>ターン経過でユニットのスキルが使えます_x000D_強力スキルでバトルを有利に進めましょう</v>
      </c>
      <c r="M18" s="57" t="s">
        <v>210</v>
      </c>
    </row>
    <row r="19" spans="1:13" x14ac:dyDescent="0.15">
      <c r="A19" s="81" t="s">
        <v>200</v>
      </c>
      <c r="B19" s="82">
        <f>floors!$C$10</f>
        <v>41006</v>
      </c>
      <c r="C19" s="83" t="str">
        <f ca="1">VLOOKUP($B19,OFFSET([2]quests!$A$1,0,0,COUNTA([2]quests!$A:$A),MATCH(C$1,[2]quests!$1:$1,0)-MATCH($B$1,[2]quests!$1:$1,0)+1),MATCH(C$1,[2]quests!$1:$1,0)-MATCH($B$1,[2]quests!$1:$1,0)+1,FALSE)</f>
        <v>アーサー襲来！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87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85">
        <v>0</v>
      </c>
      <c r="I19">
        <v>29</v>
      </c>
      <c r="J19" s="84" t="s">
        <v>197</v>
      </c>
      <c r="K19" s="93" t="str">
        <f>VLOOKUP(I19,[6]stage_hints!$A:$C,3,FALSE)</f>
        <v>「バグ」のメリット</v>
      </c>
      <c r="L19" s="94" t="str">
        <f>VLOOKUP(I19,[6]stage_hints!$A:$D,4,FALSE)</f>
        <v>ユニットの「バグ」を増やすと_x000D_報酬をもらえる確率がアップします</v>
      </c>
      <c r="M19" s="57" t="s">
        <v>210</v>
      </c>
    </row>
    <row r="20" spans="1:13" x14ac:dyDescent="0.15">
      <c r="A20" s="81" t="s">
        <v>200</v>
      </c>
      <c r="B20" s="82">
        <f>floors!$C$10</f>
        <v>41006</v>
      </c>
      <c r="C20" s="83" t="str">
        <f ca="1">VLOOKUP($B20,OFFSET([2]quests!$A$1,0,0,COUNTA([2]quests!$A:$A),MATCH(C$1,[2]quests!$1:$1,0)-MATCH($B$1,[2]quests!$1:$1,0)+1),MATCH(C$1,[2]quests!$1:$1,0)-MATCH($B$1,[2]quests!$1:$1,0)+1,FALSE)</f>
        <v>アーサー襲来！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87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85">
        <v>0</v>
      </c>
      <c r="I20">
        <v>30</v>
      </c>
      <c r="J20" s="84" t="s">
        <v>197</v>
      </c>
      <c r="K20" s="93" t="str">
        <f>VLOOKUP(I20,[6]stage_hints!$A:$C,3,FALSE)</f>
        <v>「バグ」の増やし方</v>
      </c>
      <c r="L20" s="94" t="str">
        <f>VLOOKUP(I20,[6]stage_hints!$A:$D,4,FALSE)</f>
        <v>同じユニット同士を強化で合成すると_x000D_「バグ」を増やすことができます</v>
      </c>
      <c r="M20" s="57" t="s">
        <v>210</v>
      </c>
    </row>
    <row r="21" spans="1:13" x14ac:dyDescent="0.15">
      <c r="A21" s="81" t="s">
        <v>200</v>
      </c>
      <c r="B21" s="82">
        <f>floors!$C$10</f>
        <v>41006</v>
      </c>
      <c r="C21" s="83" t="str">
        <f ca="1">VLOOKUP($B21,OFFSET([2]quests!$A$1,0,0,COUNTA([2]quests!$A:$A),MATCH(C$1,[2]quests!$1:$1,0)-MATCH($B$1,[2]quests!$1:$1,0)+1),MATCH(C$1,[2]quests!$1:$1,0)-MATCH($B$1,[2]quests!$1:$1,0)+1,FALSE)</f>
        <v>アーサー襲来！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87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85">
        <v>0</v>
      </c>
      <c r="I21">
        <v>32</v>
      </c>
      <c r="J21" s="84" t="s">
        <v>197</v>
      </c>
      <c r="K21" s="93" t="str">
        <f>VLOOKUP(I21,[6]stage_hints!$A:$C,3,FALSE)</f>
        <v>敵の連続攻撃には</v>
      </c>
      <c r="L21" s="94" t="str">
        <f>VLOOKUP(I21,[6]stage_hints!$A:$D,4,FALSE)</f>
        <v>カウンタースキルを持つユニットがいれば_x000D_ダメージ回数分の反撃ができます</v>
      </c>
      <c r="M21" s="57" t="s">
        <v>210</v>
      </c>
    </row>
    <row r="22" spans="1:13" x14ac:dyDescent="0.15">
      <c r="A22" s="81" t="s">
        <v>200</v>
      </c>
      <c r="B22" s="82">
        <f>floors!$C$10</f>
        <v>41006</v>
      </c>
      <c r="C22" s="83" t="str">
        <f ca="1">VLOOKUP($B22,OFFSET([2]quests!$A$1,0,0,COUNTA([2]quests!$A:$A),MATCH(C$1,[2]quests!$1:$1,0)-MATCH($B$1,[2]quests!$1:$1,0)+1),MATCH(C$1,[2]quests!$1:$1,0)-MATCH($B$1,[2]quests!$1:$1,0)+1,FALSE)</f>
        <v>アーサー襲来！</v>
      </c>
      <c r="D22" s="83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87">
        <v>2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85">
        <v>0</v>
      </c>
      <c r="I22">
        <v>33</v>
      </c>
      <c r="J22" s="84" t="s">
        <v>197</v>
      </c>
      <c r="K22" s="93" t="str">
        <f>VLOOKUP(I22,[6]stage_hints!$A:$C,3,FALSE)</f>
        <v>敵のカウンター攻撃には</v>
      </c>
      <c r="L22" s="94" t="str">
        <f>VLOOKUP(I22,[6]stage_hints!$A:$D,4,FALSE)</f>
        <v>カウンターブレイクスキルを持っていれば_x000D_敵のカウンターを解除して攻撃ができます</v>
      </c>
      <c r="M22" s="57" t="s">
        <v>210</v>
      </c>
    </row>
    <row r="23" spans="1:13" x14ac:dyDescent="0.15">
      <c r="A23" s="81" t="s">
        <v>200</v>
      </c>
      <c r="B23" s="82">
        <f>floors!$C$10</f>
        <v>41006</v>
      </c>
      <c r="C23" s="83" t="str">
        <f ca="1">VLOOKUP($B23,OFFSET([2]quests!$A$1,0,0,COUNTA([2]quests!$A:$A),MATCH(C$1,[2]quests!$1:$1,0)-MATCH($B$1,[2]quests!$1:$1,0)+1),MATCH(C$1,[2]quests!$1:$1,0)-MATCH($B$1,[2]quests!$1:$1,0)+1,FALSE)</f>
        <v>アーサー襲来！</v>
      </c>
      <c r="D23" s="83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87">
        <v>2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85">
        <v>0</v>
      </c>
      <c r="I23">
        <v>34</v>
      </c>
      <c r="J23" s="84" t="s">
        <v>197</v>
      </c>
      <c r="K23" s="93" t="str">
        <f>VLOOKUP(I23,[6]stage_hints!$A:$C,3,FALSE)</f>
        <v>ステータスをスキルで下げられたら</v>
      </c>
      <c r="L23" s="94" t="str">
        <f>VLOOKUP(I23,[6]stage_hints!$A:$D,4,FALSE)</f>
        <v>ステータスダウンのスキルを受けたら_x000D_ステータスアップスキルで上書きしましょう</v>
      </c>
      <c r="M23" s="57" t="s">
        <v>210</v>
      </c>
    </row>
    <row r="24" spans="1:13" x14ac:dyDescent="0.15">
      <c r="A24" s="81" t="s">
        <v>200</v>
      </c>
      <c r="B24" s="82">
        <f>floors!$C$10</f>
        <v>41006</v>
      </c>
      <c r="C24" s="83" t="str">
        <f ca="1">VLOOKUP($B24,OFFSET([2]quests!$A$1,0,0,COUNTA([2]quests!$A:$A),MATCH(C$1,[2]quests!$1:$1,0)-MATCH($B$1,[2]quests!$1:$1,0)+1),MATCH(C$1,[2]quests!$1:$1,0)-MATCH($B$1,[2]quests!$1:$1,0)+1,FALSE)</f>
        <v>アーサー襲来！</v>
      </c>
      <c r="D24" s="83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87">
        <v>2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85">
        <v>0</v>
      </c>
      <c r="I24">
        <v>35</v>
      </c>
      <c r="J24" s="84" t="s">
        <v>197</v>
      </c>
      <c r="K24" s="93" t="str">
        <f>VLOOKUP(I24,[6]stage_hints!$A:$C,3,FALSE)</f>
        <v>敵のステータスがスキルで上がったら</v>
      </c>
      <c r="L24" s="94" t="str">
        <f>VLOOKUP(I24,[6]stage_hints!$A:$D,4,FALSE)</f>
        <v>敵のステータスがスキルでアップしたときは_x000D_ステータスダウンスキルで上書きしましょう</v>
      </c>
      <c r="M24" s="57" t="s">
        <v>210</v>
      </c>
    </row>
    <row r="25" spans="1:13" x14ac:dyDescent="0.15">
      <c r="A25" s="81" t="s">
        <v>200</v>
      </c>
      <c r="B25" s="82">
        <f>floors!$C$10</f>
        <v>41006</v>
      </c>
      <c r="C25" s="83" t="str">
        <f ca="1">VLOOKUP($B25,OFFSET([2]quests!$A$1,0,0,COUNTA([2]quests!$A:$A),MATCH(C$1,[2]quests!$1:$1,0)-MATCH($B$1,[2]quests!$1:$1,0)+1),MATCH(C$1,[2]quests!$1:$1,0)-MATCH($B$1,[2]quests!$1:$1,0)+1,FALSE)</f>
        <v>アーサー襲来！</v>
      </c>
      <c r="D25" s="83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87">
        <v>2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85">
        <v>0</v>
      </c>
      <c r="I25">
        <v>36</v>
      </c>
      <c r="J25" s="84" t="s">
        <v>197</v>
      </c>
      <c r="K25" s="93" t="str">
        <f>VLOOKUP(I25,[6]stage_hints!$A:$C,3,FALSE)</f>
        <v>タワーオブザクイーンのボス</v>
      </c>
      <c r="L25" s="94" t="str">
        <f>VLOOKUP(I25,[6]stage_hints!$A:$D,4,FALSE)</f>
        <v>「タワーオブザクイーン」最上階のボスは_x000D_15階の初回クリア報酬で獲得できるほか_x000D_その階にて低確率でドロップもします</v>
      </c>
      <c r="M25" s="57" t="s">
        <v>210</v>
      </c>
    </row>
    <row r="26" spans="1:13" x14ac:dyDescent="0.15">
      <c r="A26" s="81" t="s">
        <v>200</v>
      </c>
      <c r="B26" s="82">
        <f>floors!$C$10</f>
        <v>41006</v>
      </c>
      <c r="C26" s="83" t="str">
        <f ca="1">VLOOKUP($B26,OFFSET([2]quests!$A$1,0,0,COUNTA([2]quests!$A:$A),MATCH(C$1,[2]quests!$1:$1,0)-MATCH($B$1,[2]quests!$1:$1,0)+1),MATCH(C$1,[2]quests!$1:$1,0)-MATCH($B$1,[2]quests!$1:$1,0)+1,FALSE)</f>
        <v>アーサー襲来！</v>
      </c>
      <c r="D26" s="83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87">
        <v>2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85">
        <v>0</v>
      </c>
      <c r="I26">
        <v>37</v>
      </c>
      <c r="J26" s="84" t="s">
        <v>197</v>
      </c>
      <c r="K26" s="93" t="str">
        <f>VLOOKUP(I26,[6]stage_hints!$A:$C,3,FALSE)</f>
        <v>限界突破値の引き継ぎ</v>
      </c>
      <c r="L26" s="94" t="str">
        <f>VLOOKUP(I26,[6]stage_hints!$A:$D,4,FALSE)</f>
        <v>同じユニットを強化で合成すると_x000D_限界突破値を引き継げます（覚醒前後も可）</v>
      </c>
      <c r="M26" s="57" t="s">
        <v>210</v>
      </c>
    </row>
    <row r="27" spans="1:13" x14ac:dyDescent="0.15">
      <c r="A27" s="81" t="s">
        <v>200</v>
      </c>
      <c r="B27" s="82">
        <f>floors!$C$10</f>
        <v>41006</v>
      </c>
      <c r="C27" s="83" t="str">
        <f ca="1">VLOOKUP($B27,OFFSET([2]quests!$A$1,0,0,COUNTA([2]quests!$A:$A),MATCH(C$1,[2]quests!$1:$1,0)-MATCH($B$1,[2]quests!$1:$1,0)+1),MATCH(C$1,[2]quests!$1:$1,0)-MATCH($B$1,[2]quests!$1:$1,0)+1,FALSE)</f>
        <v>アーサー襲来！</v>
      </c>
      <c r="D27" s="83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87">
        <v>2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85">
        <v>0</v>
      </c>
      <c r="I27">
        <v>39</v>
      </c>
      <c r="J27" s="84" t="s">
        <v>197</v>
      </c>
      <c r="K27" s="93" t="str">
        <f>VLOOKUP(I27,[6]stage_hints!$A:$C,3,FALSE)</f>
        <v>システム適合者を確認</v>
      </c>
      <c r="L27" s="94" t="str">
        <f>VLOOKUP(I27,[6]stage_hints!$A:$D,4,FALSE)</f>
        <v>ALICEが 「アナタ」を呼んでいます</v>
      </c>
      <c r="M27" s="57" t="s">
        <v>210</v>
      </c>
    </row>
    <row r="28" spans="1:13" x14ac:dyDescent="0.15">
      <c r="A28" s="81" t="s">
        <v>200</v>
      </c>
      <c r="B28" s="82">
        <f>floors!$C$10</f>
        <v>41006</v>
      </c>
      <c r="C28" s="83" t="str">
        <f ca="1">VLOOKUP($B28,OFFSET([2]quests!$A$1,0,0,COUNTA([2]quests!$A:$A),MATCH(C$1,[2]quests!$1:$1,0)-MATCH($B$1,[2]quests!$1:$1,0)+1),MATCH(C$1,[2]quests!$1:$1,0)-MATCH($B$1,[2]quests!$1:$1,0)+1,FALSE)</f>
        <v>アーサー襲来！</v>
      </c>
      <c r="D28" s="83" t="str">
        <f ca="1">VLOOKUP($B28,OFFSET([2]quests!$A$1,0,0,COUNTA([2]quests!$A:$A),MATCH(D$1,[2]quests!$1:$1,0)-MATCH($B$1,[2]quests!$1:$1,0)+1),MATCH(D$1,[2]quests!$1:$1,0)-MATCH($B$1,[2]quests!$1:$1,0)+1,FALSE)</f>
        <v>降臨1</v>
      </c>
      <c r="E28" s="87">
        <v>3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降臨1</v>
      </c>
      <c r="H28" s="85">
        <v>0</v>
      </c>
      <c r="I28">
        <v>12</v>
      </c>
      <c r="J28" s="84" t="s">
        <v>197</v>
      </c>
      <c r="K28" s="93" t="str">
        <f>VLOOKUP(I28,[6]stage_hints!$A:$C,3,FALSE)</f>
        <v>ユニットのお気に入り登録</v>
      </c>
      <c r="L28" s="94" t="str">
        <f>VLOOKUP(I28,[6]stage_hints!$A:$D,4,FALSE)</f>
        <v>大事なユニットを誤って消さないように_x000D_フォルダから「お気に入り登録」しましょう</v>
      </c>
      <c r="M28" s="57" t="s">
        <v>210</v>
      </c>
    </row>
    <row r="29" spans="1:13" x14ac:dyDescent="0.15">
      <c r="A29" s="81" t="s">
        <v>200</v>
      </c>
      <c r="B29" s="82">
        <f>floors!$C$10</f>
        <v>41006</v>
      </c>
      <c r="C29" s="83" t="str">
        <f ca="1">VLOOKUP($B29,OFFSET([2]quests!$A$1,0,0,COUNTA([2]quests!$A:$A),MATCH(C$1,[2]quests!$1:$1,0)-MATCH($B$1,[2]quests!$1:$1,0)+1),MATCH(C$1,[2]quests!$1:$1,0)-MATCH($B$1,[2]quests!$1:$1,0)+1,FALSE)</f>
        <v>アーサー襲来！</v>
      </c>
      <c r="D29" s="83" t="str">
        <f ca="1">VLOOKUP($B29,OFFSET([2]quests!$A$1,0,0,COUNTA([2]quests!$A:$A),MATCH(D$1,[2]quests!$1:$1,0)-MATCH($B$1,[2]quests!$1:$1,0)+1),MATCH(D$1,[2]quests!$1:$1,0)-MATCH($B$1,[2]quests!$1:$1,0)+1,FALSE)</f>
        <v>降臨1</v>
      </c>
      <c r="E29" s="87">
        <v>3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降臨1</v>
      </c>
      <c r="H29" s="85">
        <v>0</v>
      </c>
      <c r="I29">
        <v>17</v>
      </c>
      <c r="J29" s="84" t="s">
        <v>197</v>
      </c>
      <c r="K29" s="93" t="str">
        <f>VLOOKUP(I29,[6]stage_hints!$A:$C,3,FALSE)</f>
        <v>リンクガチャ</v>
      </c>
      <c r="L29" s="94" t="str">
        <f>VLOOKUP(I29,[6]stage_hints!$A:$D,4,FALSE)</f>
        <v>無料のリンクガチャを回して_x000D_経験値素材や売却素材を獲得しましょう</v>
      </c>
      <c r="M29" s="57" t="s">
        <v>210</v>
      </c>
    </row>
    <row r="30" spans="1:13" x14ac:dyDescent="0.15">
      <c r="A30" s="81" t="s">
        <v>200</v>
      </c>
      <c r="B30" s="82">
        <f>floors!$C$10</f>
        <v>41006</v>
      </c>
      <c r="C30" s="83" t="str">
        <f ca="1">VLOOKUP($B30,OFFSET([2]quests!$A$1,0,0,COUNTA([2]quests!$A:$A),MATCH(C$1,[2]quests!$1:$1,0)-MATCH($B$1,[2]quests!$1:$1,0)+1),MATCH(C$1,[2]quests!$1:$1,0)-MATCH($B$1,[2]quests!$1:$1,0)+1,FALSE)</f>
        <v>アーサー襲来！</v>
      </c>
      <c r="D30" s="83" t="str">
        <f ca="1">VLOOKUP($B30,OFFSET([2]quests!$A$1,0,0,COUNTA([2]quests!$A:$A),MATCH(D$1,[2]quests!$1:$1,0)-MATCH($B$1,[2]quests!$1:$1,0)+1),MATCH(D$1,[2]quests!$1:$1,0)-MATCH($B$1,[2]quests!$1:$1,0)+1,FALSE)</f>
        <v>降臨1</v>
      </c>
      <c r="E30" s="87">
        <v>3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降臨1</v>
      </c>
      <c r="H30" s="85">
        <v>0</v>
      </c>
      <c r="I30">
        <v>19</v>
      </c>
      <c r="J30" s="84" t="s">
        <v>197</v>
      </c>
      <c r="K30" s="93" t="str">
        <f>VLOOKUP(I30,[6]stage_hints!$A:$C,3,FALSE)</f>
        <v>ソロ専用タワーオブザクイーン</v>
      </c>
      <c r="L30" s="94" t="str">
        <f>VLOOKUP(I30,[6]stage_hints!$A:$D,4,FALSE)</f>
        <v>ソロ専用の「タワーオブザクイーン」は_x000D_期間限定で定期的に開催されます_x000D_ここでしか獲得できない報酬もあるようです</v>
      </c>
      <c r="M30" s="57" t="s">
        <v>210</v>
      </c>
    </row>
    <row r="31" spans="1:13" x14ac:dyDescent="0.15">
      <c r="A31" s="81" t="s">
        <v>200</v>
      </c>
      <c r="B31" s="82">
        <f>floors!$C$10</f>
        <v>41006</v>
      </c>
      <c r="C31" s="83" t="str">
        <f ca="1">VLOOKUP($B31,OFFSET([2]quests!$A$1,0,0,COUNTA([2]quests!$A:$A),MATCH(C$1,[2]quests!$1:$1,0)-MATCH($B$1,[2]quests!$1:$1,0)+1),MATCH(C$1,[2]quests!$1:$1,0)-MATCH($B$1,[2]quests!$1:$1,0)+1,FALSE)</f>
        <v>アーサー襲来！</v>
      </c>
      <c r="D31" s="83" t="str">
        <f ca="1">VLOOKUP($B31,OFFSET([2]quests!$A$1,0,0,COUNTA([2]quests!$A:$A),MATCH(D$1,[2]quests!$1:$1,0)-MATCH($B$1,[2]quests!$1:$1,0)+1),MATCH(D$1,[2]quests!$1:$1,0)-MATCH($B$1,[2]quests!$1:$1,0)+1,FALSE)</f>
        <v>降臨1</v>
      </c>
      <c r="E31" s="87">
        <v>3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降臨1</v>
      </c>
      <c r="H31" s="85">
        <v>0</v>
      </c>
      <c r="I31">
        <v>21</v>
      </c>
      <c r="J31" s="84" t="s">
        <v>197</v>
      </c>
      <c r="K31" s="93" t="str">
        <f>VLOOKUP(I31,[6]stage_hints!$A:$C,3,FALSE)</f>
        <v>スキルを有効に</v>
      </c>
      <c r="L31" s="94" t="str">
        <f>VLOOKUP(I31,[6]stage_hints!$A:$D,4,FALSE)</f>
        <v>ターン経過でユニットのスキルが使えます_x000D_強力スキルでバトルを有利に進めましょう</v>
      </c>
      <c r="M31" s="57" t="s">
        <v>210</v>
      </c>
    </row>
    <row r="32" spans="1:13" x14ac:dyDescent="0.15">
      <c r="A32" s="81" t="s">
        <v>200</v>
      </c>
      <c r="B32" s="82">
        <f>floors!$C$10</f>
        <v>41006</v>
      </c>
      <c r="C32" s="83" t="str">
        <f ca="1">VLOOKUP($B32,OFFSET([2]quests!$A$1,0,0,COUNTA([2]quests!$A:$A),MATCH(C$1,[2]quests!$1:$1,0)-MATCH($B$1,[2]quests!$1:$1,0)+1),MATCH(C$1,[2]quests!$1:$1,0)-MATCH($B$1,[2]quests!$1:$1,0)+1,FALSE)</f>
        <v>アーサー襲来！</v>
      </c>
      <c r="D32" s="83" t="str">
        <f ca="1">VLOOKUP($B32,OFFSET([2]quests!$A$1,0,0,COUNTA([2]quests!$A:$A),MATCH(D$1,[2]quests!$1:$1,0)-MATCH($B$1,[2]quests!$1:$1,0)+1),MATCH(D$1,[2]quests!$1:$1,0)-MATCH($B$1,[2]quests!$1:$1,0)+1,FALSE)</f>
        <v>降臨1</v>
      </c>
      <c r="E32" s="87">
        <v>3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降臨1</v>
      </c>
      <c r="H32" s="85">
        <v>0</v>
      </c>
      <c r="I32">
        <v>29</v>
      </c>
      <c r="J32" s="84" t="s">
        <v>197</v>
      </c>
      <c r="K32" s="93" t="str">
        <f>VLOOKUP(I32,[6]stage_hints!$A:$C,3,FALSE)</f>
        <v>「バグ」のメリット</v>
      </c>
      <c r="L32" s="94" t="str">
        <f>VLOOKUP(I32,[6]stage_hints!$A:$D,4,FALSE)</f>
        <v>ユニットの「バグ」を増やすと_x000D_報酬をもらえる確率がアップします</v>
      </c>
      <c r="M32" s="57" t="s">
        <v>210</v>
      </c>
    </row>
    <row r="33" spans="1:13" x14ac:dyDescent="0.15">
      <c r="A33" s="81" t="s">
        <v>200</v>
      </c>
      <c r="B33" s="82">
        <f>floors!$C$10</f>
        <v>41006</v>
      </c>
      <c r="C33" s="83" t="str">
        <f ca="1">VLOOKUP($B33,OFFSET([2]quests!$A$1,0,0,COUNTA([2]quests!$A:$A),MATCH(C$1,[2]quests!$1:$1,0)-MATCH($B$1,[2]quests!$1:$1,0)+1),MATCH(C$1,[2]quests!$1:$1,0)-MATCH($B$1,[2]quests!$1:$1,0)+1,FALSE)</f>
        <v>アーサー襲来！</v>
      </c>
      <c r="D33" s="83" t="str">
        <f ca="1">VLOOKUP($B33,OFFSET([2]quests!$A$1,0,0,COUNTA([2]quests!$A:$A),MATCH(D$1,[2]quests!$1:$1,0)-MATCH($B$1,[2]quests!$1:$1,0)+1),MATCH(D$1,[2]quests!$1:$1,0)-MATCH($B$1,[2]quests!$1:$1,0)+1,FALSE)</f>
        <v>降臨1</v>
      </c>
      <c r="E33" s="87">
        <v>3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降臨1</v>
      </c>
      <c r="H33" s="85">
        <v>0</v>
      </c>
      <c r="I33">
        <v>30</v>
      </c>
      <c r="J33" s="84" t="s">
        <v>197</v>
      </c>
      <c r="K33" s="93" t="str">
        <f>VLOOKUP(I33,[6]stage_hints!$A:$C,3,FALSE)</f>
        <v>「バグ」の増やし方</v>
      </c>
      <c r="L33" s="94" t="str">
        <f>VLOOKUP(I33,[6]stage_hints!$A:$D,4,FALSE)</f>
        <v>同じユニット同士を強化で合成すると_x000D_「バグ」を増やすことができます</v>
      </c>
      <c r="M33" s="57" t="s">
        <v>210</v>
      </c>
    </row>
    <row r="34" spans="1:13" x14ac:dyDescent="0.15">
      <c r="A34" s="81" t="s">
        <v>200</v>
      </c>
      <c r="B34" s="82">
        <f>floors!$C$10</f>
        <v>41006</v>
      </c>
      <c r="C34" s="83" t="str">
        <f ca="1">VLOOKUP($B34,OFFSET([2]quests!$A$1,0,0,COUNTA([2]quests!$A:$A),MATCH(C$1,[2]quests!$1:$1,0)-MATCH($B$1,[2]quests!$1:$1,0)+1),MATCH(C$1,[2]quests!$1:$1,0)-MATCH($B$1,[2]quests!$1:$1,0)+1,FALSE)</f>
        <v>アーサー襲来！</v>
      </c>
      <c r="D34" s="83" t="str">
        <f ca="1">VLOOKUP($B34,OFFSET([2]quests!$A$1,0,0,COUNTA([2]quests!$A:$A),MATCH(D$1,[2]quests!$1:$1,0)-MATCH($B$1,[2]quests!$1:$1,0)+1),MATCH(D$1,[2]quests!$1:$1,0)-MATCH($B$1,[2]quests!$1:$1,0)+1,FALSE)</f>
        <v>降臨1</v>
      </c>
      <c r="E34" s="87">
        <v>3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降臨1</v>
      </c>
      <c r="H34" s="85">
        <v>0</v>
      </c>
      <c r="I34">
        <v>32</v>
      </c>
      <c r="J34" s="84" t="s">
        <v>197</v>
      </c>
      <c r="K34" s="93" t="str">
        <f>VLOOKUP(I34,[6]stage_hints!$A:$C,3,FALSE)</f>
        <v>敵の連続攻撃には</v>
      </c>
      <c r="L34" s="94" t="str">
        <f>VLOOKUP(I34,[6]stage_hints!$A:$D,4,FALSE)</f>
        <v>カウンタースキルを持つユニットがいれば_x000D_ダメージ回数分の反撃ができます</v>
      </c>
      <c r="M34" s="57" t="s">
        <v>210</v>
      </c>
    </row>
    <row r="35" spans="1:13" x14ac:dyDescent="0.15">
      <c r="A35" s="81" t="s">
        <v>200</v>
      </c>
      <c r="B35" s="82">
        <f>floors!$C$10</f>
        <v>41006</v>
      </c>
      <c r="C35" s="83" t="str">
        <f ca="1">VLOOKUP($B35,OFFSET([2]quests!$A$1,0,0,COUNTA([2]quests!$A:$A),MATCH(C$1,[2]quests!$1:$1,0)-MATCH($B$1,[2]quests!$1:$1,0)+1),MATCH(C$1,[2]quests!$1:$1,0)-MATCH($B$1,[2]quests!$1:$1,0)+1,FALSE)</f>
        <v>アーサー襲来！</v>
      </c>
      <c r="D35" s="83" t="str">
        <f ca="1">VLOOKUP($B35,OFFSET([2]quests!$A$1,0,0,COUNTA([2]quests!$A:$A),MATCH(D$1,[2]quests!$1:$1,0)-MATCH($B$1,[2]quests!$1:$1,0)+1),MATCH(D$1,[2]quests!$1:$1,0)-MATCH($B$1,[2]quests!$1:$1,0)+1,FALSE)</f>
        <v>降臨1</v>
      </c>
      <c r="E35" s="87">
        <v>3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降臨1</v>
      </c>
      <c r="H35" s="85">
        <v>0</v>
      </c>
      <c r="I35">
        <v>33</v>
      </c>
      <c r="J35" s="84" t="s">
        <v>197</v>
      </c>
      <c r="K35" s="93" t="str">
        <f>VLOOKUP(I35,[6]stage_hints!$A:$C,3,FALSE)</f>
        <v>敵のカウンター攻撃には</v>
      </c>
      <c r="L35" s="94" t="str">
        <f>VLOOKUP(I35,[6]stage_hints!$A:$D,4,FALSE)</f>
        <v>カウンターブレイクスキルを持っていれば_x000D_敵のカウンターを解除して攻撃ができます</v>
      </c>
      <c r="M35" s="57" t="s">
        <v>210</v>
      </c>
    </row>
    <row r="36" spans="1:13" x14ac:dyDescent="0.15">
      <c r="A36" s="81" t="s">
        <v>200</v>
      </c>
      <c r="B36" s="82">
        <f>floors!$C$10</f>
        <v>41006</v>
      </c>
      <c r="C36" s="83" t="str">
        <f ca="1">VLOOKUP($B36,OFFSET([2]quests!$A$1,0,0,COUNTA([2]quests!$A:$A),MATCH(C$1,[2]quests!$1:$1,0)-MATCH($B$1,[2]quests!$1:$1,0)+1),MATCH(C$1,[2]quests!$1:$1,0)-MATCH($B$1,[2]quests!$1:$1,0)+1,FALSE)</f>
        <v>アーサー襲来！</v>
      </c>
      <c r="D36" s="83" t="str">
        <f ca="1">VLOOKUP($B36,OFFSET([2]quests!$A$1,0,0,COUNTA([2]quests!$A:$A),MATCH(D$1,[2]quests!$1:$1,0)-MATCH($B$1,[2]quests!$1:$1,0)+1),MATCH(D$1,[2]quests!$1:$1,0)-MATCH($B$1,[2]quests!$1:$1,0)+1,FALSE)</f>
        <v>降臨1</v>
      </c>
      <c r="E36" s="87">
        <v>3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降臨1</v>
      </c>
      <c r="H36" s="85">
        <v>0</v>
      </c>
      <c r="I36">
        <v>34</v>
      </c>
      <c r="J36" s="84" t="s">
        <v>197</v>
      </c>
      <c r="K36" s="93" t="str">
        <f>VLOOKUP(I36,[6]stage_hints!$A:$C,3,FALSE)</f>
        <v>ステータスをスキルで下げられたら</v>
      </c>
      <c r="L36" s="94" t="str">
        <f>VLOOKUP(I36,[6]stage_hints!$A:$D,4,FALSE)</f>
        <v>ステータスダウンのスキルを受けたら_x000D_ステータスアップスキルで上書きしましょう</v>
      </c>
      <c r="M36" s="57" t="s">
        <v>210</v>
      </c>
    </row>
    <row r="37" spans="1:13" x14ac:dyDescent="0.15">
      <c r="A37" s="81" t="s">
        <v>200</v>
      </c>
      <c r="B37" s="82">
        <f>floors!$C$10</f>
        <v>41006</v>
      </c>
      <c r="C37" s="83" t="str">
        <f ca="1">VLOOKUP($B37,OFFSET([2]quests!$A$1,0,0,COUNTA([2]quests!$A:$A),MATCH(C$1,[2]quests!$1:$1,0)-MATCH($B$1,[2]quests!$1:$1,0)+1),MATCH(C$1,[2]quests!$1:$1,0)-MATCH($B$1,[2]quests!$1:$1,0)+1,FALSE)</f>
        <v>アーサー襲来！</v>
      </c>
      <c r="D37" s="83" t="str">
        <f ca="1">VLOOKUP($B37,OFFSET([2]quests!$A$1,0,0,COUNTA([2]quests!$A:$A),MATCH(D$1,[2]quests!$1:$1,0)-MATCH($B$1,[2]quests!$1:$1,0)+1),MATCH(D$1,[2]quests!$1:$1,0)-MATCH($B$1,[2]quests!$1:$1,0)+1,FALSE)</f>
        <v>降臨1</v>
      </c>
      <c r="E37" s="87">
        <v>3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降臨1</v>
      </c>
      <c r="H37" s="85">
        <v>0</v>
      </c>
      <c r="I37">
        <v>35</v>
      </c>
      <c r="J37" s="84" t="s">
        <v>197</v>
      </c>
      <c r="K37" s="93" t="str">
        <f>VLOOKUP(I37,[6]stage_hints!$A:$C,3,FALSE)</f>
        <v>敵のステータスがスキルで上がったら</v>
      </c>
      <c r="L37" s="94" t="str">
        <f>VLOOKUP(I37,[6]stage_hints!$A:$D,4,FALSE)</f>
        <v>敵のステータスがスキルでアップしたときは_x000D_ステータスダウンスキルで上書きしましょう</v>
      </c>
      <c r="M37" s="57" t="s">
        <v>210</v>
      </c>
    </row>
    <row r="38" spans="1:13" x14ac:dyDescent="0.15">
      <c r="A38" s="81" t="s">
        <v>200</v>
      </c>
      <c r="B38" s="82">
        <f>floors!$C$10</f>
        <v>41006</v>
      </c>
      <c r="C38" s="83" t="str">
        <f ca="1">VLOOKUP($B38,OFFSET([2]quests!$A$1,0,0,COUNTA([2]quests!$A:$A),MATCH(C$1,[2]quests!$1:$1,0)-MATCH($B$1,[2]quests!$1:$1,0)+1),MATCH(C$1,[2]quests!$1:$1,0)-MATCH($B$1,[2]quests!$1:$1,0)+1,FALSE)</f>
        <v>アーサー襲来！</v>
      </c>
      <c r="D38" s="83" t="str">
        <f ca="1">VLOOKUP($B38,OFFSET([2]quests!$A$1,0,0,COUNTA([2]quests!$A:$A),MATCH(D$1,[2]quests!$1:$1,0)-MATCH($B$1,[2]quests!$1:$1,0)+1),MATCH(D$1,[2]quests!$1:$1,0)-MATCH($B$1,[2]quests!$1:$1,0)+1,FALSE)</f>
        <v>降臨1</v>
      </c>
      <c r="E38" s="87">
        <v>3</v>
      </c>
      <c r="F38" s="83" t="str">
        <f ca="1">VLOOKUP($B38&amp;"_"&amp;$E38,OFFSET([2]stages!$A$1,0,0,COUNTA([2]stages!$A:$A),MATCH(F$1,[2]stages!$2:$2,0)-MATCH("temp_stage",[2]stages!$2:$2,0)+1),MATCH(F$1,[2]stages!$2:$2,0)-MATCH("temp_stage",[2]stages!$2:$2,0)+1,FALSE)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38" s="83" t="str">
        <f ca="1">VLOOKUP($B38&amp;"_"&amp;$E38,OFFSET([2]stages!$A$1,0,0,COUNTA([2]stages!$A:$A),MATCH(G$1,[2]stages!$2:$2,0)-MATCH("temp_stage",[2]stages!$2:$2,0)+1),MATCH(G$1,[2]stages!$2:$2,0)-MATCH("temp_stage",[2]stages!$2:$2,0)+1,FALSE)</f>
        <v>降臨1</v>
      </c>
      <c r="H38" s="85">
        <v>0</v>
      </c>
      <c r="I38">
        <v>36</v>
      </c>
      <c r="J38" s="84" t="s">
        <v>197</v>
      </c>
      <c r="K38" s="93" t="str">
        <f>VLOOKUP(I38,[6]stage_hints!$A:$C,3,FALSE)</f>
        <v>タワーオブザクイーンのボス</v>
      </c>
      <c r="L38" s="94" t="str">
        <f>VLOOKUP(I38,[6]stage_hints!$A:$D,4,FALSE)</f>
        <v>「タワーオブザクイーン」最上階のボスは_x000D_15階の初回クリア報酬で獲得できるほか_x000D_その階にて低確率でドロップもします</v>
      </c>
      <c r="M38" s="57" t="s">
        <v>210</v>
      </c>
    </row>
    <row r="39" spans="1:13" x14ac:dyDescent="0.15">
      <c r="A39" s="81" t="s">
        <v>200</v>
      </c>
      <c r="B39" s="82">
        <f>floors!$C$10</f>
        <v>41006</v>
      </c>
      <c r="C39" s="83" t="str">
        <f ca="1">VLOOKUP($B39,OFFSET([2]quests!$A$1,0,0,COUNTA([2]quests!$A:$A),MATCH(C$1,[2]quests!$1:$1,0)-MATCH($B$1,[2]quests!$1:$1,0)+1),MATCH(C$1,[2]quests!$1:$1,0)-MATCH($B$1,[2]quests!$1:$1,0)+1,FALSE)</f>
        <v>アーサー襲来！</v>
      </c>
      <c r="D39" s="83" t="str">
        <f ca="1">VLOOKUP($B39,OFFSET([2]quests!$A$1,0,0,COUNTA([2]quests!$A:$A),MATCH(D$1,[2]quests!$1:$1,0)-MATCH($B$1,[2]quests!$1:$1,0)+1),MATCH(D$1,[2]quests!$1:$1,0)-MATCH($B$1,[2]quests!$1:$1,0)+1,FALSE)</f>
        <v>降臨1</v>
      </c>
      <c r="E39" s="87">
        <v>3</v>
      </c>
      <c r="F39" s="83" t="str">
        <f ca="1">VLOOKUP($B39&amp;"_"&amp;$E39,OFFSET([2]stages!$A$1,0,0,COUNTA([2]stages!$A:$A),MATCH(F$1,[2]stages!$2:$2,0)-MATCH("temp_stage",[2]stages!$2:$2,0)+1),MATCH(F$1,[2]stages!$2:$2,0)-MATCH("temp_stage",[2]stages!$2:$2,0)+1,FALSE)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39" s="83" t="str">
        <f ca="1">VLOOKUP($B39&amp;"_"&amp;$E39,OFFSET([2]stages!$A$1,0,0,COUNTA([2]stages!$A:$A),MATCH(G$1,[2]stages!$2:$2,0)-MATCH("temp_stage",[2]stages!$2:$2,0)+1),MATCH(G$1,[2]stages!$2:$2,0)-MATCH("temp_stage",[2]stages!$2:$2,0)+1,FALSE)</f>
        <v>降臨1</v>
      </c>
      <c r="H39" s="85">
        <v>0</v>
      </c>
      <c r="I39">
        <v>37</v>
      </c>
      <c r="J39" s="84" t="s">
        <v>197</v>
      </c>
      <c r="K39" s="93" t="str">
        <f>VLOOKUP(I39,[6]stage_hints!$A:$C,3,FALSE)</f>
        <v>限界突破値の引き継ぎ</v>
      </c>
      <c r="L39" s="94" t="str">
        <f>VLOOKUP(I39,[6]stage_hints!$A:$D,4,FALSE)</f>
        <v>同じユニットを強化で合成すると_x000D_限界突破値を引き継げます（覚醒前後も可）</v>
      </c>
      <c r="M39" s="57" t="s">
        <v>210</v>
      </c>
    </row>
    <row r="40" spans="1:13" x14ac:dyDescent="0.15">
      <c r="A40" s="81" t="s">
        <v>200</v>
      </c>
      <c r="B40" s="82">
        <f>floors!$C$10</f>
        <v>41006</v>
      </c>
      <c r="C40" s="83" t="str">
        <f ca="1">VLOOKUP($B40,OFFSET([2]quests!$A$1,0,0,COUNTA([2]quests!$A:$A),MATCH(C$1,[2]quests!$1:$1,0)-MATCH($B$1,[2]quests!$1:$1,0)+1),MATCH(C$1,[2]quests!$1:$1,0)-MATCH($B$1,[2]quests!$1:$1,0)+1,FALSE)</f>
        <v>アーサー襲来！</v>
      </c>
      <c r="D40" s="83" t="str">
        <f ca="1">VLOOKUP($B40,OFFSET([2]quests!$A$1,0,0,COUNTA([2]quests!$A:$A),MATCH(D$1,[2]quests!$1:$1,0)-MATCH($B$1,[2]quests!$1:$1,0)+1),MATCH(D$1,[2]quests!$1:$1,0)-MATCH($B$1,[2]quests!$1:$1,0)+1,FALSE)</f>
        <v>降臨1</v>
      </c>
      <c r="E40" s="87">
        <v>3</v>
      </c>
      <c r="F40" s="83" t="str">
        <f ca="1">VLOOKUP($B40&amp;"_"&amp;$E40,OFFSET([2]stages!$A$1,0,0,COUNTA([2]stages!$A:$A),MATCH(F$1,[2]stages!$2:$2,0)-MATCH("temp_stage",[2]stages!$2:$2,0)+1),MATCH(F$1,[2]stages!$2:$2,0)-MATCH("temp_stage",[2]stages!$2:$2,0)+1,FALSE)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40" s="83" t="str">
        <f ca="1">VLOOKUP($B40&amp;"_"&amp;$E40,OFFSET([2]stages!$A$1,0,0,COUNTA([2]stages!$A:$A),MATCH(G$1,[2]stages!$2:$2,0)-MATCH("temp_stage",[2]stages!$2:$2,0)+1),MATCH(G$1,[2]stages!$2:$2,0)-MATCH("temp_stage",[2]stages!$2:$2,0)+1,FALSE)</f>
        <v>降臨1</v>
      </c>
      <c r="H40" s="85">
        <v>0</v>
      </c>
      <c r="I40">
        <v>39</v>
      </c>
      <c r="J40" s="84" t="s">
        <v>197</v>
      </c>
      <c r="K40" s="93" t="str">
        <f>VLOOKUP(I40,[6]stage_hints!$A:$C,3,FALSE)</f>
        <v>システム適合者を確認</v>
      </c>
      <c r="L40" s="94" t="str">
        <f>VLOOKUP(I40,[6]stage_hints!$A:$D,4,FALSE)</f>
        <v>ALICEが 「アナタ」を呼んでいます</v>
      </c>
      <c r="M40" s="57" t="s">
        <v>210</v>
      </c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2"/>
  <sheetViews>
    <sheetView showGridLines="0" workbookViewId="0">
      <pane ySplit="1" topLeftCell="A6" activePane="bottomLeft" state="frozen"/>
      <selection pane="bottomLeft" activeCell="O6" sqref="O6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6" t="s">
        <v>187</v>
      </c>
      <c r="B1" s="72" t="s">
        <v>150</v>
      </c>
      <c r="C1" s="77" t="s">
        <v>189</v>
      </c>
      <c r="D1" s="77" t="s">
        <v>33</v>
      </c>
      <c r="E1" s="72" t="s">
        <v>190</v>
      </c>
      <c r="F1" s="77" t="s">
        <v>18</v>
      </c>
      <c r="G1" s="77" t="s">
        <v>33</v>
      </c>
      <c r="H1" s="72" t="s">
        <v>192</v>
      </c>
      <c r="I1" s="89" t="s">
        <v>193</v>
      </c>
      <c r="J1" s="91" t="s">
        <v>194</v>
      </c>
      <c r="K1" s="79" t="s">
        <v>127</v>
      </c>
      <c r="L1" s="78" t="s">
        <v>186</v>
      </c>
      <c r="M1" s="92" t="s">
        <v>185</v>
      </c>
      <c r="N1" s="80" t="s">
        <v>195</v>
      </c>
    </row>
    <row r="2" spans="1:15" ht="56" x14ac:dyDescent="0.15">
      <c r="A2" s="81" t="s">
        <v>196</v>
      </c>
      <c r="B2" s="82">
        <f>floors!$C$10</f>
        <v>41006</v>
      </c>
      <c r="C2" s="83" t="str">
        <f ca="1">VLOOKUP($B2,OFFSET([2]quests!$A$1,0,0,COUNTA([2]quests!$A:$A),MATCH(C$1,[2]quests!$1:$1,0)-MATCH($B$1,[2]quests!$1:$1,0)+1),MATCH(C$1,[2]quests!$1:$1,0)-MATCH($B$1,[2]quests!$1:$1,0)+1,FALSE)</f>
        <v>アーサー襲来！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降臨1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【超絶級】アーサー襲来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5">
        <v>1</v>
      </c>
      <c r="I2" s="90">
        <f t="shared" ref="I2:I22" si="0">ROW()-1</f>
        <v>1</v>
      </c>
      <c r="J2" s="86" t="str">
        <f t="shared" ref="J2:J20" si="1">B2&amp;TEXT(I2,"00")</f>
        <v>4100601</v>
      </c>
      <c r="K2" s="84" t="s">
        <v>197</v>
      </c>
      <c r="L2" s="87" t="s">
        <v>198</v>
      </c>
      <c r="M2" s="149" t="s">
        <v>383</v>
      </c>
      <c r="N2" s="57" t="s">
        <v>199</v>
      </c>
      <c r="O2">
        <f>LEN(M2)</f>
        <v>58</v>
      </c>
    </row>
    <row r="3" spans="1:15" ht="56" x14ac:dyDescent="0.15">
      <c r="A3" s="81" t="s">
        <v>196</v>
      </c>
      <c r="B3" s="82">
        <f>floors!$C$10</f>
        <v>41006</v>
      </c>
      <c r="C3" s="83" t="str">
        <f ca="1">VLOOKUP($B3,OFFSET([2]quests!$A$1,0,0,COUNTA([2]quests!$A:$A),MATCH(C$1,[2]quests!$1:$1,0)-MATCH($B$1,[2]quests!$1:$1,0)+1),MATCH(C$1,[2]quests!$1:$1,0)-MATCH($B$1,[2]quests!$1:$1,0)+1,FALSE)</f>
        <v>アーサー襲来！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降臨1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【超絶級】アーサー襲来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5">
        <v>2</v>
      </c>
      <c r="I3" s="90">
        <f t="shared" si="0"/>
        <v>2</v>
      </c>
      <c r="J3" s="86" t="str">
        <f t="shared" si="1"/>
        <v>4100602</v>
      </c>
      <c r="K3" s="84" t="s">
        <v>197</v>
      </c>
      <c r="L3" s="87" t="s">
        <v>198</v>
      </c>
      <c r="M3" s="149" t="s">
        <v>384</v>
      </c>
      <c r="N3" s="57" t="s">
        <v>199</v>
      </c>
      <c r="O3">
        <f t="shared" ref="O3:O20" si="2">LEN(M3)</f>
        <v>59</v>
      </c>
    </row>
    <row r="4" spans="1:15" ht="56" x14ac:dyDescent="0.15">
      <c r="A4" s="81" t="s">
        <v>196</v>
      </c>
      <c r="B4" s="82">
        <f>floors!$C$10</f>
        <v>41006</v>
      </c>
      <c r="C4" s="83" t="str">
        <f ca="1">VLOOKUP($B4,OFFSET([2]quests!$A$1,0,0,COUNTA([2]quests!$A:$A),MATCH(C$1,[2]quests!$1:$1,0)-MATCH($B$1,[2]quests!$1:$1,0)+1),MATCH(C$1,[2]quests!$1:$1,0)-MATCH($B$1,[2]quests!$1:$1,0)+1,FALSE)</f>
        <v>アーサー襲来！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降臨1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【超絶級】アーサー襲来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5">
        <v>2</v>
      </c>
      <c r="I4" s="90">
        <f t="shared" si="0"/>
        <v>3</v>
      </c>
      <c r="J4" s="86" t="str">
        <f t="shared" si="1"/>
        <v>4100603</v>
      </c>
      <c r="K4" s="84" t="s">
        <v>197</v>
      </c>
      <c r="L4" s="87" t="s">
        <v>198</v>
      </c>
      <c r="M4" s="149" t="s">
        <v>385</v>
      </c>
      <c r="N4" s="57" t="s">
        <v>199</v>
      </c>
      <c r="O4">
        <f t="shared" si="2"/>
        <v>57</v>
      </c>
    </row>
    <row r="5" spans="1:15" ht="56" x14ac:dyDescent="0.15">
      <c r="A5" s="81" t="s">
        <v>196</v>
      </c>
      <c r="B5" s="82">
        <f>floors!$C$10</f>
        <v>41006</v>
      </c>
      <c r="C5" s="83" t="str">
        <f ca="1">VLOOKUP($B5,OFFSET([2]quests!$A$1,0,0,COUNTA([2]quests!$A:$A),MATCH(C$1,[2]quests!$1:$1,0)-MATCH($B$1,[2]quests!$1:$1,0)+1),MATCH(C$1,[2]quests!$1:$1,0)-MATCH($B$1,[2]quests!$1:$1,0)+1,FALSE)</f>
        <v>アーサー襲来！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降臨1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【超絶級】アーサー襲来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5">
        <v>3</v>
      </c>
      <c r="I5" s="90">
        <f t="shared" si="0"/>
        <v>4</v>
      </c>
      <c r="J5" s="86" t="str">
        <f t="shared" si="1"/>
        <v>4100604</v>
      </c>
      <c r="K5" s="84" t="s">
        <v>197</v>
      </c>
      <c r="L5" s="87" t="s">
        <v>198</v>
      </c>
      <c r="M5" s="149" t="s">
        <v>386</v>
      </c>
      <c r="N5" s="57" t="s">
        <v>199</v>
      </c>
      <c r="O5">
        <f t="shared" si="2"/>
        <v>57</v>
      </c>
    </row>
    <row r="6" spans="1:15" ht="56" x14ac:dyDescent="0.15">
      <c r="A6" s="81" t="s">
        <v>196</v>
      </c>
      <c r="B6" s="82">
        <f>floors!$C$10</f>
        <v>41006</v>
      </c>
      <c r="C6" s="83" t="str">
        <f ca="1">VLOOKUP($B6,OFFSET([2]quests!$A$1,0,0,COUNTA([2]quests!$A:$A),MATCH(C$1,[2]quests!$1:$1,0)-MATCH($B$1,[2]quests!$1:$1,0)+1),MATCH(C$1,[2]quests!$1:$1,0)-MATCH($B$1,[2]quests!$1:$1,0)+1,FALSE)</f>
        <v>アーサー襲来！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降臨1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【超絶級】アーサー襲来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5">
        <v>4</v>
      </c>
      <c r="I6" s="90">
        <f t="shared" si="0"/>
        <v>5</v>
      </c>
      <c r="J6" s="86" t="str">
        <f t="shared" si="1"/>
        <v>4100605</v>
      </c>
      <c r="K6" s="84" t="s">
        <v>197</v>
      </c>
      <c r="L6" s="87" t="s">
        <v>198</v>
      </c>
      <c r="M6" s="149" t="s">
        <v>387</v>
      </c>
      <c r="N6" s="57" t="s">
        <v>199</v>
      </c>
      <c r="O6">
        <f t="shared" si="2"/>
        <v>57</v>
      </c>
    </row>
    <row r="7" spans="1:15" ht="56" x14ac:dyDescent="0.15">
      <c r="A7" s="81" t="s">
        <v>196</v>
      </c>
      <c r="B7" s="82">
        <f>floors!$C$10</f>
        <v>41006</v>
      </c>
      <c r="C7" s="83" t="str">
        <f ca="1">VLOOKUP($B7,OFFSET([2]quests!$A$1,0,0,COUNTA([2]quests!$A:$A),MATCH(C$1,[2]quests!$1:$1,0)-MATCH($B$1,[2]quests!$1:$1,0)+1),MATCH(C$1,[2]quests!$1:$1,0)-MATCH($B$1,[2]quests!$1:$1,0)+1,FALSE)</f>
        <v>アーサー襲来！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降臨1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【超絶級】アーサー襲来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5">
        <v>4</v>
      </c>
      <c r="I7" s="90">
        <f t="shared" si="0"/>
        <v>6</v>
      </c>
      <c r="J7" s="86" t="str">
        <f t="shared" si="1"/>
        <v>4100606</v>
      </c>
      <c r="K7" s="84" t="s">
        <v>197</v>
      </c>
      <c r="L7" s="87" t="s">
        <v>198</v>
      </c>
      <c r="M7" s="149" t="s">
        <v>388</v>
      </c>
      <c r="N7" s="57" t="s">
        <v>199</v>
      </c>
      <c r="O7">
        <f t="shared" si="2"/>
        <v>51</v>
      </c>
    </row>
    <row r="8" spans="1:15" ht="56" x14ac:dyDescent="0.15">
      <c r="A8" s="81" t="s">
        <v>196</v>
      </c>
      <c r="B8" s="82">
        <f>floors!$C$10</f>
        <v>41006</v>
      </c>
      <c r="C8" s="83" t="str">
        <f ca="1">VLOOKUP($B8,OFFSET([2]quests!$A$1,0,0,COUNTA([2]quests!$A:$A),MATCH(C$1,[2]quests!$1:$1,0)-MATCH($B$1,[2]quests!$1:$1,0)+1),MATCH(C$1,[2]quests!$1:$1,0)-MATCH($B$1,[2]quests!$1:$1,0)+1,FALSE)</f>
        <v>アーサー襲来！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降臨1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【超絶級】アーサー襲来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5">
        <v>4</v>
      </c>
      <c r="I8" s="90">
        <f t="shared" si="0"/>
        <v>7</v>
      </c>
      <c r="J8" s="86" t="str">
        <f t="shared" si="1"/>
        <v>4100607</v>
      </c>
      <c r="K8" s="84" t="s">
        <v>197</v>
      </c>
      <c r="L8" s="87" t="s">
        <v>198</v>
      </c>
      <c r="M8" s="149" t="s">
        <v>389</v>
      </c>
      <c r="N8" s="57" t="s">
        <v>199</v>
      </c>
      <c r="O8">
        <f t="shared" si="2"/>
        <v>53</v>
      </c>
    </row>
    <row r="9" spans="1:15" ht="56" x14ac:dyDescent="0.15">
      <c r="A9" s="81" t="s">
        <v>196</v>
      </c>
      <c r="B9" s="82">
        <f>floors!$C$10</f>
        <v>41006</v>
      </c>
      <c r="C9" s="83" t="str">
        <f ca="1">VLOOKUP($B9,OFFSET([2]quests!$A$1,0,0,COUNTA([2]quests!$A:$A),MATCH(C$1,[2]quests!$1:$1,0)-MATCH($B$1,[2]quests!$1:$1,0)+1),MATCH(C$1,[2]quests!$1:$1,0)-MATCH($B$1,[2]quests!$1:$1,0)+1,FALSE)</f>
        <v>アーサー襲来！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降臨1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5">
        <v>1</v>
      </c>
      <c r="I9" s="90">
        <f t="shared" si="0"/>
        <v>8</v>
      </c>
      <c r="J9" s="86" t="str">
        <f t="shared" ref="J9:J15" si="3">B9&amp;TEXT(I9,"00")</f>
        <v>4100608</v>
      </c>
      <c r="K9" s="84" t="s">
        <v>197</v>
      </c>
      <c r="L9" s="87" t="s">
        <v>198</v>
      </c>
      <c r="M9" s="149" t="s">
        <v>383</v>
      </c>
      <c r="N9" s="57" t="s">
        <v>199</v>
      </c>
      <c r="O9">
        <f t="shared" ref="O9:O15" si="4">LEN(M9)</f>
        <v>58</v>
      </c>
    </row>
    <row r="10" spans="1:15" ht="56" x14ac:dyDescent="0.15">
      <c r="A10" s="81" t="s">
        <v>196</v>
      </c>
      <c r="B10" s="82">
        <f>floors!$C$10</f>
        <v>41006</v>
      </c>
      <c r="C10" s="83" t="str">
        <f ca="1">VLOOKUP($B10,OFFSET([2]quests!$A$1,0,0,COUNTA([2]quests!$A:$A),MATCH(C$1,[2]quests!$1:$1,0)-MATCH($B$1,[2]quests!$1:$1,0)+1),MATCH(C$1,[2]quests!$1:$1,0)-MATCH($B$1,[2]quests!$1:$1,0)+1,FALSE)</f>
        <v>アーサー襲来！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5">
        <v>2</v>
      </c>
      <c r="I10" s="90">
        <f t="shared" si="0"/>
        <v>9</v>
      </c>
      <c r="J10" s="86" t="str">
        <f t="shared" si="3"/>
        <v>4100609</v>
      </c>
      <c r="K10" s="84" t="s">
        <v>197</v>
      </c>
      <c r="L10" s="87" t="s">
        <v>198</v>
      </c>
      <c r="M10" s="149" t="s">
        <v>384</v>
      </c>
      <c r="N10" s="57" t="s">
        <v>199</v>
      </c>
      <c r="O10">
        <f t="shared" si="4"/>
        <v>59</v>
      </c>
    </row>
    <row r="11" spans="1:15" ht="56" x14ac:dyDescent="0.15">
      <c r="A11" s="81" t="s">
        <v>196</v>
      </c>
      <c r="B11" s="82">
        <f>floors!$C$10</f>
        <v>41006</v>
      </c>
      <c r="C11" s="83" t="str">
        <f ca="1">VLOOKUP($B11,OFFSET([2]quests!$A$1,0,0,COUNTA([2]quests!$A:$A),MATCH(C$1,[2]quests!$1:$1,0)-MATCH($B$1,[2]quests!$1:$1,0)+1),MATCH(C$1,[2]quests!$1:$1,0)-MATCH($B$1,[2]quests!$1:$1,0)+1,FALSE)</f>
        <v>アーサー襲来！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5">
        <v>2</v>
      </c>
      <c r="I11" s="90">
        <f t="shared" si="0"/>
        <v>10</v>
      </c>
      <c r="J11" s="86" t="str">
        <f t="shared" si="3"/>
        <v>4100610</v>
      </c>
      <c r="K11" s="84" t="s">
        <v>197</v>
      </c>
      <c r="L11" s="87" t="s">
        <v>198</v>
      </c>
      <c r="M11" s="149" t="s">
        <v>433</v>
      </c>
      <c r="N11" s="57" t="s">
        <v>199</v>
      </c>
      <c r="O11">
        <f t="shared" si="4"/>
        <v>57</v>
      </c>
    </row>
    <row r="12" spans="1:15" ht="56" x14ac:dyDescent="0.15">
      <c r="A12" s="81" t="s">
        <v>196</v>
      </c>
      <c r="B12" s="82">
        <f>floors!$C$10</f>
        <v>41006</v>
      </c>
      <c r="C12" s="83" t="str">
        <f ca="1">VLOOKUP($B12,OFFSET([2]quests!$A$1,0,0,COUNTA([2]quests!$A:$A),MATCH(C$1,[2]quests!$1:$1,0)-MATCH($B$1,[2]quests!$1:$1,0)+1),MATCH(C$1,[2]quests!$1:$1,0)-MATCH($B$1,[2]quests!$1:$1,0)+1,FALSE)</f>
        <v>アーサー襲来！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4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5">
        <v>3</v>
      </c>
      <c r="I12" s="90">
        <f t="shared" si="0"/>
        <v>11</v>
      </c>
      <c r="J12" s="86" t="str">
        <f t="shared" si="3"/>
        <v>4100611</v>
      </c>
      <c r="K12" s="84" t="s">
        <v>197</v>
      </c>
      <c r="L12" s="87" t="s">
        <v>198</v>
      </c>
      <c r="M12" s="149" t="s">
        <v>432</v>
      </c>
      <c r="N12" s="57" t="s">
        <v>199</v>
      </c>
      <c r="O12">
        <f t="shared" si="4"/>
        <v>58</v>
      </c>
    </row>
    <row r="13" spans="1:15" ht="56" x14ac:dyDescent="0.15">
      <c r="A13" s="81" t="s">
        <v>196</v>
      </c>
      <c r="B13" s="82">
        <f>floors!$C$10</f>
        <v>41006</v>
      </c>
      <c r="C13" s="83" t="str">
        <f ca="1">VLOOKUP($B13,OFFSET([2]quests!$A$1,0,0,COUNTA([2]quests!$A:$A),MATCH(C$1,[2]quests!$1:$1,0)-MATCH($B$1,[2]quests!$1:$1,0)+1),MATCH(C$1,[2]quests!$1:$1,0)-MATCH($B$1,[2]quests!$1:$1,0)+1,FALSE)</f>
        <v>アーサー襲来！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4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5">
        <v>4</v>
      </c>
      <c r="I13" s="90">
        <f t="shared" si="0"/>
        <v>12</v>
      </c>
      <c r="J13" s="86" t="str">
        <f t="shared" si="3"/>
        <v>4100612</v>
      </c>
      <c r="K13" s="84" t="s">
        <v>197</v>
      </c>
      <c r="L13" s="87" t="s">
        <v>198</v>
      </c>
      <c r="M13" s="149" t="s">
        <v>431</v>
      </c>
      <c r="N13" s="57" t="s">
        <v>199</v>
      </c>
      <c r="O13">
        <f t="shared" si="4"/>
        <v>58</v>
      </c>
    </row>
    <row r="14" spans="1:15" ht="56" x14ac:dyDescent="0.15">
      <c r="A14" s="81" t="s">
        <v>196</v>
      </c>
      <c r="B14" s="82">
        <f>floors!$C$10</f>
        <v>41006</v>
      </c>
      <c r="C14" s="83" t="str">
        <f ca="1">VLOOKUP($B14,OFFSET([2]quests!$A$1,0,0,COUNTA([2]quests!$A:$A),MATCH(C$1,[2]quests!$1:$1,0)-MATCH($B$1,[2]quests!$1:$1,0)+1),MATCH(C$1,[2]quests!$1:$1,0)-MATCH($B$1,[2]quests!$1:$1,0)+1,FALSE)</f>
        <v>アーサー襲来！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4">
        <v>2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5">
        <v>4</v>
      </c>
      <c r="I14" s="90">
        <f t="shared" si="0"/>
        <v>13</v>
      </c>
      <c r="J14" s="86" t="str">
        <f t="shared" si="3"/>
        <v>4100613</v>
      </c>
      <c r="K14" s="84" t="s">
        <v>197</v>
      </c>
      <c r="L14" s="87" t="s">
        <v>198</v>
      </c>
      <c r="M14" s="149" t="s">
        <v>388</v>
      </c>
      <c r="N14" s="57" t="s">
        <v>199</v>
      </c>
      <c r="O14">
        <f t="shared" si="4"/>
        <v>51</v>
      </c>
    </row>
    <row r="15" spans="1:15" ht="56" x14ac:dyDescent="0.15">
      <c r="A15" s="81" t="s">
        <v>196</v>
      </c>
      <c r="B15" s="82">
        <f>floors!$C$10</f>
        <v>41006</v>
      </c>
      <c r="C15" s="83" t="str">
        <f ca="1">VLOOKUP($B15,OFFSET([2]quests!$A$1,0,0,COUNTA([2]quests!$A:$A),MATCH(C$1,[2]quests!$1:$1,0)-MATCH($B$1,[2]quests!$1:$1,0)+1),MATCH(C$1,[2]quests!$1:$1,0)-MATCH($B$1,[2]quests!$1:$1,0)+1,FALSE)</f>
        <v>アーサー襲来！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84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【ウィザード級】アーサー襲来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85">
        <v>4</v>
      </c>
      <c r="I15" s="90">
        <f t="shared" si="0"/>
        <v>14</v>
      </c>
      <c r="J15" s="86" t="str">
        <f t="shared" si="3"/>
        <v>4100614</v>
      </c>
      <c r="K15" s="84" t="s">
        <v>197</v>
      </c>
      <c r="L15" s="87" t="s">
        <v>198</v>
      </c>
      <c r="M15" s="149" t="s">
        <v>389</v>
      </c>
      <c r="N15" s="57" t="s">
        <v>199</v>
      </c>
      <c r="O15">
        <f t="shared" si="4"/>
        <v>53</v>
      </c>
    </row>
    <row r="16" spans="1:15" ht="56" x14ac:dyDescent="0.15">
      <c r="A16" s="81" t="s">
        <v>196</v>
      </c>
      <c r="B16" s="82">
        <f>floors!$C$10</f>
        <v>41006</v>
      </c>
      <c r="C16" s="83" t="str">
        <f ca="1">VLOOKUP($B16,OFFSET([2]quests!$A$1,0,0,COUNTA([2]quests!$A:$A),MATCH(C$1,[2]quests!$1:$1,0)-MATCH($B$1,[2]quests!$1:$1,0)+1),MATCH(C$1,[2]quests!$1:$1,0)-MATCH($B$1,[2]quests!$1:$1,0)+1,FALSE)</f>
        <v>アーサー襲来！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4">
        <v>3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5">
        <v>1</v>
      </c>
      <c r="I16" s="90">
        <f t="shared" si="0"/>
        <v>15</v>
      </c>
      <c r="J16" s="86" t="str">
        <f t="shared" si="1"/>
        <v>4100615</v>
      </c>
      <c r="K16" s="84" t="s">
        <v>197</v>
      </c>
      <c r="L16" s="87" t="s">
        <v>198</v>
      </c>
      <c r="M16" s="149" t="s">
        <v>383</v>
      </c>
      <c r="N16" s="57" t="s">
        <v>199</v>
      </c>
      <c r="O16">
        <f t="shared" si="2"/>
        <v>58</v>
      </c>
    </row>
    <row r="17" spans="1:15" ht="56" x14ac:dyDescent="0.15">
      <c r="A17" s="81" t="s">
        <v>196</v>
      </c>
      <c r="B17" s="82">
        <f>floors!$C$10</f>
        <v>41006</v>
      </c>
      <c r="C17" s="83" t="str">
        <f ca="1">VLOOKUP($B17,OFFSET([2]quests!$A$1,0,0,COUNTA([2]quests!$A:$A),MATCH(C$1,[2]quests!$1:$1,0)-MATCH($B$1,[2]quests!$1:$1,0)+1),MATCH(C$1,[2]quests!$1:$1,0)-MATCH($B$1,[2]quests!$1:$1,0)+1,FALSE)</f>
        <v>アーサー襲来！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84">
        <v>3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85">
        <v>2</v>
      </c>
      <c r="I17" s="90">
        <f t="shared" si="0"/>
        <v>16</v>
      </c>
      <c r="J17" s="86" t="str">
        <f t="shared" si="1"/>
        <v>4100616</v>
      </c>
      <c r="K17" s="84" t="s">
        <v>197</v>
      </c>
      <c r="L17" s="87" t="s">
        <v>198</v>
      </c>
      <c r="M17" s="149" t="s">
        <v>384</v>
      </c>
      <c r="N17" s="57" t="s">
        <v>199</v>
      </c>
      <c r="O17">
        <f t="shared" si="2"/>
        <v>59</v>
      </c>
    </row>
    <row r="18" spans="1:15" ht="56" x14ac:dyDescent="0.15">
      <c r="A18" s="81" t="s">
        <v>196</v>
      </c>
      <c r="B18" s="82">
        <f>floors!$C$10</f>
        <v>41006</v>
      </c>
      <c r="C18" s="83" t="str">
        <f ca="1">VLOOKUP($B18,OFFSET([2]quests!$A$1,0,0,COUNTA([2]quests!$A:$A),MATCH(C$1,[2]quests!$1:$1,0)-MATCH($B$1,[2]quests!$1:$1,0)+1),MATCH(C$1,[2]quests!$1:$1,0)-MATCH($B$1,[2]quests!$1:$1,0)+1,FALSE)</f>
        <v>アーサー襲来！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84">
        <v>3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85">
        <v>2</v>
      </c>
      <c r="I18" s="90">
        <f t="shared" si="0"/>
        <v>17</v>
      </c>
      <c r="J18" s="86" t="str">
        <f t="shared" ref="J18" si="5">B18&amp;TEXT(I18,"00")</f>
        <v>4100617</v>
      </c>
      <c r="K18" s="84" t="s">
        <v>197</v>
      </c>
      <c r="L18" s="87" t="s">
        <v>198</v>
      </c>
      <c r="M18" s="149" t="s">
        <v>433</v>
      </c>
      <c r="N18" s="57" t="s">
        <v>199</v>
      </c>
      <c r="O18">
        <f t="shared" ref="O18" si="6">LEN(M18)</f>
        <v>57</v>
      </c>
    </row>
    <row r="19" spans="1:15" ht="56" x14ac:dyDescent="0.15">
      <c r="A19" s="81" t="s">
        <v>196</v>
      </c>
      <c r="B19" s="82">
        <f>floors!$C$10</f>
        <v>41006</v>
      </c>
      <c r="C19" s="83" t="str">
        <f ca="1">VLOOKUP($B19,OFFSET([2]quests!$A$1,0,0,COUNTA([2]quests!$A:$A),MATCH(C$1,[2]quests!$1:$1,0)-MATCH($B$1,[2]quests!$1:$1,0)+1),MATCH(C$1,[2]quests!$1:$1,0)-MATCH($B$1,[2]quests!$1:$1,0)+1,FALSE)</f>
        <v>アーサー襲来！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84">
        <v>3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85">
        <v>3</v>
      </c>
      <c r="I19" s="90">
        <f t="shared" si="0"/>
        <v>18</v>
      </c>
      <c r="J19" s="86" t="str">
        <f t="shared" si="1"/>
        <v>4100618</v>
      </c>
      <c r="K19" s="84" t="s">
        <v>197</v>
      </c>
      <c r="L19" s="87" t="s">
        <v>198</v>
      </c>
      <c r="M19" s="149" t="s">
        <v>432</v>
      </c>
      <c r="N19" s="57" t="s">
        <v>199</v>
      </c>
      <c r="O19">
        <f t="shared" si="2"/>
        <v>58</v>
      </c>
    </row>
    <row r="20" spans="1:15" ht="56" x14ac:dyDescent="0.15">
      <c r="A20" s="81" t="s">
        <v>196</v>
      </c>
      <c r="B20" s="82">
        <f>floors!$C$10</f>
        <v>41006</v>
      </c>
      <c r="C20" s="83" t="str">
        <f ca="1">VLOOKUP($B20,OFFSET([2]quests!$A$1,0,0,COUNTA([2]quests!$A:$A),MATCH(C$1,[2]quests!$1:$1,0)-MATCH($B$1,[2]quests!$1:$1,0)+1),MATCH(C$1,[2]quests!$1:$1,0)-MATCH($B$1,[2]quests!$1:$1,0)+1,FALSE)</f>
        <v>アーサー襲来！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84">
        <v>3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85">
        <v>4</v>
      </c>
      <c r="I20" s="90">
        <f t="shared" si="0"/>
        <v>19</v>
      </c>
      <c r="J20" s="86" t="str">
        <f t="shared" si="1"/>
        <v>4100619</v>
      </c>
      <c r="K20" s="84" t="s">
        <v>197</v>
      </c>
      <c r="L20" s="87" t="s">
        <v>198</v>
      </c>
      <c r="M20" s="149" t="s">
        <v>431</v>
      </c>
      <c r="N20" s="57" t="s">
        <v>199</v>
      </c>
      <c r="O20">
        <f t="shared" si="2"/>
        <v>58</v>
      </c>
    </row>
    <row r="21" spans="1:15" ht="56" x14ac:dyDescent="0.15">
      <c r="A21" s="81" t="s">
        <v>196</v>
      </c>
      <c r="B21" s="82">
        <f>floors!$C$10</f>
        <v>41006</v>
      </c>
      <c r="C21" s="83" t="str">
        <f ca="1">VLOOKUP($B21,OFFSET([2]quests!$A$1,0,0,COUNTA([2]quests!$A:$A),MATCH(C$1,[2]quests!$1:$1,0)-MATCH($B$1,[2]quests!$1:$1,0)+1),MATCH(C$1,[2]quests!$1:$1,0)-MATCH($B$1,[2]quests!$1:$1,0)+1,FALSE)</f>
        <v>アーサー襲来！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84">
        <v>3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85">
        <v>4</v>
      </c>
      <c r="I21" s="90">
        <f t="shared" si="0"/>
        <v>20</v>
      </c>
      <c r="J21" s="86" t="str">
        <f t="shared" ref="J21:J22" si="7">B21&amp;TEXT(I21,"00")</f>
        <v>4100620</v>
      </c>
      <c r="K21" s="84" t="s">
        <v>197</v>
      </c>
      <c r="L21" s="87" t="s">
        <v>198</v>
      </c>
      <c r="M21" s="149" t="s">
        <v>388</v>
      </c>
      <c r="N21" s="57" t="s">
        <v>199</v>
      </c>
      <c r="O21">
        <f t="shared" ref="O21:O22" si="8">LEN(M21)</f>
        <v>51</v>
      </c>
    </row>
    <row r="22" spans="1:15" ht="56" x14ac:dyDescent="0.15">
      <c r="A22" s="81" t="s">
        <v>196</v>
      </c>
      <c r="B22" s="82">
        <f>floors!$C$10</f>
        <v>41006</v>
      </c>
      <c r="C22" s="83" t="str">
        <f ca="1">VLOOKUP($B22,OFFSET([2]quests!$A$1,0,0,COUNTA([2]quests!$A:$A),MATCH(C$1,[2]quests!$1:$1,0)-MATCH($B$1,[2]quests!$1:$1,0)+1),MATCH(C$1,[2]quests!$1:$1,0)-MATCH($B$1,[2]quests!$1:$1,0)+1,FALSE)</f>
        <v>アーサー襲来！</v>
      </c>
      <c r="D22" s="83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84">
        <v>3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【ノーコンテニュー】アーサー襲来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85">
        <v>4</v>
      </c>
      <c r="I22" s="90">
        <f t="shared" si="0"/>
        <v>21</v>
      </c>
      <c r="J22" s="86" t="str">
        <f t="shared" si="7"/>
        <v>4100621</v>
      </c>
      <c r="K22" s="84" t="s">
        <v>197</v>
      </c>
      <c r="L22" s="87" t="s">
        <v>198</v>
      </c>
      <c r="M22" s="149" t="s">
        <v>389</v>
      </c>
      <c r="N22" s="57" t="s">
        <v>199</v>
      </c>
      <c r="O22">
        <f t="shared" si="8"/>
        <v>53</v>
      </c>
    </row>
  </sheetData>
  <phoneticPr fontId="5"/>
  <dataValidations count="1">
    <dataValidation type="list" allowBlank="1" showInputMessage="1" showErrorMessage="1" sqref="A2:A2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2017-04-04T08:08:35Z</dcterms:modified>
</cp:coreProperties>
</file>