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3"/>
  </bookViews>
  <sheets>
    <sheet name="output" sheetId="103" r:id="rId1"/>
    <sheet name="gacha_198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gacha_198_base!$A$42:$B$68</definedName>
    <definedName name="_xlnm._FilterDatabase" localSheetId="4" hidden="1">gacha_bonus_tables!$B$1:$G$1</definedName>
    <definedName name="_xlnm._FilterDatabase" localSheetId="2" hidden="1">gacha_select_tables!$A$1:$S$399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2" i="82"/>
  <c r="L5" i="96"/>
  <c r="L4" i="96"/>
  <c r="L3" i="96"/>
  <c r="L2" i="96"/>
  <c r="H373" i="82"/>
  <c r="I373" i="82"/>
  <c r="D373" i="82"/>
  <c r="H372" i="82"/>
  <c r="I372" i="82"/>
  <c r="D372" i="82"/>
  <c r="H329" i="82"/>
  <c r="I329" i="82"/>
  <c r="D329" i="82"/>
  <c r="H328" i="82"/>
  <c r="I328" i="82"/>
  <c r="D328" i="82"/>
  <c r="H145" i="82"/>
  <c r="I145" i="82"/>
  <c r="D145" i="82"/>
  <c r="H144" i="82"/>
  <c r="I144" i="82"/>
  <c r="D144" i="82"/>
  <c r="H109" i="82"/>
  <c r="I109" i="82"/>
  <c r="D109" i="82"/>
  <c r="H108" i="82"/>
  <c r="I108" i="82"/>
  <c r="D108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5" i="105"/>
  <c r="G16" i="105"/>
  <c r="M2" i="96"/>
  <c r="M3" i="96"/>
  <c r="M4" i="96"/>
  <c r="M5" i="96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D13" i="105"/>
  <c r="B5" i="105"/>
  <c r="A13" i="105"/>
  <c r="D16" i="105"/>
  <c r="A16" i="105"/>
  <c r="R165" i="82"/>
  <c r="Q165" i="82"/>
  <c r="P165" i="82"/>
  <c r="O165" i="82"/>
  <c r="A3" i="94"/>
  <c r="A4" i="94"/>
  <c r="A5" i="94"/>
  <c r="A6" i="94"/>
  <c r="A7" i="94"/>
  <c r="A8" i="94"/>
  <c r="A9" i="94"/>
  <c r="A10" i="94"/>
  <c r="A11" i="94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M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389" i="82"/>
  <c r="C389" i="82"/>
  <c r="G389" i="82"/>
  <c r="J389" i="82"/>
  <c r="K389" i="82"/>
  <c r="L389" i="82"/>
  <c r="A17" i="94"/>
  <c r="A18" i="94"/>
  <c r="A19" i="94"/>
  <c r="A20" i="94"/>
  <c r="A21" i="94"/>
  <c r="A22" i="94"/>
  <c r="A23" i="94"/>
  <c r="A24" i="94"/>
  <c r="A25" i="94"/>
  <c r="A26" i="94"/>
  <c r="A27" i="94"/>
  <c r="A28" i="94"/>
  <c r="M389" i="82"/>
  <c r="O389" i="82"/>
  <c r="P389" i="82"/>
  <c r="Q389" i="82"/>
  <c r="R389" i="82"/>
  <c r="A390" i="82"/>
  <c r="C390" i="82"/>
  <c r="G390" i="82"/>
  <c r="J390" i="82"/>
  <c r="K390" i="82"/>
  <c r="L390" i="82"/>
  <c r="M390" i="82"/>
  <c r="O390" i="82"/>
  <c r="P390" i="82"/>
  <c r="Q390" i="82"/>
  <c r="R390" i="82"/>
  <c r="A391" i="82"/>
  <c r="C391" i="82"/>
  <c r="G391" i="82"/>
  <c r="J391" i="82"/>
  <c r="K391" i="82"/>
  <c r="L391" i="82"/>
  <c r="M391" i="82"/>
  <c r="O391" i="82"/>
  <c r="P391" i="82"/>
  <c r="Q391" i="82"/>
  <c r="R391" i="82"/>
  <c r="A392" i="82"/>
  <c r="C392" i="82"/>
  <c r="G392" i="82"/>
  <c r="J392" i="82"/>
  <c r="K392" i="82"/>
  <c r="L392" i="82"/>
  <c r="M392" i="82"/>
  <c r="O392" i="82"/>
  <c r="P392" i="82"/>
  <c r="Q392" i="82"/>
  <c r="R392" i="82"/>
  <c r="A393" i="82"/>
  <c r="C393" i="82"/>
  <c r="G393" i="82"/>
  <c r="J393" i="82"/>
  <c r="K393" i="82"/>
  <c r="L393" i="82"/>
  <c r="M393" i="82"/>
  <c r="O393" i="82"/>
  <c r="P393" i="82"/>
  <c r="Q393" i="82"/>
  <c r="R393" i="82"/>
  <c r="A394" i="82"/>
  <c r="C394" i="82"/>
  <c r="G394" i="82"/>
  <c r="J394" i="82"/>
  <c r="K394" i="82"/>
  <c r="L394" i="82"/>
  <c r="M394" i="82"/>
  <c r="O394" i="82"/>
  <c r="P394" i="82"/>
  <c r="Q394" i="82"/>
  <c r="R394" i="82"/>
  <c r="A395" i="82"/>
  <c r="C395" i="82"/>
  <c r="G395" i="82"/>
  <c r="J395" i="82"/>
  <c r="K395" i="82"/>
  <c r="L395" i="82"/>
  <c r="M395" i="82"/>
  <c r="O395" i="82"/>
  <c r="P395" i="82"/>
  <c r="Q395" i="82"/>
  <c r="R395" i="82"/>
  <c r="A396" i="82"/>
  <c r="C396" i="82"/>
  <c r="G396" i="82"/>
  <c r="J396" i="82"/>
  <c r="K396" i="82"/>
  <c r="L396" i="82"/>
  <c r="M396" i="82"/>
  <c r="O396" i="82"/>
  <c r="P396" i="82"/>
  <c r="Q396" i="82"/>
  <c r="R396" i="82"/>
  <c r="A397" i="82"/>
  <c r="C397" i="82"/>
  <c r="G397" i="82"/>
  <c r="J397" i="82"/>
  <c r="K397" i="82"/>
  <c r="L397" i="82"/>
  <c r="M397" i="82"/>
  <c r="O397" i="82"/>
  <c r="P397" i="82"/>
  <c r="Q397" i="82"/>
  <c r="R397" i="82"/>
  <c r="A398" i="82"/>
  <c r="C398" i="82"/>
  <c r="G398" i="82"/>
  <c r="J398" i="82"/>
  <c r="K398" i="82"/>
  <c r="L398" i="82"/>
  <c r="M398" i="82"/>
  <c r="O398" i="82"/>
  <c r="P398" i="82"/>
  <c r="Q398" i="82"/>
  <c r="R398" i="82"/>
  <c r="A399" i="82"/>
  <c r="C399" i="82"/>
  <c r="G399" i="82"/>
  <c r="J399" i="82"/>
  <c r="K399" i="82"/>
  <c r="L399" i="82"/>
  <c r="M399" i="82"/>
  <c r="O399" i="82"/>
  <c r="P399" i="82"/>
  <c r="Q399" i="82"/>
  <c r="R399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G5" i="96"/>
  <c r="G4" i="96"/>
  <c r="G3" i="96"/>
  <c r="G2" i="96"/>
  <c r="H4" i="96"/>
  <c r="C4" i="96"/>
  <c r="H5" i="96"/>
  <c r="C5" i="96"/>
  <c r="F4" i="96"/>
  <c r="I4" i="96"/>
  <c r="J4" i="96"/>
  <c r="K4" i="96"/>
  <c r="N4" i="96"/>
  <c r="O4" i="96"/>
  <c r="P4" i="96"/>
  <c r="Q4" i="96"/>
  <c r="R4" i="96"/>
  <c r="F5" i="96"/>
  <c r="I5" i="96"/>
  <c r="J5" i="96"/>
  <c r="K5" i="96"/>
  <c r="N5" i="96"/>
  <c r="O5" i="96"/>
  <c r="P5" i="96"/>
  <c r="Q5" i="96"/>
  <c r="R5" i="96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R173" i="82"/>
  <c r="Q173" i="82"/>
  <c r="P173" i="82"/>
  <c r="O173" i="82"/>
  <c r="L173" i="82"/>
  <c r="K173" i="82"/>
  <c r="J173" i="82"/>
  <c r="G173" i="82"/>
  <c r="C173" i="82"/>
  <c r="A173" i="82"/>
  <c r="R172" i="82"/>
  <c r="Q172" i="82"/>
  <c r="P172" i="82"/>
  <c r="O172" i="82"/>
  <c r="L172" i="82"/>
  <c r="K172" i="82"/>
  <c r="J172" i="82"/>
  <c r="G172" i="82"/>
  <c r="C172" i="82"/>
  <c r="A172" i="82"/>
  <c r="R171" i="82"/>
  <c r="Q171" i="82"/>
  <c r="P171" i="82"/>
  <c r="O171" i="82"/>
  <c r="L171" i="82"/>
  <c r="K171" i="82"/>
  <c r="J171" i="82"/>
  <c r="G171" i="82"/>
  <c r="C171" i="82"/>
  <c r="A171" i="82"/>
  <c r="R170" i="82"/>
  <c r="Q170" i="82"/>
  <c r="P170" i="82"/>
  <c r="O170" i="82"/>
  <c r="L170" i="82"/>
  <c r="K170" i="82"/>
  <c r="J170" i="82"/>
  <c r="G170" i="82"/>
  <c r="C170" i="82"/>
  <c r="A170" i="82"/>
  <c r="R169" i="82"/>
  <c r="Q169" i="82"/>
  <c r="P169" i="82"/>
  <c r="O169" i="82"/>
  <c r="L169" i="82"/>
  <c r="K169" i="82"/>
  <c r="J169" i="82"/>
  <c r="G169" i="82"/>
  <c r="C169" i="82"/>
  <c r="A169" i="82"/>
  <c r="R168" i="82"/>
  <c r="Q168" i="82"/>
  <c r="P168" i="82"/>
  <c r="O168" i="82"/>
  <c r="L168" i="82"/>
  <c r="K168" i="82"/>
  <c r="J168" i="82"/>
  <c r="G168" i="82"/>
  <c r="C168" i="82"/>
  <c r="A168" i="82"/>
  <c r="R167" i="82"/>
  <c r="Q167" i="82"/>
  <c r="P167" i="82"/>
  <c r="O167" i="82"/>
  <c r="L167" i="82"/>
  <c r="K167" i="82"/>
  <c r="J167" i="82"/>
  <c r="G167" i="82"/>
  <c r="C167" i="82"/>
  <c r="A167" i="82"/>
  <c r="R166" i="82"/>
  <c r="Q166" i="82"/>
  <c r="P166" i="82"/>
  <c r="O166" i="82"/>
  <c r="L166" i="82"/>
  <c r="K166" i="82"/>
  <c r="J166" i="82"/>
  <c r="G166" i="82"/>
  <c r="C166" i="82"/>
  <c r="A166" i="82"/>
  <c r="A7" i="105"/>
  <c r="N2" i="96"/>
  <c r="O2" i="96"/>
  <c r="P2" i="96"/>
  <c r="Q2" i="96"/>
  <c r="R2" i="96"/>
  <c r="N3" i="96"/>
  <c r="O3" i="96"/>
  <c r="P3" i="96"/>
  <c r="Q3" i="96"/>
  <c r="R3" i="96"/>
  <c r="F2" i="96"/>
  <c r="H2" i="96"/>
  <c r="I2" i="96"/>
  <c r="J2" i="96"/>
  <c r="K2" i="96"/>
  <c r="F3" i="96"/>
  <c r="H3" i="96"/>
  <c r="I3" i="96"/>
  <c r="J3" i="96"/>
  <c r="K3" i="96"/>
  <c r="C2" i="96"/>
  <c r="C3" i="96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<sst xmlns="http://schemas.openxmlformats.org/spreadsheetml/2006/main" count="165" uniqueCount="96">
  <si>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</si>
  <si>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</si>
  <si>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</si>
  <si>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</si>
  <si>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</si>
  <si>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</si>
  <si>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</si>
  <si>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</si>
  <si>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</si>
  <si>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</si>
  <si>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</si>
  <si>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</si>
  <si>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</si>
  <si>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</si>
  <si>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</si>
  <si>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</si>
  <si>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</si>
  <si>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</si>
  <si>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</si>
  <si>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</si>
  <si>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</si>
  <si>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</si>
  <si>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</si>
  <si>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</si>
  <si>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</si>
  <si>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</si>
  <si>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</si>
  <si>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</si>
  <si>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</si>
  <si>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</si>
  <si>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</si>
  <si>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</si>
  <si>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</si>
  <si>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</si>
  <si>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</si>
  <si>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</si>
  <si>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</si>
  <si>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</si>
  <si>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</si>
  <si>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</si>
  <si>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</si>
  <si>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</si>
  <si>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</si>
  <si>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</si>
  <si>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</si>
  <si>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</si>
  <si>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</si>
  <si>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</si>
  <si>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</si>
  <si>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</si>
  <si>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</si>
  <si>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</si>
  <si>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</si>
  <si>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</si>
  <si>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</si>
  <si>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</si>
  <si>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</si>
  <si>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</si>
  <si>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</si>
  <si>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</si>
  <si>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</si>
  <si>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</si>
  <si>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</si>
  <si>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</si>
  <si>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</si>
  <si>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</si>
  <si>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</si>
  <si>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</si>
  <si>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</si>
  <si>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</si>
  <si>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</si>
  <si>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</si>
  <si>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</si>
  <si>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</si>
  <si>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</si>
  <si>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</si>
  <si>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</si>
  <si>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</si>
  <si>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</si>
  <si>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</si>
  <si>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</si>
  <si>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</si>
  <si>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</si>
  <si>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</si>
  <si>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</si>
  <si>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</si>
  <si>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</si>
  <si>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</si>
  <si>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</si>
  <si>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pick</t>
    <phoneticPr fontId="11"/>
  </si>
  <si>
    <t>pick</t>
    <phoneticPr fontId="11"/>
  </si>
  <si>
    <t>総ユニット数</t>
    <rPh sb="0" eb="1">
      <t>ソウ</t>
    </rPh>
    <rPh sb="5" eb="6">
      <t>ス</t>
    </rPh>
    <phoneticPr fontId="11"/>
  </si>
  <si>
    <t>総ユニット数</t>
    <rPh sb="0" eb="6">
      <t>ソウユニッt</t>
    </rPh>
    <phoneticPr fontId="11"/>
  </si>
  <si>
    <t>レベル設定ユニット数</t>
    <rPh sb="3" eb="10">
      <t>セッテイy</t>
    </rPh>
    <phoneticPr fontId="11"/>
  </si>
  <si>
    <t>PremiumSS</t>
    <phoneticPr fontId="11"/>
  </si>
  <si>
    <t>↑こっちは今回使用していない</t>
    <rPh sb="5" eb="14">
      <t>コンカ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</si>
</sst>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6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</cellXfs>
  <cellStyles count="356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19" sqref="F19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198</v>
      </c>
      <c r="D2" s="25" t="s">
        <v>60</v>
      </c>
      <c r="E2" s="23" t="str">
        <f ca="1">B2&amp;C2&amp;D2</f>
        <v>gacha_select_tables_198.tmp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198</v>
      </c>
      <c r="D3" s="25" t="s">
        <v>61</v>
      </c>
      <c r="E3" s="23" t="str">
        <f ca="1">B3&amp;C3&amp;D3</f>
        <v>gacha_settle_tables_198.tmp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198</v>
      </c>
      <c r="D4" s="25" t="s">
        <v>61</v>
      </c>
      <c r="E4" s="23" t="str">
        <f ca="1">B4&amp;C4&amp;D4</f>
        <v>gacha_bonus_tables_198.tmp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198</v>
      </c>
      <c r="D5" s="25" t="s">
        <v>61</v>
      </c>
      <c r="E5" s="23" t="str">
        <f ca="1">B5&amp;C5&amp;D5</f>
        <v>gifts_tmp_198.tmp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198</v>
      </c>
      <c r="D6" s="25" t="s">
        <v>61</v>
      </c>
      <c r="E6" s="23" t="str">
        <f ca="1">B6&amp;C6&amp;D6</f>
        <v>gifts_i18n_198.tmp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workbookViewId="0">
      <selection activeCell="F16" sqref="F16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6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6">
      <c r="A2" s="15" t="str">
        <f>0&amp;C2&amp;D2</f>
        <v>0</v>
      </c>
      <c r="B2"/>
      <c r="C2" s="52"/>
    </row>
    <row r="3" spans="1:6">
      <c r="A3" s="15" t="str">
        <f t="shared" ref="A3:A11" si="0">0&amp;C3&amp;D3&amp;E3</f>
        <v>0PremiumW4</v>
      </c>
      <c r="B3">
        <v>8000</v>
      </c>
      <c r="C3" s="52" t="s">
        <v>72</v>
      </c>
      <c r="D3">
        <v>4</v>
      </c>
    </row>
    <row r="4" spans="1:6">
      <c r="A4" s="15" t="str">
        <f t="shared" si="0"/>
        <v>0PremiumN4</v>
      </c>
      <c r="B4">
        <v>15040</v>
      </c>
      <c r="C4" s="52" t="s">
        <v>73</v>
      </c>
      <c r="D4">
        <v>4</v>
      </c>
    </row>
    <row r="5" spans="1:6">
      <c r="A5" s="15" t="str">
        <f t="shared" si="0"/>
        <v>0PremiumS4</v>
      </c>
      <c r="B5">
        <v>15040</v>
      </c>
      <c r="C5" s="52" t="s">
        <v>74</v>
      </c>
      <c r="D5">
        <v>4</v>
      </c>
    </row>
    <row r="6" spans="1:6">
      <c r="A6" s="15" t="str">
        <f t="shared" si="0"/>
        <v>0PremiumSS4</v>
      </c>
      <c r="B6">
        <v>1410</v>
      </c>
      <c r="C6" s="52" t="s">
        <v>75</v>
      </c>
      <c r="D6">
        <v>4</v>
      </c>
    </row>
    <row r="7" spans="1:6">
      <c r="A7" s="15" t="str">
        <f t="shared" si="0"/>
        <v>0PremiumSS4pick</v>
      </c>
      <c r="B7">
        <v>4700</v>
      </c>
      <c r="C7" s="52" t="s">
        <v>94</v>
      </c>
      <c r="D7">
        <v>4</v>
      </c>
      <c r="E7" t="s">
        <v>89</v>
      </c>
    </row>
    <row r="8" spans="1:6">
      <c r="A8" s="15" t="str">
        <f t="shared" si="0"/>
        <v>0PremiumN5</v>
      </c>
      <c r="B8">
        <v>960</v>
      </c>
      <c r="C8" s="52" t="s">
        <v>73</v>
      </c>
      <c r="D8">
        <v>5</v>
      </c>
    </row>
    <row r="9" spans="1:6">
      <c r="A9" s="15" t="str">
        <f t="shared" si="0"/>
        <v>0PremiumS5</v>
      </c>
      <c r="B9">
        <v>960</v>
      </c>
      <c r="C9" s="52" t="s">
        <v>74</v>
      </c>
      <c r="D9">
        <v>5</v>
      </c>
    </row>
    <row r="10" spans="1:6">
      <c r="A10" s="15" t="str">
        <f t="shared" si="0"/>
        <v>0PremiumSS5</v>
      </c>
      <c r="B10">
        <v>90</v>
      </c>
      <c r="C10" s="61" t="s">
        <v>75</v>
      </c>
      <c r="D10">
        <v>5</v>
      </c>
    </row>
    <row r="11" spans="1:6">
      <c r="A11" s="15" t="str">
        <f t="shared" si="0"/>
        <v>0PremiumSS5pick</v>
      </c>
      <c r="B11">
        <v>300</v>
      </c>
      <c r="C11" s="61" t="s">
        <v>94</v>
      </c>
      <c r="D11">
        <v>5</v>
      </c>
      <c r="E11" t="s">
        <v>89</v>
      </c>
    </row>
    <row r="12" spans="1:6">
      <c r="A12" s="15"/>
      <c r="B12"/>
      <c r="C12" s="51"/>
    </row>
    <row r="13" spans="1:6">
      <c r="A13" s="15"/>
      <c r="B13"/>
      <c r="C13" s="52"/>
    </row>
    <row r="14" spans="1:6">
      <c r="A14" s="15"/>
      <c r="B14"/>
      <c r="C14" s="52"/>
    </row>
    <row r="15" spans="1:6">
      <c r="A15" s="15"/>
      <c r="B15"/>
      <c r="C15" s="52"/>
      <c r="F15" t="s">
        <v>95</v>
      </c>
    </row>
    <row r="16" spans="1:6">
      <c r="A16" s="54"/>
      <c r="B16"/>
      <c r="C16" s="60"/>
    </row>
    <row r="17" spans="1:9">
      <c r="A17" s="15" t="str">
        <f t="shared" ref="A17:A28" si="1">1&amp;C17&amp;D17&amp;E17</f>
        <v>1PremiumW3</v>
      </c>
      <c r="B17">
        <v>5053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7579</v>
      </c>
      <c r="C18" s="51" t="s">
        <v>73</v>
      </c>
      <c r="D18">
        <v>3</v>
      </c>
    </row>
    <row r="19" spans="1:9">
      <c r="A19" s="15" t="str">
        <f t="shared" si="1"/>
        <v>1PremiumS3</v>
      </c>
      <c r="B19">
        <v>7579</v>
      </c>
      <c r="C19" s="51" t="s">
        <v>74</v>
      </c>
      <c r="D19">
        <v>3</v>
      </c>
    </row>
    <row r="20" spans="1:9">
      <c r="A20" s="15" t="str">
        <f t="shared" si="1"/>
        <v>1PremiumW4</v>
      </c>
      <c r="B20">
        <v>5053</v>
      </c>
      <c r="C20" s="51" t="s">
        <v>72</v>
      </c>
      <c r="D20">
        <v>4</v>
      </c>
    </row>
    <row r="21" spans="1:9">
      <c r="A21" s="15" t="str">
        <f t="shared" si="1"/>
        <v>1PremiumN4</v>
      </c>
      <c r="B21">
        <v>6632</v>
      </c>
      <c r="C21" s="51" t="s">
        <v>73</v>
      </c>
      <c r="D21">
        <v>4</v>
      </c>
    </row>
    <row r="22" spans="1:9">
      <c r="A22" s="15" t="str">
        <f t="shared" si="1"/>
        <v>1PremiumS4</v>
      </c>
      <c r="B22">
        <v>6632</v>
      </c>
      <c r="C22" s="51" t="s">
        <v>74</v>
      </c>
      <c r="D22">
        <v>4</v>
      </c>
      <c r="H22" s="50"/>
      <c r="I22" s="50"/>
    </row>
    <row r="23" spans="1:9">
      <c r="A23" s="15" t="str">
        <f t="shared" si="1"/>
        <v>1PremiumSS4</v>
      </c>
      <c r="B23">
        <v>1406</v>
      </c>
      <c r="C23" s="51" t="s">
        <v>75</v>
      </c>
      <c r="D23">
        <v>4</v>
      </c>
    </row>
    <row r="24" spans="1:9">
      <c r="A24" s="15" t="str">
        <f t="shared" si="1"/>
        <v>1PremiumSS4pick</v>
      </c>
      <c r="B24">
        <v>4688</v>
      </c>
      <c r="C24" s="51" t="s">
        <v>94</v>
      </c>
      <c r="D24">
        <v>4</v>
      </c>
      <c r="E24" t="s">
        <v>90</v>
      </c>
    </row>
    <row r="25" spans="1:9">
      <c r="A25" s="15" t="str">
        <f t="shared" si="1"/>
        <v>1PremiumN5</v>
      </c>
      <c r="B25">
        <v>947</v>
      </c>
      <c r="C25" s="52" t="s">
        <v>73</v>
      </c>
      <c r="D25">
        <v>5</v>
      </c>
    </row>
    <row r="26" spans="1:9">
      <c r="A26" s="15" t="str">
        <f t="shared" si="1"/>
        <v>1PremiumS5</v>
      </c>
      <c r="B26">
        <v>947</v>
      </c>
      <c r="C26" s="52" t="s">
        <v>74</v>
      </c>
      <c r="D26">
        <v>5</v>
      </c>
    </row>
    <row r="27" spans="1:9">
      <c r="A27" s="15" t="str">
        <f t="shared" si="1"/>
        <v>1PremiumSS5</v>
      </c>
      <c r="B27">
        <v>94</v>
      </c>
      <c r="C27" s="52" t="s">
        <v>75</v>
      </c>
      <c r="D27">
        <v>5</v>
      </c>
    </row>
    <row r="28" spans="1:9">
      <c r="A28" s="15" t="str">
        <f t="shared" si="1"/>
        <v>1PremiumSS5pick</v>
      </c>
      <c r="B28">
        <v>313</v>
      </c>
      <c r="C28" s="51" t="s">
        <v>94</v>
      </c>
      <c r="D28">
        <v>5</v>
      </c>
      <c r="E28" t="s">
        <v>89</v>
      </c>
    </row>
    <row r="29" spans="1:9">
      <c r="A29" s="15"/>
      <c r="B29"/>
      <c r="C29" s="51"/>
    </row>
    <row r="30" spans="1:9">
      <c r="A30" s="15"/>
      <c r="B30"/>
      <c r="C30" s="41"/>
    </row>
    <row r="31" spans="1:9">
      <c r="A31" s="15"/>
      <c r="B31"/>
      <c r="C31" s="41"/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K23" sqref="K23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1980127</v>
      </c>
      <c r="B2" s="2" t="str">
        <f>198&amp;E2</f>
        <v>1980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VLOOKUP(D2,gacha_198_base!A:B,2,FALSE)</f>
        <v>8000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1980129</v>
      </c>
      <c r="B3" s="2" t="str">
        <f t="shared" ref="B3:B66" si="3">198&amp;E3</f>
        <v>1980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VLOOKUP(D3,gacha_198_base!A:B,2,FALSE)</f>
        <v>8000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1980131</v>
      </c>
      <c r="B4" s="2" t="str">
        <f t="shared" si="3"/>
        <v>1980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VLOOKUP(D4,gacha_198_base!A:B,2,FALSE)</f>
        <v>8000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1980133</v>
      </c>
      <c r="B5" s="2" t="str">
        <f t="shared" si="3"/>
        <v>1980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VLOOKUP(D5,gacha_198_base!A:B,2,FALSE)</f>
        <v>8000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1980135</v>
      </c>
      <c r="B6" s="2" t="str">
        <f t="shared" si="3"/>
        <v>1980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VLOOKUP(D6,gacha_198_base!A:B,2,FALSE)</f>
        <v>8000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1980137</v>
      </c>
      <c r="B7" s="2" t="str">
        <f t="shared" si="3"/>
        <v>1980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VLOOKUP(D7,gacha_198_base!A:B,2,FALSE)</f>
        <v>8000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1980139</v>
      </c>
      <c r="B8" s="2" t="str">
        <f t="shared" si="3"/>
        <v>1980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VLOOKUP(D8,gacha_198_base!A:B,2,FALSE)</f>
        <v>8000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1980141</v>
      </c>
      <c r="B9" s="2" t="str">
        <f t="shared" si="3"/>
        <v>1980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VLOOKUP(D9,gacha_198_base!A:B,2,FALSE)</f>
        <v>8000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1980143</v>
      </c>
      <c r="B10" s="2" t="str">
        <f t="shared" si="3"/>
        <v>1980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VLOOKUP(D10,gacha_198_base!A:B,2,FALSE)</f>
        <v>8000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1980145</v>
      </c>
      <c r="B11" s="2" t="str">
        <f t="shared" si="3"/>
        <v>1980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VLOOKUP(D11,gacha_198_base!A:B,2,FALSE)</f>
        <v>8000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1980147</v>
      </c>
      <c r="B12" s="2" t="str">
        <f t="shared" si="3"/>
        <v>1980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VLOOKUP(D12,gacha_198_base!A:B,2,FALSE)</f>
        <v>8000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1980149</v>
      </c>
      <c r="B13" s="2" t="str">
        <f t="shared" si="3"/>
        <v>1980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VLOOKUP(D13,gacha_198_base!A:B,2,FALSE)</f>
        <v>8000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1980151</v>
      </c>
      <c r="B14" s="2" t="str">
        <f t="shared" si="3"/>
        <v>1980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VLOOKUP(D14,gacha_198_base!A:B,2,FALSE)</f>
        <v>8000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1980153</v>
      </c>
      <c r="B15" s="2" t="str">
        <f t="shared" si="3"/>
        <v>1980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VLOOKUP(D15,gacha_198_base!A:B,2,FALSE)</f>
        <v>8000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1980155</v>
      </c>
      <c r="B16" s="2" t="str">
        <f t="shared" si="3"/>
        <v>1980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VLOOKUP(D16,gacha_198_base!A:B,2,FALSE)</f>
        <v>8000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1980157</v>
      </c>
      <c r="B17" s="2" t="str">
        <f t="shared" si="3"/>
        <v>1980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VLOOKUP(D17,gacha_198_base!A:B,2,FALSE)</f>
        <v>8000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1980159</v>
      </c>
      <c r="B18" s="2" t="str">
        <f t="shared" si="3"/>
        <v>1980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VLOOKUP(D18,gacha_198_base!A:B,2,FALSE)</f>
        <v>8000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1980161</v>
      </c>
      <c r="B19" s="2" t="str">
        <f t="shared" si="3"/>
        <v>1980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VLOOKUP(D19,gacha_198_base!A:B,2,FALSE)</f>
        <v>8000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1980163</v>
      </c>
      <c r="B20" s="2" t="str">
        <f t="shared" si="3"/>
        <v>1980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VLOOKUP(D20,gacha_198_base!A:B,2,FALSE)</f>
        <v>8000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1980165</v>
      </c>
      <c r="B21" s="2" t="str">
        <f t="shared" si="3"/>
        <v>1980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VLOOKUP(D21,gacha_198_base!A:B,2,FALSE)</f>
        <v>8000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1980167</v>
      </c>
      <c r="B22" s="2" t="str">
        <f t="shared" si="3"/>
        <v>1980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VLOOKUP(D22,gacha_198_base!A:B,2,FALSE)</f>
        <v>15040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1980168</v>
      </c>
      <c r="B23" s="2" t="str">
        <f t="shared" si="3"/>
        <v>1980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VLOOKUP(D23,gacha_198_base!A:B,2,FALSE)</f>
        <v>960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1980170</v>
      </c>
      <c r="B24" s="2" t="str">
        <f t="shared" si="3"/>
        <v>1980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VLOOKUP(D24,gacha_198_base!A:B,2,FALSE)</f>
        <v>15040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1980171</v>
      </c>
      <c r="B25" s="2" t="str">
        <f t="shared" si="3"/>
        <v>1980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VLOOKUP(D25,gacha_198_base!A:B,2,FALSE)</f>
        <v>960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1980173</v>
      </c>
      <c r="B26" s="2" t="str">
        <f t="shared" si="3"/>
        <v>1980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VLOOKUP(D26,gacha_198_base!A:B,2,FALSE)</f>
        <v>15040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1980174</v>
      </c>
      <c r="B27" s="2" t="str">
        <f t="shared" si="3"/>
        <v>1980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VLOOKUP(D27,gacha_198_base!A:B,2,FALSE)</f>
        <v>960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1980176</v>
      </c>
      <c r="B28" s="2" t="str">
        <f t="shared" si="3"/>
        <v>1980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VLOOKUP(D28,gacha_198_base!A:B,2,FALSE)</f>
        <v>15040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1980177</v>
      </c>
      <c r="B29" s="2" t="str">
        <f t="shared" si="3"/>
        <v>1980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VLOOKUP(D29,gacha_198_base!A:B,2,FALSE)</f>
        <v>960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1980179</v>
      </c>
      <c r="B30" s="2" t="str">
        <f t="shared" si="3"/>
        <v>1980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VLOOKUP(D30,gacha_198_base!A:B,2,FALSE)</f>
        <v>15040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1980180</v>
      </c>
      <c r="B31" s="2" t="str">
        <f t="shared" si="3"/>
        <v>1980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VLOOKUP(D31,gacha_198_base!A:B,2,FALSE)</f>
        <v>960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1980182</v>
      </c>
      <c r="B32" s="2" t="str">
        <f t="shared" si="3"/>
        <v>1980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VLOOKUP(D32,gacha_198_base!A:B,2,FALSE)</f>
        <v>15040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1980183</v>
      </c>
      <c r="B33" s="2" t="str">
        <f t="shared" si="3"/>
        <v>1980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VLOOKUP(D33,gacha_198_base!A:B,2,FALSE)</f>
        <v>960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1980185</v>
      </c>
      <c r="B34" s="2" t="str">
        <f t="shared" si="3"/>
        <v>1980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VLOOKUP(D34,gacha_198_base!A:B,2,FALSE)</f>
        <v>15040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1980186</v>
      </c>
      <c r="B35" s="2" t="str">
        <f t="shared" si="3"/>
        <v>1980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VLOOKUP(D35,gacha_198_base!A:B,2,FALSE)</f>
        <v>960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1980188</v>
      </c>
      <c r="B36" s="2" t="str">
        <f t="shared" si="3"/>
        <v>1980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VLOOKUP(D36,gacha_198_base!A:B,2,FALSE)</f>
        <v>15040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1980189</v>
      </c>
      <c r="B37" s="2" t="str">
        <f t="shared" si="3"/>
        <v>1980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VLOOKUP(D37,gacha_198_base!A:B,2,FALSE)</f>
        <v>960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1980191</v>
      </c>
      <c r="B38" s="2" t="str">
        <f t="shared" si="3"/>
        <v>1980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VLOOKUP(D38,gacha_198_base!A:B,2,FALSE)</f>
        <v>15040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1980192</v>
      </c>
      <c r="B39" s="2" t="str">
        <f t="shared" si="3"/>
        <v>1980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VLOOKUP(D39,gacha_198_base!A:B,2,FALSE)</f>
        <v>960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1980194</v>
      </c>
      <c r="B40" s="2" t="str">
        <f t="shared" si="3"/>
        <v>1980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VLOOKUP(D40,gacha_198_base!A:B,2,FALSE)</f>
        <v>15040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1980195</v>
      </c>
      <c r="B41" s="2" t="str">
        <f t="shared" si="3"/>
        <v>1980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VLOOKUP(D41,gacha_198_base!A:B,2,FALSE)</f>
        <v>960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1980197</v>
      </c>
      <c r="B42" s="2" t="str">
        <f t="shared" si="3"/>
        <v>1980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VLOOKUP(D42,gacha_198_base!A:B,2,FALSE)</f>
        <v>15040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1980198</v>
      </c>
      <c r="B43" s="2" t="str">
        <f t="shared" si="3"/>
        <v>1980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VLOOKUP(D43,gacha_198_base!A:B,2,FALSE)</f>
        <v>960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1980200</v>
      </c>
      <c r="B44" s="2" t="str">
        <f t="shared" si="3"/>
        <v>1980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VLOOKUP(D44,gacha_198_base!A:B,2,FALSE)</f>
        <v>15040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1980201</v>
      </c>
      <c r="B45" s="2" t="str">
        <f t="shared" si="3"/>
        <v>1980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VLOOKUP(D45,gacha_198_base!A:B,2,FALSE)</f>
        <v>960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1980203</v>
      </c>
      <c r="B46" s="2" t="str">
        <f t="shared" si="3"/>
        <v>1980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VLOOKUP(D46,gacha_198_base!A:B,2,FALSE)</f>
        <v>15040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1980204</v>
      </c>
      <c r="B47" s="2" t="str">
        <f t="shared" si="3"/>
        <v>1980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VLOOKUP(D47,gacha_198_base!A:B,2,FALSE)</f>
        <v>960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1980206</v>
      </c>
      <c r="B48" s="2" t="str">
        <f t="shared" si="3"/>
        <v>1980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VLOOKUP(D48,gacha_198_base!A:B,2,FALSE)</f>
        <v>15040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1980207</v>
      </c>
      <c r="B49" s="2" t="str">
        <f t="shared" si="3"/>
        <v>1980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VLOOKUP(D49,gacha_198_base!A:B,2,FALSE)</f>
        <v>960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1980209</v>
      </c>
      <c r="B50" s="2" t="str">
        <f t="shared" si="3"/>
        <v>1980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VLOOKUP(D50,gacha_198_base!A:B,2,FALSE)</f>
        <v>15040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1980210</v>
      </c>
      <c r="B51" s="2" t="str">
        <f t="shared" si="3"/>
        <v>1980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VLOOKUP(D51,gacha_198_base!A:B,2,FALSE)</f>
        <v>960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1980212</v>
      </c>
      <c r="B52" s="2" t="str">
        <f t="shared" si="3"/>
        <v>1980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VLOOKUP(D52,gacha_198_base!A:B,2,FALSE)</f>
        <v>15040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1980213</v>
      </c>
      <c r="B53" s="2" t="str">
        <f t="shared" si="3"/>
        <v>1980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VLOOKUP(D53,gacha_198_base!A:B,2,FALSE)</f>
        <v>960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1980215</v>
      </c>
      <c r="B54" s="2" t="str">
        <f t="shared" si="3"/>
        <v>1980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VLOOKUP(D54,gacha_198_base!A:B,2,FALSE)</f>
        <v>15040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1980216</v>
      </c>
      <c r="B55" s="2" t="str">
        <f t="shared" si="3"/>
        <v>1980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VLOOKUP(D55,gacha_198_base!A:B,2,FALSE)</f>
        <v>960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1980218</v>
      </c>
      <c r="B56" s="2" t="str">
        <f t="shared" si="3"/>
        <v>1980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VLOOKUP(D56,gacha_198_base!A:B,2,FALSE)</f>
        <v>15040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1980219</v>
      </c>
      <c r="B57" s="2" t="str">
        <f t="shared" si="3"/>
        <v>1980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VLOOKUP(D57,gacha_198_base!A:B,2,FALSE)</f>
        <v>960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1980221</v>
      </c>
      <c r="B58" s="2" t="str">
        <f t="shared" si="3"/>
        <v>1980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VLOOKUP(D58,gacha_198_base!A:B,2,FALSE)</f>
        <v>15040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1980222</v>
      </c>
      <c r="B59" s="2" t="str">
        <f t="shared" si="3"/>
        <v>1980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VLOOKUP(D59,gacha_198_base!A:B,2,FALSE)</f>
        <v>960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1980224</v>
      </c>
      <c r="B60" s="2" t="str">
        <f t="shared" si="3"/>
        <v>1980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VLOOKUP(D60,gacha_198_base!A:B,2,FALSE)</f>
        <v>15040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1980225</v>
      </c>
      <c r="B61" s="2" t="str">
        <f t="shared" si="3"/>
        <v>1980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VLOOKUP(D61,gacha_198_base!A:B,2,FALSE)</f>
        <v>960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1980227</v>
      </c>
      <c r="B62" s="2" t="str">
        <f t="shared" si="3"/>
        <v>1980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VLOOKUP(D62,gacha_198_base!A:B,2,FALSE)</f>
        <v>15040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1980228</v>
      </c>
      <c r="B63" s="2" t="str">
        <f t="shared" si="3"/>
        <v>1980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VLOOKUP(D63,gacha_198_base!A:B,2,FALSE)</f>
        <v>960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1980230</v>
      </c>
      <c r="B64" s="2" t="str">
        <f t="shared" si="3"/>
        <v>1980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VLOOKUP(D64,gacha_198_base!A:B,2,FALSE)</f>
        <v>15040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1980231</v>
      </c>
      <c r="B65" s="2" t="str">
        <f t="shared" si="3"/>
        <v>1980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VLOOKUP(D65,gacha_198_base!A:B,2,FALSE)</f>
        <v>960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1980233</v>
      </c>
      <c r="B66" s="2" t="str">
        <f t="shared" si="3"/>
        <v>1980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VLOOKUP(D66,gacha_198_base!A:B,2,FALSE)</f>
        <v>15040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1980234</v>
      </c>
      <c r="B67" s="2" t="str">
        <f t="shared" ref="B67:B130" si="7">198&amp;E67</f>
        <v>1980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VLOOKUP(D67,gacha_198_base!A:B,2,FALSE)</f>
        <v>960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1980236</v>
      </c>
      <c r="B68" s="2" t="str">
        <f t="shared" si="7"/>
        <v>1980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VLOOKUP(D68,gacha_198_base!A:B,2,FALSE)</f>
        <v>15040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1980237</v>
      </c>
      <c r="B69" s="2" t="str">
        <f t="shared" si="7"/>
        <v>1980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VLOOKUP(D69,gacha_198_base!A:B,2,FALSE)</f>
        <v>960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1980239</v>
      </c>
      <c r="B70" s="2" t="str">
        <f t="shared" si="7"/>
        <v>1980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VLOOKUP(D70,gacha_198_base!A:B,2,FALSE)</f>
        <v>15040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1980240</v>
      </c>
      <c r="B71" s="2" t="str">
        <f t="shared" si="7"/>
        <v>1980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VLOOKUP(D71,gacha_198_base!A:B,2,FALSE)</f>
        <v>960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1980242</v>
      </c>
      <c r="B72" s="2" t="str">
        <f t="shared" si="7"/>
        <v>1980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VLOOKUP(D72,gacha_198_base!A:B,2,FALSE)</f>
        <v>15040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1980243</v>
      </c>
      <c r="B73" s="2" t="str">
        <f t="shared" si="7"/>
        <v>1980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VLOOKUP(D73,gacha_198_base!A:B,2,FALSE)</f>
        <v>960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1980245</v>
      </c>
      <c r="B74" s="2" t="str">
        <f t="shared" si="7"/>
        <v>1980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VLOOKUP(D74,gacha_198_base!A:B,2,FALSE)</f>
        <v>15040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1980246</v>
      </c>
      <c r="B75" s="2" t="str">
        <f t="shared" si="7"/>
        <v>1980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VLOOKUP(D75,gacha_198_base!A:B,2,FALSE)</f>
        <v>960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1980248</v>
      </c>
      <c r="B76" s="2" t="str">
        <f t="shared" si="7"/>
        <v>1980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VLOOKUP(D76,gacha_198_base!A:B,2,FALSE)</f>
        <v>15040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1980249</v>
      </c>
      <c r="B77" s="2" t="str">
        <f t="shared" si="7"/>
        <v>1980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VLOOKUP(D77,gacha_198_base!A:B,2,FALSE)</f>
        <v>960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1980251</v>
      </c>
      <c r="B78" s="2" t="str">
        <f t="shared" si="7"/>
        <v>1980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VLOOKUP(D78,gacha_198_base!A:B,2,FALSE)</f>
        <v>15040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1980252</v>
      </c>
      <c r="B79" s="2" t="str">
        <f t="shared" si="7"/>
        <v>1980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VLOOKUP(D79,gacha_198_base!A:B,2,FALSE)</f>
        <v>960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1980254</v>
      </c>
      <c r="B80" s="2" t="str">
        <f t="shared" si="7"/>
        <v>1980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VLOOKUP(D80,gacha_198_base!A:B,2,FALSE)</f>
        <v>15040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1980255</v>
      </c>
      <c r="B81" s="2" t="str">
        <f t="shared" si="7"/>
        <v>1980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VLOOKUP(D81,gacha_198_base!A:B,2,FALSE)</f>
        <v>960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1980257</v>
      </c>
      <c r="B82" s="2" t="str">
        <f t="shared" si="7"/>
        <v>1980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VLOOKUP(D82,gacha_198_base!A:B,2,FALSE)</f>
        <v>15040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1980258</v>
      </c>
      <c r="B83" s="2" t="str">
        <f t="shared" si="7"/>
        <v>1980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VLOOKUP(D83,gacha_198_base!A:B,2,FALSE)</f>
        <v>960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1980260</v>
      </c>
      <c r="B84" s="2" t="str">
        <f t="shared" si="7"/>
        <v>1980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VLOOKUP(D84,gacha_198_base!A:B,2,FALSE)</f>
        <v>15040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1980261</v>
      </c>
      <c r="B85" s="2" t="str">
        <f t="shared" si="7"/>
        <v>1980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VLOOKUP(D85,gacha_198_base!A:B,2,FALSE)</f>
        <v>960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1980320</v>
      </c>
      <c r="B86" s="2" t="str">
        <f t="shared" si="7"/>
        <v>1980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VLOOKUP(D86,gacha_198_base!A:B,2,FALSE)</f>
        <v>1410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1980321</v>
      </c>
      <c r="B87" s="2" t="str">
        <f t="shared" si="7"/>
        <v>1980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VLOOKUP(D87,gacha_198_base!A:B,2,FALSE)</f>
        <v>90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1980322</v>
      </c>
      <c r="B88" s="2" t="str">
        <f t="shared" si="7"/>
        <v>1980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VLOOKUP(D88,gacha_198_base!A:B,2,FALSE)</f>
        <v>1410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1980323</v>
      </c>
      <c r="B89" s="2" t="str">
        <f t="shared" si="7"/>
        <v>1980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VLOOKUP(D89,gacha_198_base!A:B,2,FALSE)</f>
        <v>90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1980324</v>
      </c>
      <c r="B90" s="2" t="str">
        <f t="shared" si="7"/>
        <v>1980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VLOOKUP(D90,gacha_198_base!A:B,2,FALSE)</f>
        <v>1410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1980325</v>
      </c>
      <c r="B91" s="2" t="str">
        <f t="shared" si="7"/>
        <v>1980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VLOOKUP(D91,gacha_198_base!A:B,2,FALSE)</f>
        <v>90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1980326</v>
      </c>
      <c r="B92" s="2" t="str">
        <f t="shared" si="7"/>
        <v>1980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VLOOKUP(D92,gacha_198_base!A:B,2,FALSE)</f>
        <v>1410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1980327</v>
      </c>
      <c r="B93" s="2" t="str">
        <f t="shared" si="7"/>
        <v>1980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VLOOKUP(D93,gacha_198_base!A:B,2,FALSE)</f>
        <v>90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1980381</v>
      </c>
      <c r="B94" s="2" t="str">
        <f t="shared" si="7"/>
        <v>1980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VLOOKUP(D94,gacha_198_base!A:B,2,FALSE)</f>
        <v>15040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1980382</v>
      </c>
      <c r="B95" s="2" t="str">
        <f t="shared" si="7"/>
        <v>1980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VLOOKUP(D95,gacha_198_base!A:B,2,FALSE)</f>
        <v>960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1980383</v>
      </c>
      <c r="B96" s="2" t="str">
        <f t="shared" si="7"/>
        <v>1980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VLOOKUP(D96,gacha_198_base!A:B,2,FALSE)</f>
        <v>1410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1980384</v>
      </c>
      <c r="B97" s="2" t="str">
        <f t="shared" si="7"/>
        <v>1980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VLOOKUP(D97,gacha_198_base!A:B,2,FALSE)</f>
        <v>90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1980385</v>
      </c>
      <c r="B98" s="2" t="str">
        <f t="shared" si="7"/>
        <v>1980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VLOOKUP(D98,gacha_198_base!A:B,2,FALSE)</f>
        <v>1410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1980386</v>
      </c>
      <c r="B99" s="2" t="str">
        <f t="shared" si="7"/>
        <v>1980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VLOOKUP(D99,gacha_198_base!A:B,2,FALSE)</f>
        <v>90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1980388</v>
      </c>
      <c r="B100" s="2" t="str">
        <f t="shared" si="7"/>
        <v>1980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VLOOKUP(D100,gacha_198_base!A:B,2,FALSE)</f>
        <v>15040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1980389</v>
      </c>
      <c r="B101" s="2" t="str">
        <f t="shared" si="7"/>
        <v>1980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VLOOKUP(D101,gacha_198_base!A:B,2,FALSE)</f>
        <v>960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1980390</v>
      </c>
      <c r="B102" s="2" t="str">
        <f t="shared" si="7"/>
        <v>1980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VLOOKUP(D102,gacha_198_base!A:B,2,FALSE)</f>
        <v>1410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1980391</v>
      </c>
      <c r="B103" s="2" t="str">
        <f t="shared" si="7"/>
        <v>1980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VLOOKUP(D103,gacha_198_base!A:B,2,FALSE)</f>
        <v>90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1980393</v>
      </c>
      <c r="B104" s="2" t="str">
        <f t="shared" si="7"/>
        <v>1980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VLOOKUP(D104,gacha_198_base!A:B,2,FALSE)</f>
        <v>15040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1980394</v>
      </c>
      <c r="B105" s="2" t="str">
        <f t="shared" si="7"/>
        <v>1980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VLOOKUP(D105,gacha_198_base!A:B,2,FALSE)</f>
        <v>960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1980396</v>
      </c>
      <c r="B106" s="2" t="str">
        <f t="shared" si="7"/>
        <v>1980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VLOOKUP(D106,gacha_198_base!A:B,2,FALSE)</f>
        <v>15040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1980397</v>
      </c>
      <c r="B107" s="2" t="str">
        <f t="shared" si="7"/>
        <v>1980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VLOOKUP(D107,gacha_198_base!A:B,2,FALSE)</f>
        <v>960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1980398</v>
      </c>
      <c r="B108" s="2" t="str">
        <f t="shared" si="7"/>
        <v>1980</v>
      </c>
      <c r="C108" s="8" t="str">
        <f t="shared" si="8"/>
        <v>0PremiumSS4</v>
      </c>
      <c r="D108" s="8" t="str">
        <f>E108&amp;H108&amp;I108&amp;"pick"</f>
        <v>0PremiumSS4pick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VLOOKUP(D108,gacha_198_base!A:B,2,FALSE)</f>
        <v>4700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1980399</v>
      </c>
      <c r="B109" s="2" t="str">
        <f t="shared" si="7"/>
        <v>1980</v>
      </c>
      <c r="C109" s="8" t="str">
        <f t="shared" si="8"/>
        <v>0PremiumSS5</v>
      </c>
      <c r="D109" s="8" t="str">
        <f>E109&amp;H109&amp;I109&amp;"pick"</f>
        <v>0PremiumSS5pick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VLOOKUP(D109,gacha_198_base!A:B,2,FALSE)</f>
        <v>300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1980401</v>
      </c>
      <c r="B110" s="2" t="str">
        <f t="shared" si="7"/>
        <v>1980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VLOOKUP(D110,gacha_198_base!A:B,2,FALSE)</f>
        <v>15040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1980402</v>
      </c>
      <c r="B111" s="2" t="str">
        <f t="shared" si="7"/>
        <v>1980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VLOOKUP(D111,gacha_198_base!A:B,2,FALSE)</f>
        <v>960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1980403</v>
      </c>
      <c r="B112" s="2" t="str">
        <f t="shared" si="7"/>
        <v>1980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VLOOKUP(D112,gacha_198_base!A:B,2,FALSE)</f>
        <v>1410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1980404</v>
      </c>
      <c r="B113" s="2" t="str">
        <f t="shared" si="7"/>
        <v>1980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VLOOKUP(D113,gacha_198_base!A:B,2,FALSE)</f>
        <v>90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1980406</v>
      </c>
      <c r="B114" s="2" t="str">
        <f t="shared" si="7"/>
        <v>1980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VLOOKUP(D114,gacha_198_base!A:B,2,FALSE)</f>
        <v>15040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1980407</v>
      </c>
      <c r="B115" s="2" t="str">
        <f t="shared" si="7"/>
        <v>1980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VLOOKUP(D115,gacha_198_base!A:B,2,FALSE)</f>
        <v>960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1980408</v>
      </c>
      <c r="B116" s="2" t="str">
        <f t="shared" si="7"/>
        <v>1980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VLOOKUP(D116,gacha_198_base!A:B,2,FALSE)</f>
        <v>1410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1980409</v>
      </c>
      <c r="B117" s="2" t="str">
        <f t="shared" si="7"/>
        <v>1980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VLOOKUP(D117,gacha_198_base!A:B,2,FALSE)</f>
        <v>90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1980434</v>
      </c>
      <c r="B118" s="2" t="str">
        <f t="shared" si="7"/>
        <v>1980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VLOOKUP(D118,gacha_198_base!A:B,2,FALSE)</f>
        <v>1410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1980435</v>
      </c>
      <c r="B119" s="2" t="str">
        <f t="shared" si="7"/>
        <v>1980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VLOOKUP(D119,gacha_198_base!A:B,2,FALSE)</f>
        <v>90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1980437</v>
      </c>
      <c r="B120" s="2" t="str">
        <f t="shared" si="7"/>
        <v>1980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VLOOKUP(D120,gacha_198_base!A:B,2,FALSE)</f>
        <v>15040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1980438</v>
      </c>
      <c r="B121" s="2" t="str">
        <f t="shared" si="7"/>
        <v>1980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VLOOKUP(D121,gacha_198_base!A:B,2,FALSE)</f>
        <v>960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1980440</v>
      </c>
      <c r="B122" s="2" t="str">
        <f t="shared" si="7"/>
        <v>1980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VLOOKUP(D122,gacha_198_base!A:B,2,FALSE)</f>
        <v>15040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1980441</v>
      </c>
      <c r="B123" s="2" t="str">
        <f t="shared" si="7"/>
        <v>1980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VLOOKUP(D123,gacha_198_base!A:B,2,FALSE)</f>
        <v>960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1980442</v>
      </c>
      <c r="B124" s="2" t="str">
        <f t="shared" si="7"/>
        <v>1980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VLOOKUP(D124,gacha_198_base!A:B,2,FALSE)</f>
        <v>1410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1980443</v>
      </c>
      <c r="B125" s="2" t="str">
        <f t="shared" si="7"/>
        <v>1980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VLOOKUP(D125,gacha_198_base!A:B,2,FALSE)</f>
        <v>90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1980463</v>
      </c>
      <c r="B126" s="2" t="str">
        <f t="shared" si="7"/>
        <v>1980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VLOOKUP(D126,gacha_198_base!A:B,2,FALSE)</f>
        <v>15040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1980464</v>
      </c>
      <c r="B127" s="2" t="str">
        <f t="shared" si="7"/>
        <v>1980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VLOOKUP(D127,gacha_198_base!A:B,2,FALSE)</f>
        <v>960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1980465</v>
      </c>
      <c r="B128" s="2" t="str">
        <f t="shared" si="7"/>
        <v>1980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VLOOKUP(D128,gacha_198_base!A:B,2,FALSE)</f>
        <v>1410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1980466</v>
      </c>
      <c r="B129" s="2" t="str">
        <f t="shared" si="7"/>
        <v>1980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VLOOKUP(D129,gacha_198_base!A:B,2,FALSE)</f>
        <v>90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1980467</v>
      </c>
      <c r="B130" s="2" t="str">
        <f t="shared" si="7"/>
        <v>1980</v>
      </c>
      <c r="C130" s="8" t="str">
        <f t="shared" si="8"/>
        <v>0PremiumSS4</v>
      </c>
      <c r="D130" s="8" t="str">
        <f t="shared" ref="D130:D193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VLOOKUP(D130,gacha_198_base!A:B,2,FALSE)</f>
        <v>1410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1980468</v>
      </c>
      <c r="B131" s="2" t="str">
        <f t="shared" ref="B131:B194" si="11">198&amp;E131</f>
        <v>1980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VLOOKUP(D131,gacha_198_base!A:B,2,FALSE)</f>
        <v>90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1980470</v>
      </c>
      <c r="B132" s="2" t="str">
        <f t="shared" si="11"/>
        <v>1980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VLOOKUP(D132,gacha_198_base!A:B,2,FALSE)</f>
        <v>15040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1980471</v>
      </c>
      <c r="B133" s="2" t="str">
        <f t="shared" si="11"/>
        <v>1980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VLOOKUP(D133,gacha_198_base!A:B,2,FALSE)</f>
        <v>960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1980474</v>
      </c>
      <c r="B134" s="2" t="str">
        <f t="shared" si="11"/>
        <v>1980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VLOOKUP(D134,gacha_198_base!A:B,2,FALSE)</f>
        <v>1410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1980475</v>
      </c>
      <c r="B135" s="2" t="str">
        <f t="shared" si="11"/>
        <v>1980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VLOOKUP(D135,gacha_198_base!A:B,2,FALSE)</f>
        <v>90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1980477</v>
      </c>
      <c r="B136" s="2" t="str">
        <f t="shared" si="11"/>
        <v>1980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VLOOKUP(D136,gacha_198_base!A:B,2,FALSE)</f>
        <v>15040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1980478</v>
      </c>
      <c r="B137" s="2" t="str">
        <f t="shared" si="11"/>
        <v>1980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VLOOKUP(D137,gacha_198_base!A:B,2,FALSE)</f>
        <v>960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1980479</v>
      </c>
      <c r="B138" s="2" t="str">
        <f t="shared" si="11"/>
        <v>1980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VLOOKUP(D138,gacha_198_base!A:B,2,FALSE)</f>
        <v>1410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1980480</v>
      </c>
      <c r="B139" s="2" t="str">
        <f t="shared" si="11"/>
        <v>1980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VLOOKUP(D139,gacha_198_base!A:B,2,FALSE)</f>
        <v>90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1980482</v>
      </c>
      <c r="B140" s="2" t="str">
        <f t="shared" si="11"/>
        <v>1980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VLOOKUP(D140,gacha_198_base!A:B,2,FALSE)</f>
        <v>15040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1980483</v>
      </c>
      <c r="B141" s="2" t="str">
        <f t="shared" si="11"/>
        <v>1980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VLOOKUP(D141,gacha_198_base!A:B,2,FALSE)</f>
        <v>960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65" si="15">B142&amp;F142</f>
        <v>1980492</v>
      </c>
      <c r="B142" s="2" t="str">
        <f t="shared" si="11"/>
        <v>1980</v>
      </c>
      <c r="C142" s="8" t="str">
        <f t="shared" ref="C142:C165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VLOOKUP(D142,gacha_198_base!A:B,2,FALSE)</f>
        <v>1410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1980493</v>
      </c>
      <c r="B143" s="2" t="str">
        <f t="shared" si="11"/>
        <v>1980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VLOOKUP(D143,gacha_198_base!A:B,2,FALSE)</f>
        <v>90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1980494</v>
      </c>
      <c r="B144" s="2" t="str">
        <f t="shared" si="11"/>
        <v>1980</v>
      </c>
      <c r="C144" s="8" t="str">
        <f t="shared" si="16"/>
        <v>0PremiumSS4</v>
      </c>
      <c r="D144" s="8" t="str">
        <f>E144&amp;H144&amp;I144&amp;"pick"</f>
        <v>0PremiumSS4pick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VLOOKUP(D144,gacha_198_base!A:B,2,FALSE)</f>
        <v>4700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1980495</v>
      </c>
      <c r="B145" s="2" t="str">
        <f t="shared" si="11"/>
        <v>1980</v>
      </c>
      <c r="C145" s="8" t="str">
        <f t="shared" si="16"/>
        <v>0PremiumSS5</v>
      </c>
      <c r="D145" s="8" t="str">
        <f>E145&amp;H145&amp;I145&amp;"pick"</f>
        <v>0PremiumSS5pick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VLOOKUP(D145,gacha_198_base!A:B,2,FALSE)</f>
        <v>300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1980497</v>
      </c>
      <c r="B146" s="2" t="str">
        <f t="shared" si="11"/>
        <v>1980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VLOOKUP(D146,gacha_198_base!A:B,2,FALSE)</f>
        <v>15040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1980498</v>
      </c>
      <c r="B147" s="2" t="str">
        <f t="shared" si="11"/>
        <v>1980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VLOOKUP(D147,gacha_198_base!A:B,2,FALSE)</f>
        <v>960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1980499</v>
      </c>
      <c r="B148" s="2" t="str">
        <f t="shared" si="11"/>
        <v>1980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VLOOKUP(D148,gacha_198_base!A:B,2,FALSE)</f>
        <v>1410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1980500</v>
      </c>
      <c r="B149" s="2" t="str">
        <f t="shared" si="11"/>
        <v>1980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VLOOKUP(D149,gacha_198_base!A:B,2,FALSE)</f>
        <v>90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1980586</v>
      </c>
      <c r="B150" s="2" t="str">
        <f t="shared" si="11"/>
        <v>1980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VLOOKUP(D150,gacha_198_base!A:B,2,FALSE)</f>
        <v>1410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1980587</v>
      </c>
      <c r="B151" s="2" t="str">
        <f t="shared" si="11"/>
        <v>1980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VLOOKUP(D151,gacha_198_base!A:B,2,FALSE)</f>
        <v>90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1980589</v>
      </c>
      <c r="B152" s="2" t="str">
        <f t="shared" si="11"/>
        <v>1980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VLOOKUP(D152,gacha_198_base!A:B,2,FALSE)</f>
        <v>15040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1980590</v>
      </c>
      <c r="B153" s="2" t="str">
        <f t="shared" si="11"/>
        <v>1980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VLOOKUP(D153,gacha_198_base!A:B,2,FALSE)</f>
        <v>960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1980592</v>
      </c>
      <c r="B154" s="2" t="str">
        <f t="shared" si="11"/>
        <v>1980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VLOOKUP(D154,gacha_198_base!A:B,2,FALSE)</f>
        <v>15040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1980593</v>
      </c>
      <c r="B155" s="2" t="str">
        <f t="shared" si="11"/>
        <v>1980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VLOOKUP(D155,gacha_198_base!A:B,2,FALSE)</f>
        <v>960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1980594</v>
      </c>
      <c r="B156" s="2" t="str">
        <f t="shared" si="11"/>
        <v>1980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VLOOKUP(D156,gacha_198_base!A:B,2,FALSE)</f>
        <v>1410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1980595</v>
      </c>
      <c r="B157" s="2" t="str">
        <f t="shared" si="11"/>
        <v>1980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VLOOKUP(D157,gacha_198_base!A:B,2,FALSE)</f>
        <v>90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1980597</v>
      </c>
      <c r="B158" s="2" t="str">
        <f t="shared" si="11"/>
        <v>1980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VLOOKUP(D158,gacha_198_base!A:B,2,FALSE)</f>
        <v>15040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1980598</v>
      </c>
      <c r="B159" s="2" t="str">
        <f t="shared" si="11"/>
        <v>1980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VLOOKUP(D159,gacha_198_base!A:B,2,FALSE)</f>
        <v>960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1980600</v>
      </c>
      <c r="B160" s="2" t="str">
        <f t="shared" si="11"/>
        <v>1980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VLOOKUP(D160,gacha_198_base!A:B,2,FALSE)</f>
        <v>15040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1980601</v>
      </c>
      <c r="B161" s="2" t="str">
        <f t="shared" si="11"/>
        <v>1980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VLOOKUP(D161,gacha_198_base!A:B,2,FALSE)</f>
        <v>960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1980602</v>
      </c>
      <c r="B162" s="2" t="str">
        <f t="shared" si="11"/>
        <v>1980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VLOOKUP(D162,gacha_198_base!A:B,2,FALSE)</f>
        <v>1410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1980603</v>
      </c>
      <c r="B163" s="2" t="str">
        <f t="shared" si="11"/>
        <v>1980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VLOOKUP(D163,gacha_198_base!A:B,2,FALSE)</f>
        <v>90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1980605</v>
      </c>
      <c r="B164" s="2" t="str">
        <f t="shared" si="11"/>
        <v>1980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VLOOKUP(D164,gacha_198_base!A:B,2,FALSE)</f>
        <v>15040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1980606</v>
      </c>
      <c r="B165" s="2" t="str">
        <f t="shared" si="11"/>
        <v>1980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VLOOKUP(D165,gacha_198_base!A:B,2,FALSE)</f>
        <v>960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>B166&amp;F166</f>
        <v>1981126</v>
      </c>
      <c r="B166" s="2" t="str">
        <f t="shared" si="11"/>
        <v>1981</v>
      </c>
      <c r="C166" s="8" t="str">
        <f t="shared" ref="C166:C229" si="17">E166&amp;H166&amp;I166</f>
        <v>1PremiumW3</v>
      </c>
      <c r="D166" s="8" t="str">
        <f t="shared" si="10"/>
        <v>1PremiumW3</v>
      </c>
      <c r="E166" s="10">
        <v>1</v>
      </c>
      <c r="F166" s="6">
        <v>126</v>
      </c>
      <c r="G166" s="8" t="str">
        <f>VLOOKUP(F166,[1]characters!$A:$C,3,FALSE)</f>
        <v>骨器使い ユノ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human</v>
      </c>
      <c r="M166" s="16">
        <f>VLOOKUP(D166,gacha_198_base!A:B,2,FALSE)</f>
        <v>5053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ref="A167:A230" si="18">B167&amp;F167</f>
        <v>1981127</v>
      </c>
      <c r="B167" s="2" t="str">
        <f t="shared" si="11"/>
        <v>1981</v>
      </c>
      <c r="C167" s="8" t="str">
        <f t="shared" si="17"/>
        <v>1PremiumW4</v>
      </c>
      <c r="D167" s="8" t="str">
        <f t="shared" si="10"/>
        <v>1PremiumW4</v>
      </c>
      <c r="E167" s="10">
        <v>1</v>
      </c>
      <c r="F167" s="6">
        <v>127</v>
      </c>
      <c r="G167" s="8" t="str">
        <f>VLOOKUP(F167,[1]characters!$A:$C,3,FALSE)</f>
        <v>狂喜の賢者 ユノ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human</v>
      </c>
      <c r="M167" s="16">
        <f>VLOOKUP(D167,gacha_198_base!A:B,2,FALSE)</f>
        <v>5053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8"/>
        <v>1981128</v>
      </c>
      <c r="B168" s="2" t="str">
        <f t="shared" si="11"/>
        <v>1981</v>
      </c>
      <c r="C168" s="8" t="str">
        <f t="shared" si="17"/>
        <v>1PremiumW3</v>
      </c>
      <c r="D168" s="8" t="str">
        <f t="shared" si="10"/>
        <v>1PremiumW3</v>
      </c>
      <c r="E168" s="10">
        <v>1</v>
      </c>
      <c r="F168" s="6">
        <v>128</v>
      </c>
      <c r="G168" s="8" t="str">
        <f>VLOOKUP(F168,[1]characters!$A:$C,3,FALSE)</f>
        <v>野生児 アマラ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attack</v>
      </c>
      <c r="L168" s="8" t="str">
        <f>VLOOKUP(F168,[1]characters!$A:$M,13,FALSE)</f>
        <v>human</v>
      </c>
      <c r="M168" s="16">
        <f>VLOOKUP(D168,gacha_198_base!A:B,2,FALSE)</f>
        <v>5053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8"/>
        <v>1981129</v>
      </c>
      <c r="B169" s="2" t="str">
        <f t="shared" si="11"/>
        <v>1981</v>
      </c>
      <c r="C169" s="8" t="str">
        <f t="shared" si="17"/>
        <v>1PremiumW4</v>
      </c>
      <c r="D169" s="8" t="str">
        <f t="shared" si="10"/>
        <v>1PremiumW4</v>
      </c>
      <c r="E169" s="10">
        <v>1</v>
      </c>
      <c r="F169" s="6">
        <v>129</v>
      </c>
      <c r="G169" s="8" t="str">
        <f>VLOOKUP(F169,[1]characters!$A:$C,3,FALSE)</f>
        <v>孤高の狼憑き アマラ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attack</v>
      </c>
      <c r="L169" s="8" t="str">
        <f>VLOOKUP(F169,[1]characters!$A:$M,13,FALSE)</f>
        <v>human</v>
      </c>
      <c r="M169" s="16">
        <f>VLOOKUP(D169,gacha_198_base!A:B,2,FALSE)</f>
        <v>5053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8"/>
        <v>1981130</v>
      </c>
      <c r="B170" s="2" t="str">
        <f t="shared" si="11"/>
        <v>1981</v>
      </c>
      <c r="C170" s="8" t="str">
        <f t="shared" si="17"/>
        <v>1PremiumW3</v>
      </c>
      <c r="D170" s="8" t="str">
        <f t="shared" si="10"/>
        <v>1PremiumW3</v>
      </c>
      <c r="E170" s="10">
        <v>1</v>
      </c>
      <c r="F170" s="6">
        <v>130</v>
      </c>
      <c r="G170" s="8" t="str">
        <f>VLOOKUP(F170,[1]characters!$A:$C,3,FALSE)</f>
        <v>狼男 ローレンス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attack</v>
      </c>
      <c r="L170" s="8" t="str">
        <f>VLOOKUP(F170,[1]characters!$A:$M,13,FALSE)</f>
        <v>animal</v>
      </c>
      <c r="M170" s="16">
        <f>VLOOKUP(D170,gacha_198_base!A:B,2,FALSE)</f>
        <v>5053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8"/>
        <v>1981131</v>
      </c>
      <c r="B171" s="2" t="str">
        <f t="shared" si="11"/>
        <v>1981</v>
      </c>
      <c r="C171" s="8" t="str">
        <f t="shared" si="17"/>
        <v>1PremiumW4</v>
      </c>
      <c r="D171" s="8" t="str">
        <f t="shared" si="10"/>
        <v>1PremiumW4</v>
      </c>
      <c r="E171" s="10">
        <v>1</v>
      </c>
      <c r="F171" s="6">
        <v>131</v>
      </c>
      <c r="G171" s="8" t="str">
        <f>VLOOKUP(F171,[1]characters!$A:$C,3,FALSE)</f>
        <v>月下の人狼 ローレンス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attack</v>
      </c>
      <c r="L171" s="8" t="str">
        <f>VLOOKUP(F171,[1]characters!$A:$M,13,FALSE)</f>
        <v>animal</v>
      </c>
      <c r="M171" s="16">
        <f>VLOOKUP(D171,gacha_198_base!A:B,2,FALSE)</f>
        <v>5053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8"/>
        <v>1981132</v>
      </c>
      <c r="B172" s="2" t="str">
        <f t="shared" si="11"/>
        <v>1981</v>
      </c>
      <c r="C172" s="8" t="str">
        <f t="shared" si="17"/>
        <v>1PremiumW3</v>
      </c>
      <c r="D172" s="8" t="str">
        <f t="shared" si="10"/>
        <v>1PremiumW3</v>
      </c>
      <c r="E172" s="10">
        <v>1</v>
      </c>
      <c r="F172" s="6">
        <v>132</v>
      </c>
      <c r="G172" s="8" t="str">
        <f>VLOOKUP(F172,[1]characters!$A:$C,3,FALSE)</f>
        <v>鳥人ハヤト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attack</v>
      </c>
      <c r="L172" s="8" t="str">
        <f>VLOOKUP(F172,[1]characters!$A:$M,13,FALSE)</f>
        <v>human</v>
      </c>
      <c r="M172" s="16">
        <f>VLOOKUP(D172,gacha_198_base!A:B,2,FALSE)</f>
        <v>5053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8"/>
        <v>1981133</v>
      </c>
      <c r="B173" s="2" t="str">
        <f t="shared" si="11"/>
        <v>1981</v>
      </c>
      <c r="C173" s="8" t="str">
        <f t="shared" si="17"/>
        <v>1PremiumW4</v>
      </c>
      <c r="D173" s="8" t="str">
        <f t="shared" si="10"/>
        <v>1PremiumW4</v>
      </c>
      <c r="E173" s="10">
        <v>1</v>
      </c>
      <c r="F173" s="6">
        <v>133</v>
      </c>
      <c r="G173" s="8" t="str">
        <f>VLOOKUP(F173,[1]characters!$A:$C,3,FALSE)</f>
        <v>迅雷の刀剣 ハヤト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16">
        <f>VLOOKUP(D173,gacha_198_base!A:B,2,FALSE)</f>
        <v>5053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18"/>
        <v>1981134</v>
      </c>
      <c r="B174" s="2" t="str">
        <f t="shared" si="11"/>
        <v>1981</v>
      </c>
      <c r="C174" s="8" t="str">
        <f t="shared" si="17"/>
        <v>1PremiumW3</v>
      </c>
      <c r="D174" s="8" t="str">
        <f t="shared" si="10"/>
        <v>1PremiumW3</v>
      </c>
      <c r="E174" s="10">
        <v>1</v>
      </c>
      <c r="F174" s="6">
        <v>134</v>
      </c>
      <c r="G174" s="8" t="str">
        <f>VLOOKUP(F174,[1]characters!$A:$C,3,FALSE)</f>
        <v>妖炎の夕霧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VLOOKUP(D174,gacha_198_base!A:B,2,FALSE)</f>
        <v>5053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18"/>
        <v>1981135</v>
      </c>
      <c r="B175" s="2" t="str">
        <f t="shared" si="11"/>
        <v>1981</v>
      </c>
      <c r="C175" s="8" t="str">
        <f t="shared" si="17"/>
        <v>1PremiumW4</v>
      </c>
      <c r="D175" s="8" t="str">
        <f t="shared" si="10"/>
        <v>1PremiumW4</v>
      </c>
      <c r="E175" s="10">
        <v>1</v>
      </c>
      <c r="F175" s="6">
        <v>135</v>
      </c>
      <c r="G175" s="8" t="str">
        <f>VLOOKUP(F175,[1]characters!$A:$C,3,FALSE)</f>
        <v>京の炎華夕霧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VLOOKUP(D175,gacha_198_base!A:B,2,FALSE)</f>
        <v>5053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8"/>
        <v>1981136</v>
      </c>
      <c r="B176" s="2" t="str">
        <f t="shared" si="11"/>
        <v>1981</v>
      </c>
      <c r="C176" s="8" t="str">
        <f t="shared" si="17"/>
        <v>1PremiumW3</v>
      </c>
      <c r="D176" s="8" t="str">
        <f t="shared" si="10"/>
        <v>1PremiumW3</v>
      </c>
      <c r="E176" s="10">
        <v>1</v>
      </c>
      <c r="F176" s="9">
        <v>136</v>
      </c>
      <c r="G176" s="8" t="str">
        <f>VLOOKUP(F176,[1]characters!$A:$C,3,FALSE)</f>
        <v>お針子チハヤ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VLOOKUP(D176,gacha_198_base!A:B,2,FALSE)</f>
        <v>5053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8"/>
        <v>1981137</v>
      </c>
      <c r="B177" s="2" t="str">
        <f t="shared" si="11"/>
        <v>1981</v>
      </c>
      <c r="C177" s="8" t="str">
        <f t="shared" si="17"/>
        <v>1PremiumW4</v>
      </c>
      <c r="D177" s="8" t="str">
        <f t="shared" si="10"/>
        <v>1PremiumW4</v>
      </c>
      <c r="E177" s="10">
        <v>1</v>
      </c>
      <c r="F177" s="9">
        <v>137</v>
      </c>
      <c r="G177" s="8" t="str">
        <f>VLOOKUP(F177,[1]characters!$A:$C,3,FALSE)</f>
        <v>清福の仕立屋 チハヤ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VLOOKUP(D177,gacha_198_base!A:B,2,FALSE)</f>
        <v>5053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8"/>
        <v>1981138</v>
      </c>
      <c r="B178" s="2" t="str">
        <f t="shared" si="11"/>
        <v>1981</v>
      </c>
      <c r="C178" s="8" t="str">
        <f t="shared" si="17"/>
        <v>1PremiumW3</v>
      </c>
      <c r="D178" s="8" t="str">
        <f t="shared" si="10"/>
        <v>1PremiumW3</v>
      </c>
      <c r="E178" s="10">
        <v>1</v>
      </c>
      <c r="F178" s="6">
        <v>138</v>
      </c>
      <c r="G178" s="8" t="str">
        <f>VLOOKUP(F178,[1]characters!$A:$C,3,FALSE)</f>
        <v>蒼薙のトモエ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VLOOKUP(D178,gacha_198_base!A:B,2,FALSE)</f>
        <v>5053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8"/>
        <v>1981139</v>
      </c>
      <c r="B179" s="2" t="str">
        <f t="shared" si="11"/>
        <v>1981</v>
      </c>
      <c r="C179" s="8" t="str">
        <f t="shared" si="17"/>
        <v>1PremiumW4</v>
      </c>
      <c r="D179" s="8" t="str">
        <f t="shared" si="10"/>
        <v>1PremiumW4</v>
      </c>
      <c r="E179" s="10">
        <v>1</v>
      </c>
      <c r="F179" s="6">
        <v>139</v>
      </c>
      <c r="G179" s="8" t="str">
        <f>VLOOKUP(F179,[1]characters!$A:$C,3,FALSE)</f>
        <v>蒼昇刃姫 トモエ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VLOOKUP(D179,gacha_198_base!A:B,2,FALSE)</f>
        <v>5053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8"/>
        <v>1981140</v>
      </c>
      <c r="B180" s="2" t="str">
        <f t="shared" si="11"/>
        <v>1981</v>
      </c>
      <c r="C180" s="8" t="str">
        <f t="shared" si="17"/>
        <v>1PremiumW3</v>
      </c>
      <c r="D180" s="8" t="str">
        <f t="shared" si="10"/>
        <v>1PremiumW3</v>
      </c>
      <c r="E180" s="10">
        <v>1</v>
      </c>
      <c r="F180" s="12">
        <v>140</v>
      </c>
      <c r="G180" s="8" t="str">
        <f>VLOOKUP(F180,[1]characters!$A:$C,3,FALSE)</f>
        <v>秋祭のタマモ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animal</v>
      </c>
      <c r="M180" s="16">
        <f>VLOOKUP(D180,gacha_198_base!A:B,2,FALSE)</f>
        <v>5053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8"/>
        <v>1981141</v>
      </c>
      <c r="B181" s="2" t="str">
        <f t="shared" si="11"/>
        <v>1981</v>
      </c>
      <c r="C181" s="8" t="str">
        <f t="shared" si="17"/>
        <v>1PremiumW4</v>
      </c>
      <c r="D181" s="8" t="str">
        <f t="shared" si="10"/>
        <v>1PremiumW4</v>
      </c>
      <c r="E181" s="10">
        <v>1</v>
      </c>
      <c r="F181" s="13">
        <v>141</v>
      </c>
      <c r="G181" s="8" t="str">
        <f>VLOOKUP(F181,[1]characters!$A:$C,3,FALSE)</f>
        <v>妖狐演舞 タマモ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animal</v>
      </c>
      <c r="M181" s="16">
        <f>VLOOKUP(D181,gacha_198_base!A:B,2,FALSE)</f>
        <v>5053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8"/>
        <v>1981142</v>
      </c>
      <c r="B182" s="2" t="str">
        <f t="shared" si="11"/>
        <v>1981</v>
      </c>
      <c r="C182" s="8" t="str">
        <f t="shared" si="17"/>
        <v>1PremiumW3</v>
      </c>
      <c r="D182" s="8" t="str">
        <f t="shared" si="10"/>
        <v>1PremiumW3</v>
      </c>
      <c r="E182" s="10">
        <v>1</v>
      </c>
      <c r="F182" s="6">
        <v>142</v>
      </c>
      <c r="G182" s="8" t="str">
        <f>VLOOKUP(F182,[1]characters!$A:$C,3,FALSE)</f>
        <v>赤ずきん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VLOOKUP(D182,gacha_198_base!A:B,2,FALSE)</f>
        <v>5053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s="14" customFormat="1" ht="21" customHeight="1" thickBot="1">
      <c r="A183" s="7" t="str">
        <f t="shared" si="18"/>
        <v>1981143</v>
      </c>
      <c r="B183" s="2" t="str">
        <f t="shared" si="11"/>
        <v>1981</v>
      </c>
      <c r="C183" s="8" t="str">
        <f t="shared" si="17"/>
        <v>1PremiumW4</v>
      </c>
      <c r="D183" s="8" t="str">
        <f t="shared" si="10"/>
        <v>1PremiumW4</v>
      </c>
      <c r="E183" s="10">
        <v>1</v>
      </c>
      <c r="F183" s="6">
        <v>143</v>
      </c>
      <c r="G183" s="8" t="str">
        <f>VLOOKUP(F183,[1]characters!$A:$C,3,FALSE)</f>
        <v>深紅の死神 赤ずきん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VLOOKUP(D183,gacha_198_base!A:B,2,FALSE)</f>
        <v>5053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8"/>
        <v>1981144</v>
      </c>
      <c r="B184" s="2" t="str">
        <f t="shared" si="11"/>
        <v>1981</v>
      </c>
      <c r="C184" s="8" t="str">
        <f t="shared" si="17"/>
        <v>1PremiumW3</v>
      </c>
      <c r="D184" s="8" t="str">
        <f t="shared" si="10"/>
        <v>1PremiumW3</v>
      </c>
      <c r="E184" s="10">
        <v>1</v>
      </c>
      <c r="F184" s="12">
        <v>144</v>
      </c>
      <c r="G184" s="8" t="str">
        <f>VLOOKUP(F184,[1]characters!$A:$C,3,FALSE)</f>
        <v>かぐや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hp</v>
      </c>
      <c r="L184" s="8" t="str">
        <f>VLOOKUP(F184,[1]characters!$A:$M,13,FALSE)</f>
        <v>human</v>
      </c>
      <c r="M184" s="16">
        <f>VLOOKUP(D184,gacha_198_base!A:B,2,FALSE)</f>
        <v>5053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8"/>
        <v>1981145</v>
      </c>
      <c r="B185" s="2" t="str">
        <f t="shared" si="11"/>
        <v>1981</v>
      </c>
      <c r="C185" s="8" t="str">
        <f t="shared" si="17"/>
        <v>1PremiumW4</v>
      </c>
      <c r="D185" s="8" t="str">
        <f t="shared" si="10"/>
        <v>1PremiumW4</v>
      </c>
      <c r="E185" s="10">
        <v>1</v>
      </c>
      <c r="F185" s="6">
        <v>145</v>
      </c>
      <c r="G185" s="8" t="str">
        <f>VLOOKUP(F185,[1]characters!$A:$C,3,FALSE)</f>
        <v>魔性妖艶 かぐや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hp</v>
      </c>
      <c r="L185" s="8" t="str">
        <f>VLOOKUP(F185,[1]characters!$A:$M,13,FALSE)</f>
        <v>human</v>
      </c>
      <c r="M185" s="16">
        <f>VLOOKUP(D185,gacha_198_base!A:B,2,FALSE)</f>
        <v>5053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8"/>
        <v>1981146</v>
      </c>
      <c r="B186" s="2" t="str">
        <f t="shared" si="11"/>
        <v>1981</v>
      </c>
      <c r="C186" s="8" t="str">
        <f t="shared" si="17"/>
        <v>1PremiumW3</v>
      </c>
      <c r="D186" s="8" t="str">
        <f t="shared" si="10"/>
        <v>1PremiumW3</v>
      </c>
      <c r="E186" s="10">
        <v>1</v>
      </c>
      <c r="F186" s="6">
        <v>146</v>
      </c>
      <c r="G186" s="8" t="str">
        <f>VLOOKUP(F186,[1]characters!$A:$C,3,FALSE)</f>
        <v>マーメイド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VLOOKUP(D186,gacha_198_base!A:B,2,FALSE)</f>
        <v>5053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18"/>
        <v>1981147</v>
      </c>
      <c r="B187" s="2" t="str">
        <f t="shared" si="11"/>
        <v>1981</v>
      </c>
      <c r="C187" s="8" t="str">
        <f t="shared" si="17"/>
        <v>1PremiumW4</v>
      </c>
      <c r="D187" s="8" t="str">
        <f t="shared" si="10"/>
        <v>1PremiumW4</v>
      </c>
      <c r="E187" s="10">
        <v>1</v>
      </c>
      <c r="F187" s="6">
        <v>147</v>
      </c>
      <c r="G187" s="8" t="str">
        <f>VLOOKUP(F187,[1]characters!$A:$C,3,FALSE)</f>
        <v>蒼き閃光 元マーメイド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VLOOKUP(D187,gacha_198_base!A:B,2,FALSE)</f>
        <v>5053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8"/>
        <v>1981148</v>
      </c>
      <c r="B188" s="2" t="str">
        <f t="shared" si="11"/>
        <v>1981</v>
      </c>
      <c r="C188" s="8" t="str">
        <f t="shared" si="17"/>
        <v>1PremiumW3</v>
      </c>
      <c r="D188" s="8" t="str">
        <f t="shared" si="10"/>
        <v>1PremiumW3</v>
      </c>
      <c r="E188" s="10">
        <v>1</v>
      </c>
      <c r="F188" s="6">
        <v>148</v>
      </c>
      <c r="G188" s="8" t="str">
        <f>VLOOKUP(F188,[1]characters!$A:$C,3,FALSE)</f>
        <v>シンデレラ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human</v>
      </c>
      <c r="M188" s="16">
        <f>VLOOKUP(D188,gacha_198_base!A:B,2,FALSE)</f>
        <v>5053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8"/>
        <v>1981149</v>
      </c>
      <c r="B189" s="2" t="str">
        <f t="shared" si="11"/>
        <v>1981</v>
      </c>
      <c r="C189" s="8" t="str">
        <f t="shared" si="17"/>
        <v>1PremiumW4</v>
      </c>
      <c r="D189" s="8" t="str">
        <f t="shared" si="10"/>
        <v>1PremiumW4</v>
      </c>
      <c r="E189" s="10">
        <v>1</v>
      </c>
      <c r="F189" s="6">
        <v>149</v>
      </c>
      <c r="G189" s="8" t="str">
        <f>VLOOKUP(F189,[1]characters!$A:$C,3,FALSE)</f>
        <v>雷撃蹴技を極めし者 シンデレラ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VLOOKUP(D189,gacha_198_base!A:B,2,FALSE)</f>
        <v>5053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8"/>
        <v>1981150</v>
      </c>
      <c r="B190" s="2" t="str">
        <f t="shared" si="11"/>
        <v>1981</v>
      </c>
      <c r="C190" s="8" t="str">
        <f t="shared" si="17"/>
        <v>1PremiumW3</v>
      </c>
      <c r="D190" s="8" t="str">
        <f t="shared" si="10"/>
        <v>1PremiumW3</v>
      </c>
      <c r="E190" s="10">
        <v>1</v>
      </c>
      <c r="F190" s="6">
        <v>150</v>
      </c>
      <c r="G190" s="8" t="str">
        <f>VLOOKUP(F190,[1]characters!$A:$C,3,FALSE)</f>
        <v>ポイズンマスターサキ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technical</v>
      </c>
      <c r="L190" s="8" t="str">
        <f>VLOOKUP(F190,[1]characters!$A:$M,13,FALSE)</f>
        <v>human</v>
      </c>
      <c r="M190" s="16">
        <f>VLOOKUP(D190,gacha_198_base!A:B,2,FALSE)</f>
        <v>5053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18"/>
        <v>1981151</v>
      </c>
      <c r="B191" s="2" t="str">
        <f t="shared" si="11"/>
        <v>1981</v>
      </c>
      <c r="C191" s="8" t="str">
        <f t="shared" si="17"/>
        <v>1PremiumW4</v>
      </c>
      <c r="D191" s="8" t="str">
        <f t="shared" si="10"/>
        <v>1PremiumW4</v>
      </c>
      <c r="E191" s="10">
        <v>1</v>
      </c>
      <c r="F191" s="6">
        <v>151</v>
      </c>
      <c r="G191" s="8" t="str">
        <f>VLOOKUP(F191,[1]characters!$A:$C,3,FALSE)</f>
        <v>毒煙の処刑人サキ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VLOOKUP(D191,gacha_198_base!A:B,2,FALSE)</f>
        <v>5053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8"/>
        <v>1981152</v>
      </c>
      <c r="B192" s="2" t="str">
        <f t="shared" si="11"/>
        <v>1981</v>
      </c>
      <c r="C192" s="8" t="str">
        <f t="shared" si="17"/>
        <v>1PremiumW3</v>
      </c>
      <c r="D192" s="8" t="str">
        <f t="shared" si="10"/>
        <v>1PremiumW3</v>
      </c>
      <c r="E192" s="10">
        <v>1</v>
      </c>
      <c r="F192" s="6">
        <v>152</v>
      </c>
      <c r="G192" s="8" t="str">
        <f>VLOOKUP(F192,[1]characters!$A:$C,3,FALSE)</f>
        <v>功夫少女ランラン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heal</v>
      </c>
      <c r="L192" s="8" t="str">
        <f>VLOOKUP(F192,[1]characters!$A:$M,13,FALSE)</f>
        <v>human</v>
      </c>
      <c r="M192" s="16">
        <f>VLOOKUP(D192,gacha_198_base!A:B,2,FALSE)</f>
        <v>5053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8"/>
        <v>1981153</v>
      </c>
      <c r="B193" s="2" t="str">
        <f t="shared" si="11"/>
        <v>1981</v>
      </c>
      <c r="C193" s="8" t="str">
        <f t="shared" si="17"/>
        <v>1PremiumW4</v>
      </c>
      <c r="D193" s="8" t="str">
        <f t="shared" si="10"/>
        <v>1PremiumW4</v>
      </c>
      <c r="E193" s="10">
        <v>1</v>
      </c>
      <c r="F193" s="6">
        <v>153</v>
      </c>
      <c r="G193" s="8" t="str">
        <f>VLOOKUP(F193,[1]characters!$A:$C,3,FALSE)</f>
        <v>拳聖ランラン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heal</v>
      </c>
      <c r="L193" s="8" t="str">
        <f>VLOOKUP(F193,[1]characters!$A:$M,13,FALSE)</f>
        <v>human</v>
      </c>
      <c r="M193" s="16">
        <f>VLOOKUP(D193,gacha_198_base!A:B,2,FALSE)</f>
        <v>5053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8"/>
        <v>1981154</v>
      </c>
      <c r="B194" s="2" t="str">
        <f t="shared" si="11"/>
        <v>1981</v>
      </c>
      <c r="C194" s="8" t="str">
        <f t="shared" si="17"/>
        <v>1PremiumW3</v>
      </c>
      <c r="D194" s="8" t="str">
        <f t="shared" ref="D194:D257" si="19">E194&amp;H194&amp;I194</f>
        <v>1PremiumW3</v>
      </c>
      <c r="E194" s="10">
        <v>1</v>
      </c>
      <c r="F194" s="6">
        <v>154</v>
      </c>
      <c r="G194" s="8" t="str">
        <f>VLOOKUP(F194,[1]characters!$A:$C,3,FALSE)</f>
        <v>始末屋 ハンナ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heal</v>
      </c>
      <c r="L194" s="8" t="str">
        <f>VLOOKUP(F194,[1]characters!$A:$M,13,FALSE)</f>
        <v>human</v>
      </c>
      <c r="M194" s="16">
        <f>VLOOKUP(D194,gacha_198_base!A:B,2,FALSE)</f>
        <v>5053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8"/>
        <v>1981155</v>
      </c>
      <c r="B195" s="2" t="str">
        <f t="shared" ref="B195:B258" si="20">198&amp;E195</f>
        <v>1981</v>
      </c>
      <c r="C195" s="8" t="str">
        <f t="shared" si="17"/>
        <v>1PremiumW4</v>
      </c>
      <c r="D195" s="8" t="str">
        <f t="shared" si="19"/>
        <v>1PremiumW4</v>
      </c>
      <c r="E195" s="10">
        <v>1</v>
      </c>
      <c r="F195" s="6">
        <v>155</v>
      </c>
      <c r="G195" s="8" t="str">
        <f>VLOOKUP(F195,[1]characters!$A:$C,3,FALSE)</f>
        <v>隻眼の掃除屋 ハンナ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heal</v>
      </c>
      <c r="L195" s="8" t="str">
        <f>VLOOKUP(F195,[1]characters!$A:$M,13,FALSE)</f>
        <v>human</v>
      </c>
      <c r="M195" s="16">
        <f>VLOOKUP(D195,gacha_198_base!A:B,2,FALSE)</f>
        <v>5053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8"/>
        <v>1981156</v>
      </c>
      <c r="B196" s="2" t="str">
        <f t="shared" si="20"/>
        <v>1981</v>
      </c>
      <c r="C196" s="8" t="str">
        <f t="shared" si="17"/>
        <v>1PremiumW3</v>
      </c>
      <c r="D196" s="8" t="str">
        <f t="shared" si="19"/>
        <v>1PremiumW3</v>
      </c>
      <c r="E196" s="10">
        <v>1</v>
      </c>
      <c r="F196" s="6">
        <v>156</v>
      </c>
      <c r="G196" s="8" t="str">
        <f>VLOOKUP(F196,[1]characters!$A:$C,3,FALSE)</f>
        <v>踊り子 エレナ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16">
        <f>VLOOKUP(D196,gacha_198_base!A:B,2,FALSE)</f>
        <v>5053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8"/>
        <v>1981157</v>
      </c>
      <c r="B197" s="2" t="str">
        <f t="shared" si="20"/>
        <v>1981</v>
      </c>
      <c r="C197" s="8" t="str">
        <f t="shared" si="17"/>
        <v>1PremiumW4</v>
      </c>
      <c r="D197" s="8" t="str">
        <f t="shared" si="19"/>
        <v>1PremiumW4</v>
      </c>
      <c r="E197" s="10">
        <v>1</v>
      </c>
      <c r="F197" s="6">
        <v>157</v>
      </c>
      <c r="G197" s="8" t="str">
        <f>VLOOKUP(F197,[1]characters!$A:$C,3,FALSE)</f>
        <v>雷光舞姫 エレナ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16">
        <f>VLOOKUP(D197,gacha_198_base!A:B,2,FALSE)</f>
        <v>5053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8"/>
        <v>1981158</v>
      </c>
      <c r="B198" s="2" t="str">
        <f t="shared" si="20"/>
        <v>1981</v>
      </c>
      <c r="C198" s="8" t="str">
        <f t="shared" si="17"/>
        <v>1PremiumW3</v>
      </c>
      <c r="D198" s="8" t="str">
        <f t="shared" si="19"/>
        <v>1PremiumW3</v>
      </c>
      <c r="E198" s="10">
        <v>1</v>
      </c>
      <c r="F198" s="6">
        <v>158</v>
      </c>
      <c r="G198" s="8" t="str">
        <f>VLOOKUP(F198,[1]characters!$A:$C,3,FALSE)</f>
        <v>シスター シャルロッテ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16">
        <f>VLOOKUP(D198,gacha_198_base!A:B,2,FALSE)</f>
        <v>5053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8"/>
        <v>1981159</v>
      </c>
      <c r="B199" s="2" t="str">
        <f t="shared" si="20"/>
        <v>1981</v>
      </c>
      <c r="C199" s="8" t="str">
        <f t="shared" si="17"/>
        <v>1PremiumW4</v>
      </c>
      <c r="D199" s="8" t="str">
        <f t="shared" si="19"/>
        <v>1PremiumW4</v>
      </c>
      <c r="E199" s="10">
        <v>1</v>
      </c>
      <c r="F199" s="6">
        <v>159</v>
      </c>
      <c r="G199" s="8" t="str">
        <f>VLOOKUP(F199,[1]characters!$A:$C,3,FALSE)</f>
        <v>邪を狩りし者 シャルロッテ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16">
        <f>VLOOKUP(D199,gacha_198_base!A:B,2,FALSE)</f>
        <v>5053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8"/>
        <v>1981160</v>
      </c>
      <c r="B200" s="2" t="str">
        <f t="shared" si="20"/>
        <v>1981</v>
      </c>
      <c r="C200" s="8" t="str">
        <f t="shared" si="17"/>
        <v>1PremiumW3</v>
      </c>
      <c r="D200" s="8" t="str">
        <f t="shared" si="19"/>
        <v>1PremiumW3</v>
      </c>
      <c r="E200" s="10">
        <v>1</v>
      </c>
      <c r="F200" s="6">
        <v>160</v>
      </c>
      <c r="G200" s="8" t="str">
        <f>VLOOKUP(F200,[1]characters!$A:$C,3,FALSE)</f>
        <v>反逆者 クリエ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16">
        <f>VLOOKUP(D200,gacha_198_base!A:B,2,FALSE)</f>
        <v>5053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8"/>
        <v>1981161</v>
      </c>
      <c r="B201" s="2" t="str">
        <f t="shared" si="20"/>
        <v>1981</v>
      </c>
      <c r="C201" s="8" t="str">
        <f t="shared" si="17"/>
        <v>1PremiumW4</v>
      </c>
      <c r="D201" s="8" t="str">
        <f t="shared" si="19"/>
        <v>1PremiumW4</v>
      </c>
      <c r="E201" s="10">
        <v>1</v>
      </c>
      <c r="F201" s="6">
        <v>161</v>
      </c>
      <c r="G201" s="8" t="str">
        <f>VLOOKUP(F201,[1]characters!$A:$C,3,FALSE)</f>
        <v>咆哮の先導者 クリエ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16">
        <f>VLOOKUP(D201,gacha_198_base!A:B,2,FALSE)</f>
        <v>5053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8"/>
        <v>1981162</v>
      </c>
      <c r="B202" s="2" t="str">
        <f t="shared" si="20"/>
        <v>1981</v>
      </c>
      <c r="C202" s="8" t="str">
        <f t="shared" si="17"/>
        <v>1PremiumW3</v>
      </c>
      <c r="D202" s="8" t="str">
        <f t="shared" si="19"/>
        <v>1PremiumW3</v>
      </c>
      <c r="E202" s="10">
        <v>1</v>
      </c>
      <c r="F202" s="6">
        <v>162</v>
      </c>
      <c r="G202" s="8" t="str">
        <f>VLOOKUP(F202,[1]characters!$A:$C,3,FALSE)</f>
        <v>狂女 クララ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attack</v>
      </c>
      <c r="L202" s="8" t="str">
        <f>VLOOKUP(F202,[1]characters!$A:$M,13,FALSE)</f>
        <v>human</v>
      </c>
      <c r="M202" s="16">
        <f>VLOOKUP(D202,gacha_198_base!A:B,2,FALSE)</f>
        <v>5053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8"/>
        <v>1981163</v>
      </c>
      <c r="B203" s="2" t="str">
        <f t="shared" si="20"/>
        <v>1981</v>
      </c>
      <c r="C203" s="8" t="str">
        <f t="shared" si="17"/>
        <v>1PremiumW4</v>
      </c>
      <c r="D203" s="8" t="str">
        <f t="shared" si="19"/>
        <v>1PremiumW4</v>
      </c>
      <c r="E203" s="10">
        <v>1</v>
      </c>
      <c r="F203" s="6">
        <v>163</v>
      </c>
      <c r="G203" s="8" t="str">
        <f>VLOOKUP(F203,[1]characters!$A:$C,3,FALSE)</f>
        <v>冷酷な狂嬢 クララ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attack</v>
      </c>
      <c r="L203" s="8" t="str">
        <f>VLOOKUP(F203,[1]characters!$A:$M,13,FALSE)</f>
        <v>human</v>
      </c>
      <c r="M203" s="16">
        <f>VLOOKUP(D203,gacha_198_base!A:B,2,FALSE)</f>
        <v>5053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8"/>
        <v>1981164</v>
      </c>
      <c r="B204" s="2" t="str">
        <f t="shared" si="20"/>
        <v>1981</v>
      </c>
      <c r="C204" s="8" t="str">
        <f t="shared" si="17"/>
        <v>1PremiumW3</v>
      </c>
      <c r="D204" s="8" t="str">
        <f t="shared" si="19"/>
        <v>1PremiumW3</v>
      </c>
      <c r="E204" s="10">
        <v>1</v>
      </c>
      <c r="F204" s="6">
        <v>164</v>
      </c>
      <c r="G204" s="8" t="str">
        <f>VLOOKUP(F204,[1]characters!$A:$C,3,FALSE)</f>
        <v>イブとトモダチ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technical</v>
      </c>
      <c r="L204" s="8" t="str">
        <f>VLOOKUP(F204,[1]characters!$A:$M,13,FALSE)</f>
        <v>human</v>
      </c>
      <c r="M204" s="16">
        <f>VLOOKUP(D204,gacha_198_base!A:B,2,FALSE)</f>
        <v>5053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8"/>
        <v>1981165</v>
      </c>
      <c r="B205" s="2" t="str">
        <f t="shared" si="20"/>
        <v>1981</v>
      </c>
      <c r="C205" s="8" t="str">
        <f t="shared" si="17"/>
        <v>1PremiumW4</v>
      </c>
      <c r="D205" s="8" t="str">
        <f t="shared" si="19"/>
        <v>1PremiumW4</v>
      </c>
      <c r="E205" s="10">
        <v>1</v>
      </c>
      <c r="F205" s="6">
        <v>165</v>
      </c>
      <c r="G205" s="8" t="str">
        <f>VLOOKUP(F205,[1]characters!$A:$C,3,FALSE)</f>
        <v>イブとたったひとりのトモダチ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technical</v>
      </c>
      <c r="L205" s="8" t="str">
        <f>VLOOKUP(F205,[1]characters!$A:$M,13,FALSE)</f>
        <v>human</v>
      </c>
      <c r="M205" s="16">
        <f>VLOOKUP(D205,gacha_198_base!A:B,2,FALSE)</f>
        <v>5053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8"/>
        <v>1981166</v>
      </c>
      <c r="B206" s="2" t="str">
        <f t="shared" si="20"/>
        <v>1981</v>
      </c>
      <c r="C206" s="8" t="str">
        <f t="shared" si="17"/>
        <v>1PremiumN3</v>
      </c>
      <c r="D206" s="8" t="str">
        <f t="shared" si="19"/>
        <v>1PremiumN3</v>
      </c>
      <c r="E206" s="10">
        <v>1</v>
      </c>
      <c r="F206" s="6">
        <v>166</v>
      </c>
      <c r="G206" s="8" t="str">
        <f>VLOOKUP(F206,[1]characters!$A:$C,3,FALSE)</f>
        <v>ベリアル</v>
      </c>
      <c r="H206" s="8" t="str">
        <f>VLOOKUP(F206,[1]characters!$A:$J,10,FALSE)</f>
        <v>PremiumN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VLOOKUP(D206,gacha_198_base!A:B,2,FALSE)</f>
        <v>7579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8"/>
        <v>1981167</v>
      </c>
      <c r="B207" s="2" t="str">
        <f t="shared" si="20"/>
        <v>1981</v>
      </c>
      <c r="C207" s="8" t="str">
        <f t="shared" si="17"/>
        <v>1PremiumN4</v>
      </c>
      <c r="D207" s="8" t="str">
        <f t="shared" si="19"/>
        <v>1PremiumN4</v>
      </c>
      <c r="E207" s="10">
        <v>1</v>
      </c>
      <c r="F207" s="6">
        <v>167</v>
      </c>
      <c r="G207" s="8" t="str">
        <f>VLOOKUP(F207,[1]characters!$A:$C,3,FALSE)</f>
        <v>逆徒 ベリアル</v>
      </c>
      <c r="H207" s="8" t="str">
        <f>VLOOKUP(F207,[1]characters!$A:$J,10,FALSE)</f>
        <v>PremiumN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VLOOKUP(D207,gacha_198_base!A:B,2,FALSE)</f>
        <v>6632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8"/>
        <v>1981168</v>
      </c>
      <c r="B208" s="2" t="str">
        <f t="shared" si="20"/>
        <v>1981</v>
      </c>
      <c r="C208" s="8" t="str">
        <f t="shared" si="17"/>
        <v>1PremiumN5</v>
      </c>
      <c r="D208" s="8" t="str">
        <f t="shared" si="19"/>
        <v>1PremiumN5</v>
      </c>
      <c r="E208" s="10">
        <v>1</v>
      </c>
      <c r="F208" s="6">
        <v>168</v>
      </c>
      <c r="G208" s="8" t="str">
        <f>VLOOKUP(F208,[1]characters!$A:$C,3,FALSE)</f>
        <v>猛進の大逆者 ベリアル</v>
      </c>
      <c r="H208" s="8" t="str">
        <f>VLOOKUP(F208,[1]characters!$A:$J,10,FALSE)</f>
        <v>PremiumN</v>
      </c>
      <c r="I208" s="8">
        <f>VLOOKUP(F208,[1]characters!$A:$I,9,FALSE)</f>
        <v>5</v>
      </c>
      <c r="J208" s="8" t="str">
        <f>VLOOKUP(F208,[1]characters!$A:$H,8,FALSE)</f>
        <v>red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VLOOKUP(D208,gacha_198_base!A:B,2,FALSE)</f>
        <v>947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8"/>
        <v>1981169</v>
      </c>
      <c r="B209" s="2" t="str">
        <f t="shared" si="20"/>
        <v>1981</v>
      </c>
      <c r="C209" s="8" t="str">
        <f t="shared" si="17"/>
        <v>1PremiumN3</v>
      </c>
      <c r="D209" s="8" t="str">
        <f t="shared" si="19"/>
        <v>1PremiumN3</v>
      </c>
      <c r="E209" s="10">
        <v>1</v>
      </c>
      <c r="F209" s="6">
        <v>169</v>
      </c>
      <c r="G209" s="8" t="str">
        <f>VLOOKUP(F209,[1]characters!$A:$C,3,FALSE)</f>
        <v>オセ</v>
      </c>
      <c r="H209" s="8" t="str">
        <f>VLOOKUP(F209,[1]characters!$A:$J,10,FALSE)</f>
        <v>PremiumN</v>
      </c>
      <c r="I209" s="8">
        <f>VLOOKUP(F209,[1]characters!$A:$I,9,FALSE)</f>
        <v>3</v>
      </c>
      <c r="J209" s="8" t="str">
        <f>VLOOKUP(F209,[1]characters!$A:$H,8,FALSE)</f>
        <v>green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VLOOKUP(D209,gacha_198_base!A:B,2,FALSE)</f>
        <v>7579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8"/>
        <v>1981170</v>
      </c>
      <c r="B210" s="2" t="str">
        <f t="shared" si="20"/>
        <v>1981</v>
      </c>
      <c r="C210" s="8" t="str">
        <f t="shared" si="17"/>
        <v>1PremiumN4</v>
      </c>
      <c r="D210" s="8" t="str">
        <f t="shared" si="19"/>
        <v>1PremiumN4</v>
      </c>
      <c r="E210" s="10">
        <v>1</v>
      </c>
      <c r="F210" s="6">
        <v>170</v>
      </c>
      <c r="G210" s="8" t="str">
        <f>VLOOKUP(F210,[1]characters!$A:$C,3,FALSE)</f>
        <v>識徒 オセ</v>
      </c>
      <c r="H210" s="8" t="str">
        <f>VLOOKUP(F210,[1]characters!$A:$J,10,FALSE)</f>
        <v>PremiumN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VLOOKUP(D210,gacha_198_base!A:B,2,FALSE)</f>
        <v>6632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8"/>
        <v>1981171</v>
      </c>
      <c r="B211" s="2" t="str">
        <f t="shared" si="20"/>
        <v>1981</v>
      </c>
      <c r="C211" s="8" t="str">
        <f t="shared" si="17"/>
        <v>1PremiumN5</v>
      </c>
      <c r="D211" s="8" t="str">
        <f t="shared" si="19"/>
        <v>1PremiumN5</v>
      </c>
      <c r="E211" s="10">
        <v>1</v>
      </c>
      <c r="F211" s="6">
        <v>171</v>
      </c>
      <c r="G211" s="8" t="str">
        <f>VLOOKUP(F211,[1]characters!$A:$C,3,FALSE)</f>
        <v>精解の預知者 オセ</v>
      </c>
      <c r="H211" s="8" t="str">
        <f>VLOOKUP(F211,[1]characters!$A:$J,10,FALSE)</f>
        <v>PremiumN</v>
      </c>
      <c r="I211" s="8">
        <f>VLOOKUP(F211,[1]characters!$A:$I,9,FALSE)</f>
        <v>5</v>
      </c>
      <c r="J211" s="8" t="str">
        <f>VLOOKUP(F211,[1]characters!$A:$H,8,FALSE)</f>
        <v>green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VLOOKUP(D211,gacha_198_base!A:B,2,FALSE)</f>
        <v>947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8"/>
        <v>1981172</v>
      </c>
      <c r="B212" s="2" t="str">
        <f t="shared" si="20"/>
        <v>1981</v>
      </c>
      <c r="C212" s="8" t="str">
        <f t="shared" si="17"/>
        <v>1PremiumN3</v>
      </c>
      <c r="D212" s="8" t="str">
        <f t="shared" si="19"/>
        <v>1PremiumN3</v>
      </c>
      <c r="E212" s="10">
        <v>1</v>
      </c>
      <c r="F212" s="6">
        <v>172</v>
      </c>
      <c r="G212" s="8" t="str">
        <f>VLOOKUP(F212,[1]characters!$A:$C,3,FALSE)</f>
        <v>フォルネウス</v>
      </c>
      <c r="H212" s="8" t="str">
        <f>VLOOKUP(F212,[1]characters!$A:$J,10,FALSE)</f>
        <v>PremiumN</v>
      </c>
      <c r="I212" s="8">
        <f>VLOOKUP(F212,[1]characters!$A:$I,9,FALSE)</f>
        <v>3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VLOOKUP(D212,gacha_198_base!A:B,2,FALSE)</f>
        <v>7579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8"/>
        <v>1981173</v>
      </c>
      <c r="B213" s="2" t="str">
        <f t="shared" si="20"/>
        <v>1981</v>
      </c>
      <c r="C213" s="8" t="str">
        <f t="shared" si="17"/>
        <v>1PremiumN4</v>
      </c>
      <c r="D213" s="8" t="str">
        <f t="shared" si="19"/>
        <v>1PremiumN4</v>
      </c>
      <c r="E213" s="10">
        <v>1</v>
      </c>
      <c r="F213" s="6">
        <v>173</v>
      </c>
      <c r="G213" s="8" t="str">
        <f>VLOOKUP(F213,[1]characters!$A:$C,3,FALSE)</f>
        <v>公爵 フォルネウス</v>
      </c>
      <c r="H213" s="8" t="str">
        <f>VLOOKUP(F213,[1]characters!$A:$J,10,FALSE)</f>
        <v>PremiumN</v>
      </c>
      <c r="I213" s="8">
        <f>VLOOKUP(F213,[1]characters!$A:$I,9,FALSE)</f>
        <v>4</v>
      </c>
      <c r="J213" s="8" t="str">
        <f>VLOOKUP(F213,[1]characters!$A:$H,8,FALSE)</f>
        <v>blue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VLOOKUP(D213,gacha_198_base!A:B,2,FALSE)</f>
        <v>6632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8"/>
        <v>1981174</v>
      </c>
      <c r="B214" s="2" t="str">
        <f t="shared" si="20"/>
        <v>1981</v>
      </c>
      <c r="C214" s="8" t="str">
        <f t="shared" si="17"/>
        <v>1PremiumN5</v>
      </c>
      <c r="D214" s="8" t="str">
        <f t="shared" si="19"/>
        <v>1PremiumN5</v>
      </c>
      <c r="E214" s="10">
        <v>1</v>
      </c>
      <c r="F214" s="6">
        <v>174</v>
      </c>
      <c r="G214" s="8" t="str">
        <f>VLOOKUP(F214,[1]characters!$A:$C,3,FALSE)</f>
        <v>偽愛の大公爵 フォルネウス</v>
      </c>
      <c r="H214" s="8" t="str">
        <f>VLOOKUP(F214,[1]characters!$A:$J,10,FALSE)</f>
        <v>PremiumN</v>
      </c>
      <c r="I214" s="8">
        <f>VLOOKUP(F214,[1]characters!$A:$I,9,FALSE)</f>
        <v>5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VLOOKUP(D214,gacha_198_base!A:B,2,FALSE)</f>
        <v>947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8"/>
        <v>1981175</v>
      </c>
      <c r="B215" s="2" t="str">
        <f t="shared" si="20"/>
        <v>1981</v>
      </c>
      <c r="C215" s="8" t="str">
        <f t="shared" si="17"/>
        <v>1PremiumN3</v>
      </c>
      <c r="D215" s="8" t="str">
        <f t="shared" si="19"/>
        <v>1PremiumN3</v>
      </c>
      <c r="E215" s="10">
        <v>1</v>
      </c>
      <c r="F215" s="6">
        <v>175</v>
      </c>
      <c r="G215" s="8" t="str">
        <f>VLOOKUP(F215,[1]characters!$A:$C,3,FALSE)</f>
        <v>バフォメット</v>
      </c>
      <c r="H215" s="8" t="str">
        <f>VLOOKUP(F215,[1]characters!$A:$J,10,FALSE)</f>
        <v>PremiumN</v>
      </c>
      <c r="I215" s="8">
        <f>VLOOKUP(F215,[1]characters!$A:$I,9,FALSE)</f>
        <v>3</v>
      </c>
      <c r="J215" s="8" t="str">
        <f>VLOOKUP(F215,[1]characters!$A:$H,8,FALSE)</f>
        <v>yellow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VLOOKUP(D215,gacha_198_base!A:B,2,FALSE)</f>
        <v>7579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8"/>
        <v>1981176</v>
      </c>
      <c r="B216" s="2" t="str">
        <f t="shared" si="20"/>
        <v>1981</v>
      </c>
      <c r="C216" s="8" t="str">
        <f t="shared" si="17"/>
        <v>1PremiumN4</v>
      </c>
      <c r="D216" s="8" t="str">
        <f t="shared" si="19"/>
        <v>1PremiumN4</v>
      </c>
      <c r="E216" s="10">
        <v>1</v>
      </c>
      <c r="F216" s="6">
        <v>176</v>
      </c>
      <c r="G216" s="8" t="str">
        <f>VLOOKUP(F216,[1]characters!$A:$C,3,FALSE)</f>
        <v>異教徒 バフォメット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VLOOKUP(D216,gacha_198_base!A:B,2,FALSE)</f>
        <v>6632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8"/>
        <v>1981177</v>
      </c>
      <c r="B217" s="2" t="str">
        <f t="shared" si="20"/>
        <v>1981</v>
      </c>
      <c r="C217" s="8" t="str">
        <f t="shared" si="17"/>
        <v>1PremiumN5</v>
      </c>
      <c r="D217" s="8" t="str">
        <f t="shared" si="19"/>
        <v>1PremiumN5</v>
      </c>
      <c r="E217" s="10">
        <v>1</v>
      </c>
      <c r="F217" s="6">
        <v>177</v>
      </c>
      <c r="G217" s="8" t="str">
        <f>VLOOKUP(F217,[1]characters!$A:$C,3,FALSE)</f>
        <v>黒魔の異端師 バフォメット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VLOOKUP(D217,gacha_198_base!A:B,2,FALSE)</f>
        <v>947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8"/>
        <v>1981178</v>
      </c>
      <c r="B218" s="2" t="str">
        <f t="shared" si="20"/>
        <v>1981</v>
      </c>
      <c r="C218" s="8" t="str">
        <f t="shared" si="17"/>
        <v>1PremiumN3</v>
      </c>
      <c r="D218" s="8" t="str">
        <f t="shared" si="19"/>
        <v>1PremiumN3</v>
      </c>
      <c r="E218" s="10">
        <v>1</v>
      </c>
      <c r="F218" s="6">
        <v>178</v>
      </c>
      <c r="G218" s="8" t="str">
        <f>VLOOKUP(F218,[1]characters!$A:$C,3,FALSE)</f>
        <v>ケルベロス</v>
      </c>
      <c r="H218" s="8" t="str">
        <f>VLOOKUP(F218,[1]characters!$A:$J,10,FALSE)</f>
        <v>PremiumN</v>
      </c>
      <c r="I218" s="8">
        <f>VLOOKUP(F218,[1]characters!$A:$I,9,FALSE)</f>
        <v>3</v>
      </c>
      <c r="J218" s="8" t="str">
        <f>VLOOKUP(F218,[1]characters!$A:$H,8,FALSE)</f>
        <v>red</v>
      </c>
      <c r="K218" s="8" t="str">
        <f>VLOOKUP(F218,[1]characters!$A:$K,11,FALSE)</f>
        <v>balance</v>
      </c>
      <c r="L218" s="8" t="str">
        <f>VLOOKUP(F218,[1]characters!$A:$M,13,FALSE)</f>
        <v>animal</v>
      </c>
      <c r="M218" s="16">
        <f>VLOOKUP(D218,gacha_198_base!A:B,2,FALSE)</f>
        <v>7579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8"/>
        <v>1981179</v>
      </c>
      <c r="B219" s="2" t="str">
        <f t="shared" si="20"/>
        <v>1981</v>
      </c>
      <c r="C219" s="8" t="str">
        <f t="shared" si="17"/>
        <v>1PremiumN4</v>
      </c>
      <c r="D219" s="8" t="str">
        <f t="shared" si="19"/>
        <v>1PremiumN4</v>
      </c>
      <c r="E219" s="10">
        <v>1</v>
      </c>
      <c r="F219" s="6">
        <v>179</v>
      </c>
      <c r="G219" s="8" t="str">
        <f>VLOOKUP(F219,[1]characters!$A:$C,3,FALSE)</f>
        <v>番犬 ケルベロス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animal</v>
      </c>
      <c r="M219" s="16">
        <f>VLOOKUP(D219,gacha_198_base!A:B,2,FALSE)</f>
        <v>6632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8"/>
        <v>1981180</v>
      </c>
      <c r="B220" s="2" t="str">
        <f t="shared" si="20"/>
        <v>1981</v>
      </c>
      <c r="C220" s="8" t="str">
        <f t="shared" si="17"/>
        <v>1PremiumN5</v>
      </c>
      <c r="D220" s="8" t="str">
        <f t="shared" si="19"/>
        <v>1PremiumN5</v>
      </c>
      <c r="E220" s="10">
        <v>1</v>
      </c>
      <c r="F220" s="6">
        <v>180</v>
      </c>
      <c r="G220" s="8" t="str">
        <f>VLOOKUP(F220,[1]characters!$A:$C,3,FALSE)</f>
        <v>地獄の大門番 ケルベロス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animal</v>
      </c>
      <c r="M220" s="16">
        <f>VLOOKUP(D220,gacha_198_base!A:B,2,FALSE)</f>
        <v>947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8"/>
        <v>1981181</v>
      </c>
      <c r="B221" s="2" t="str">
        <f t="shared" si="20"/>
        <v>1981</v>
      </c>
      <c r="C221" s="8" t="str">
        <f t="shared" si="17"/>
        <v>1PremiumN3</v>
      </c>
      <c r="D221" s="8" t="str">
        <f t="shared" si="19"/>
        <v>1PremiumN3</v>
      </c>
      <c r="E221" s="10">
        <v>1</v>
      </c>
      <c r="F221" s="6">
        <v>181</v>
      </c>
      <c r="G221" s="8" t="str">
        <f>VLOOKUP(F221,[1]characters!$A:$C,3,FALSE)</f>
        <v>ベヒモス</v>
      </c>
      <c r="H221" s="8" t="str">
        <f>VLOOKUP(F221,[1]characters!$A:$J,10,FALSE)</f>
        <v>PremiumN</v>
      </c>
      <c r="I221" s="8">
        <f>VLOOKUP(F221,[1]characters!$A:$I,9,FALSE)</f>
        <v>3</v>
      </c>
      <c r="J221" s="8" t="str">
        <f>VLOOKUP(F221,[1]characters!$A:$H,8,FALSE)</f>
        <v>green</v>
      </c>
      <c r="K221" s="8" t="str">
        <f>VLOOKUP(F221,[1]characters!$A:$K,11,FALSE)</f>
        <v>hp</v>
      </c>
      <c r="L221" s="8" t="str">
        <f>VLOOKUP(F221,[1]characters!$A:$M,13,FALSE)</f>
        <v>animal</v>
      </c>
      <c r="M221" s="16">
        <f>VLOOKUP(D221,gacha_198_base!A:B,2,FALSE)</f>
        <v>7579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18"/>
        <v>1981182</v>
      </c>
      <c r="B222" s="2" t="str">
        <f t="shared" si="20"/>
        <v>1981</v>
      </c>
      <c r="C222" s="8" t="str">
        <f t="shared" si="17"/>
        <v>1PremiumN4</v>
      </c>
      <c r="D222" s="8" t="str">
        <f t="shared" si="19"/>
        <v>1PremiumN4</v>
      </c>
      <c r="E222" s="10">
        <v>1</v>
      </c>
      <c r="F222" s="6">
        <v>182</v>
      </c>
      <c r="G222" s="8" t="str">
        <f>VLOOKUP(F222,[1]characters!$A:$C,3,FALSE)</f>
        <v>放蕩者 ベヒモス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green</v>
      </c>
      <c r="K222" s="8" t="str">
        <f>VLOOKUP(F222,[1]characters!$A:$K,11,FALSE)</f>
        <v>hp</v>
      </c>
      <c r="L222" s="8" t="str">
        <f>VLOOKUP(F222,[1]characters!$A:$M,13,FALSE)</f>
        <v>animal</v>
      </c>
      <c r="M222" s="16">
        <f>VLOOKUP(D222,gacha_198_base!A:B,2,FALSE)</f>
        <v>6632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18"/>
        <v>1981183</v>
      </c>
      <c r="B223" s="2" t="str">
        <f t="shared" si="20"/>
        <v>1981</v>
      </c>
      <c r="C223" s="8" t="str">
        <f t="shared" si="17"/>
        <v>1PremiumN5</v>
      </c>
      <c r="D223" s="8" t="str">
        <f t="shared" si="19"/>
        <v>1PremiumN5</v>
      </c>
      <c r="E223" s="10">
        <v>1</v>
      </c>
      <c r="F223" s="6">
        <v>183</v>
      </c>
      <c r="G223" s="8" t="str">
        <f>VLOOKUP(F223,[1]characters!$A:$C,3,FALSE)</f>
        <v>鈍重な彷徨者 ベヒモス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green</v>
      </c>
      <c r="K223" s="8" t="str">
        <f>VLOOKUP(F223,[1]characters!$A:$K,11,FALSE)</f>
        <v>hp</v>
      </c>
      <c r="L223" s="8" t="str">
        <f>VLOOKUP(F223,[1]characters!$A:$M,13,FALSE)</f>
        <v>animal</v>
      </c>
      <c r="M223" s="16">
        <f>VLOOKUP(D223,gacha_198_base!A:B,2,FALSE)</f>
        <v>947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18"/>
        <v>1981184</v>
      </c>
      <c r="B224" s="2" t="str">
        <f t="shared" si="20"/>
        <v>1981</v>
      </c>
      <c r="C224" s="8" t="str">
        <f t="shared" si="17"/>
        <v>1PremiumN3</v>
      </c>
      <c r="D224" s="8" t="str">
        <f t="shared" si="19"/>
        <v>1PremiumN3</v>
      </c>
      <c r="E224" s="10">
        <v>1</v>
      </c>
      <c r="F224" s="6">
        <v>184</v>
      </c>
      <c r="G224" s="8" t="str">
        <f>VLOOKUP(F224,[1]characters!$A:$C,3,FALSE)</f>
        <v>クラーケン</v>
      </c>
      <c r="H224" s="8" t="str">
        <f>VLOOKUP(F224,[1]characters!$A:$J,10,FALSE)</f>
        <v>PremiumN</v>
      </c>
      <c r="I224" s="8">
        <f>VLOOKUP(F224,[1]characters!$A:$I,9,FALSE)</f>
        <v>3</v>
      </c>
      <c r="J224" s="8" t="str">
        <f>VLOOKUP(F224,[1]characters!$A:$H,8,FALSE)</f>
        <v>blue</v>
      </c>
      <c r="K224" s="8" t="str">
        <f>VLOOKUP(F224,[1]characters!$A:$K,11,FALSE)</f>
        <v>heal</v>
      </c>
      <c r="L224" s="8" t="str">
        <f>VLOOKUP(F224,[1]characters!$A:$M,13,FALSE)</f>
        <v>animal</v>
      </c>
      <c r="M224" s="16">
        <f>VLOOKUP(D224,gacha_198_base!A:B,2,FALSE)</f>
        <v>7579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18"/>
        <v>1981185</v>
      </c>
      <c r="B225" s="2" t="str">
        <f t="shared" si="20"/>
        <v>1981</v>
      </c>
      <c r="C225" s="8" t="str">
        <f t="shared" si="17"/>
        <v>1PremiumN4</v>
      </c>
      <c r="D225" s="8" t="str">
        <f t="shared" si="19"/>
        <v>1PremiumN4</v>
      </c>
      <c r="E225" s="10">
        <v>1</v>
      </c>
      <c r="F225" s="6">
        <v>185</v>
      </c>
      <c r="G225" s="8" t="str">
        <f>VLOOKUP(F225,[1]characters!$A:$C,3,FALSE)</f>
        <v>海姫 クラーケン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heal</v>
      </c>
      <c r="L225" s="8" t="str">
        <f>VLOOKUP(F225,[1]characters!$A:$M,13,FALSE)</f>
        <v>animal</v>
      </c>
      <c r="M225" s="16">
        <f>VLOOKUP(D225,gacha_198_base!A:B,2,FALSE)</f>
        <v>6632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18"/>
        <v>1981186</v>
      </c>
      <c r="B226" s="2" t="str">
        <f t="shared" si="20"/>
        <v>1981</v>
      </c>
      <c r="C226" s="8" t="str">
        <f t="shared" si="17"/>
        <v>1PremiumN5</v>
      </c>
      <c r="D226" s="8" t="str">
        <f t="shared" si="19"/>
        <v>1PremiumN5</v>
      </c>
      <c r="E226" s="10">
        <v>1</v>
      </c>
      <c r="F226" s="9">
        <v>186</v>
      </c>
      <c r="G226" s="8" t="str">
        <f>VLOOKUP(F226,[1]characters!$A:$C,3,FALSE)</f>
        <v>誇り高き多触姫・クラーケン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blue</v>
      </c>
      <c r="K226" s="8" t="str">
        <f>VLOOKUP(F226,[1]characters!$A:$K,11,FALSE)</f>
        <v>heal</v>
      </c>
      <c r="L226" s="8" t="str">
        <f>VLOOKUP(F226,[1]characters!$A:$M,13,FALSE)</f>
        <v>animal</v>
      </c>
      <c r="M226" s="16">
        <f>VLOOKUP(D226,gacha_198_base!A:B,2,FALSE)</f>
        <v>947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18"/>
        <v>1981187</v>
      </c>
      <c r="B227" s="2" t="str">
        <f t="shared" si="20"/>
        <v>1981</v>
      </c>
      <c r="C227" s="8" t="str">
        <f t="shared" si="17"/>
        <v>1PremiumN3</v>
      </c>
      <c r="D227" s="8" t="str">
        <f t="shared" si="19"/>
        <v>1PremiumN3</v>
      </c>
      <c r="E227" s="10">
        <v>1</v>
      </c>
      <c r="F227" s="9">
        <v>187</v>
      </c>
      <c r="G227" s="8" t="str">
        <f>VLOOKUP(F227,[1]characters!$A:$C,3,FALSE)</f>
        <v>ホルス</v>
      </c>
      <c r="H227" s="8" t="str">
        <f>VLOOKUP(F227,[1]characters!$A:$J,10,FALSE)</f>
        <v>PremiumN</v>
      </c>
      <c r="I227" s="8">
        <f>VLOOKUP(F227,[1]characters!$A:$I,9,FALSE)</f>
        <v>3</v>
      </c>
      <c r="J227" s="8" t="str">
        <f>VLOOKUP(F227,[1]characters!$A:$H,8,FALSE)</f>
        <v>yellow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16">
        <f>VLOOKUP(D227,gacha_198_base!A:B,2,FALSE)</f>
        <v>7579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18"/>
        <v>1981188</v>
      </c>
      <c r="B228" s="2" t="str">
        <f t="shared" si="20"/>
        <v>1981</v>
      </c>
      <c r="C228" s="8" t="str">
        <f t="shared" si="17"/>
        <v>1PremiumN4</v>
      </c>
      <c r="D228" s="8" t="str">
        <f t="shared" si="19"/>
        <v>1PremiumN4</v>
      </c>
      <c r="E228" s="10">
        <v>1</v>
      </c>
      <c r="F228" s="9">
        <v>188</v>
      </c>
      <c r="G228" s="8" t="str">
        <f>VLOOKUP(F228,[1]characters!$A:$C,3,FALSE)</f>
        <v>猛禽 ホルス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yellow</v>
      </c>
      <c r="K228" s="8" t="str">
        <f>VLOOKUP(F228,[1]characters!$A:$K,11,FALSE)</f>
        <v>attack</v>
      </c>
      <c r="L228" s="8" t="str">
        <f>VLOOKUP(F228,[1]characters!$A:$M,13,FALSE)</f>
        <v>animal</v>
      </c>
      <c r="M228" s="16">
        <f>VLOOKUP(D228,gacha_198_base!A:B,2,FALSE)</f>
        <v>6632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18"/>
        <v>1981189</v>
      </c>
      <c r="B229" s="2" t="str">
        <f t="shared" si="20"/>
        <v>1981</v>
      </c>
      <c r="C229" s="8" t="str">
        <f t="shared" si="17"/>
        <v>1PremiumN5</v>
      </c>
      <c r="D229" s="8" t="str">
        <f t="shared" si="19"/>
        <v>1PremiumN5</v>
      </c>
      <c r="E229" s="10">
        <v>1</v>
      </c>
      <c r="F229" s="9">
        <v>189</v>
      </c>
      <c r="G229" s="8" t="str">
        <f>VLOOKUP(F229,[1]characters!$A:$C,3,FALSE)</f>
        <v>迅雷の王禽 ホルス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yellow</v>
      </c>
      <c r="K229" s="8" t="str">
        <f>VLOOKUP(F229,[1]characters!$A:$K,11,FALSE)</f>
        <v>attack</v>
      </c>
      <c r="L229" s="8" t="str">
        <f>VLOOKUP(F229,[1]characters!$A:$M,13,FALSE)</f>
        <v>animal</v>
      </c>
      <c r="M229" s="16">
        <f>VLOOKUP(D229,gacha_198_base!A:B,2,FALSE)</f>
        <v>947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s="11" customFormat="1" ht="21" customHeight="1" thickBot="1">
      <c r="A230" s="7" t="str">
        <f t="shared" si="18"/>
        <v>1981190</v>
      </c>
      <c r="B230" s="2" t="str">
        <f t="shared" si="20"/>
        <v>1981</v>
      </c>
      <c r="C230" s="8" t="str">
        <f t="shared" ref="C230:C293" si="21">E230&amp;H230&amp;I230</f>
        <v>1PremiumN3</v>
      </c>
      <c r="D230" s="8" t="str">
        <f t="shared" si="19"/>
        <v>1PremiumN3</v>
      </c>
      <c r="E230" s="10">
        <v>1</v>
      </c>
      <c r="F230" s="6">
        <v>190</v>
      </c>
      <c r="G230" s="8" t="str">
        <f>VLOOKUP(F230,[1]characters!$A:$C,3,FALSE)</f>
        <v>卑弥呼</v>
      </c>
      <c r="H230" s="8" t="str">
        <f>VLOOKUP(F230,[1]characters!$A:$J,10,FALSE)</f>
        <v>PremiumN</v>
      </c>
      <c r="I230" s="8">
        <f>VLOOKUP(F230,[1]characters!$A:$I,9,FALSE)</f>
        <v>3</v>
      </c>
      <c r="J230" s="8" t="str">
        <f>VLOOKUP(F230,[1]characters!$A:$H,8,FALSE)</f>
        <v>red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VLOOKUP(D230,gacha_198_base!A:B,2,FALSE)</f>
        <v>7579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ref="A231:A294" si="22">B231&amp;F231</f>
        <v>1981191</v>
      </c>
      <c r="B231" s="2" t="str">
        <f t="shared" si="20"/>
        <v>1981</v>
      </c>
      <c r="C231" s="8" t="str">
        <f t="shared" si="21"/>
        <v>1PremiumN4</v>
      </c>
      <c r="D231" s="8" t="str">
        <f t="shared" si="19"/>
        <v>1PremiumN4</v>
      </c>
      <c r="E231" s="10">
        <v>1</v>
      </c>
      <c r="F231" s="6">
        <v>191</v>
      </c>
      <c r="G231" s="8" t="str">
        <f>VLOOKUP(F231,[1]characters!$A:$C,3,FALSE)</f>
        <v>始祖 卑弥呼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VLOOKUP(D231,gacha_198_base!A:B,2,FALSE)</f>
        <v>6632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2"/>
        <v>1981192</v>
      </c>
      <c r="B232" s="2" t="str">
        <f t="shared" si="20"/>
        <v>1981</v>
      </c>
      <c r="C232" s="8" t="str">
        <f t="shared" si="21"/>
        <v>1PremiumN5</v>
      </c>
      <c r="D232" s="8" t="str">
        <f t="shared" si="19"/>
        <v>1PremiumN5</v>
      </c>
      <c r="E232" s="10">
        <v>1</v>
      </c>
      <c r="F232" s="6">
        <v>192</v>
      </c>
      <c r="G232" s="8" t="str">
        <f>VLOOKUP(F232,[1]characters!$A:$C,3,FALSE)</f>
        <v>荘厳なる始祖帝 卑弥呼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VLOOKUP(D232,gacha_198_base!A:B,2,FALSE)</f>
        <v>947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2"/>
        <v>1981193</v>
      </c>
      <c r="B233" s="2" t="str">
        <f t="shared" si="20"/>
        <v>1981</v>
      </c>
      <c r="C233" s="8" t="str">
        <f t="shared" si="21"/>
        <v>1PremiumN3</v>
      </c>
      <c r="D233" s="8" t="str">
        <f t="shared" si="19"/>
        <v>1PremiumN3</v>
      </c>
      <c r="E233" s="10">
        <v>1</v>
      </c>
      <c r="F233" s="6">
        <v>193</v>
      </c>
      <c r="G233" s="8" t="str">
        <f>VLOOKUP(F233,[1]characters!$A:$C,3,FALSE)</f>
        <v>ロビンフッド</v>
      </c>
      <c r="H233" s="8" t="str">
        <f>VLOOKUP(F233,[1]characters!$A:$J,10,FALSE)</f>
        <v>PremiumN</v>
      </c>
      <c r="I233" s="8">
        <f>VLOOKUP(F233,[1]characters!$A:$I,9,FALSE)</f>
        <v>3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VLOOKUP(D233,gacha_198_base!A:B,2,FALSE)</f>
        <v>7579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2"/>
        <v>1981194</v>
      </c>
      <c r="B234" s="2" t="str">
        <f t="shared" si="20"/>
        <v>1981</v>
      </c>
      <c r="C234" s="8" t="str">
        <f t="shared" si="21"/>
        <v>1PremiumN4</v>
      </c>
      <c r="D234" s="8" t="str">
        <f t="shared" si="19"/>
        <v>1PremiumN4</v>
      </c>
      <c r="E234" s="10">
        <v>1</v>
      </c>
      <c r="F234" s="12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VLOOKUP(D234,gacha_198_base!A:B,2,FALSE)</f>
        <v>6632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2"/>
        <v>1981195</v>
      </c>
      <c r="B235" s="2" t="str">
        <f t="shared" si="20"/>
        <v>1981</v>
      </c>
      <c r="C235" s="8" t="str">
        <f t="shared" si="21"/>
        <v>1PremiumN5</v>
      </c>
      <c r="D235" s="8" t="str">
        <f t="shared" si="19"/>
        <v>1PremiumN5</v>
      </c>
      <c r="E235" s="10">
        <v>1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VLOOKUP(D235,gacha_198_base!A:B,2,FALSE)</f>
        <v>947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2"/>
        <v>1981196</v>
      </c>
      <c r="B236" s="2" t="str">
        <f t="shared" si="20"/>
        <v>1981</v>
      </c>
      <c r="C236" s="8" t="str">
        <f t="shared" si="21"/>
        <v>1PremiumN3</v>
      </c>
      <c r="D236" s="8" t="str">
        <f t="shared" si="19"/>
        <v>1PremiumN3</v>
      </c>
      <c r="E236" s="10">
        <v>1</v>
      </c>
      <c r="F236" s="12">
        <v>196</v>
      </c>
      <c r="G236" s="8" t="str">
        <f>VLOOKUP(F236,[1]characters!$A:$C,3,FALSE)</f>
        <v>アキレス</v>
      </c>
      <c r="H236" s="8" t="str">
        <f>VLOOKUP(F236,[1]characters!$A:$J,10,FALSE)</f>
        <v>PremiumN</v>
      </c>
      <c r="I236" s="8">
        <f>VLOOKUP(F236,[1]characters!$A:$I,9,FALSE)</f>
        <v>3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VLOOKUP(D236,gacha_198_base!A:B,2,FALSE)</f>
        <v>7579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2"/>
        <v>1981197</v>
      </c>
      <c r="B237" s="2" t="str">
        <f t="shared" si="20"/>
        <v>1981</v>
      </c>
      <c r="C237" s="8" t="str">
        <f t="shared" si="21"/>
        <v>1PremiumN4</v>
      </c>
      <c r="D237" s="8" t="str">
        <f t="shared" si="19"/>
        <v>1PremiumN4</v>
      </c>
      <c r="E237" s="10">
        <v>1</v>
      </c>
      <c r="F237" s="13">
        <v>197</v>
      </c>
      <c r="G237" s="8" t="str">
        <f>VLOOKUP(F237,[1]characters!$A:$C,3,FALSE)</f>
        <v>鉄腕 アキレス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VLOOKUP(D237,gacha_198_base!A:B,2,FALSE)</f>
        <v>6632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2"/>
        <v>1981198</v>
      </c>
      <c r="B238" s="2" t="str">
        <f t="shared" si="20"/>
        <v>1981</v>
      </c>
      <c r="C238" s="8" t="str">
        <f t="shared" si="21"/>
        <v>1PremiumN5</v>
      </c>
      <c r="D238" s="8" t="str">
        <f t="shared" si="19"/>
        <v>1PremiumN5</v>
      </c>
      <c r="E238" s="10">
        <v>1</v>
      </c>
      <c r="F238" s="6">
        <v>198</v>
      </c>
      <c r="G238" s="8" t="str">
        <f>VLOOKUP(F238,[1]characters!$A:$C,3,FALSE)</f>
        <v>砕骨の剛腕 アキレス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VLOOKUP(D238,gacha_198_base!A:B,2,FALSE)</f>
        <v>947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2"/>
        <v>1981199</v>
      </c>
      <c r="B239" s="2" t="str">
        <f t="shared" si="20"/>
        <v>1981</v>
      </c>
      <c r="C239" s="8" t="str">
        <f t="shared" si="21"/>
        <v>1PremiumN3</v>
      </c>
      <c r="D239" s="8" t="str">
        <f t="shared" si="19"/>
        <v>1PremiumN3</v>
      </c>
      <c r="E239" s="10">
        <v>1</v>
      </c>
      <c r="F239" s="6">
        <v>199</v>
      </c>
      <c r="G239" s="8" t="str">
        <f>VLOOKUP(F239,[1]characters!$A:$C,3,FALSE)</f>
        <v>ジークフリート</v>
      </c>
      <c r="H239" s="8" t="str">
        <f>VLOOKUP(F239,[1]characters!$A:$J,10,FALSE)</f>
        <v>PremiumN</v>
      </c>
      <c r="I239" s="8">
        <f>VLOOKUP(F239,[1]characters!$A:$I,9,FALSE)</f>
        <v>3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VLOOKUP(D239,gacha_198_base!A:B,2,FALSE)</f>
        <v>7579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2"/>
        <v>1981200</v>
      </c>
      <c r="B240" s="2" t="str">
        <f t="shared" si="20"/>
        <v>1981</v>
      </c>
      <c r="C240" s="8" t="str">
        <f t="shared" si="21"/>
        <v>1PremiumN4</v>
      </c>
      <c r="D240" s="8" t="str">
        <f t="shared" si="19"/>
        <v>1PremiumN4</v>
      </c>
      <c r="E240" s="10">
        <v>1</v>
      </c>
      <c r="F240" s="6">
        <v>200</v>
      </c>
      <c r="G240" s="8" t="str">
        <f>VLOOKUP(F240,[1]characters!$A:$C,3,FALSE)</f>
        <v>大剣士 ジークフリート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VLOOKUP(D240,gacha_198_base!A:B,2,FALSE)</f>
        <v>6632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2"/>
        <v>1981201</v>
      </c>
      <c r="B241" s="2" t="str">
        <f t="shared" si="20"/>
        <v>1981</v>
      </c>
      <c r="C241" s="8" t="str">
        <f t="shared" si="21"/>
        <v>1PremiumN5</v>
      </c>
      <c r="D241" s="8" t="str">
        <f t="shared" si="19"/>
        <v>1PremiumN5</v>
      </c>
      <c r="E241" s="10">
        <v>1</v>
      </c>
      <c r="F241" s="5">
        <v>201</v>
      </c>
      <c r="G241" s="8" t="str">
        <f>VLOOKUP(F241,[1]characters!$A:$C,3,FALSE)</f>
        <v>斬空の大破剣 ジークフリート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blue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VLOOKUP(D241,gacha_198_base!A:B,2,FALSE)</f>
        <v>947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2"/>
        <v>1981202</v>
      </c>
      <c r="B242" s="2" t="str">
        <f t="shared" si="20"/>
        <v>1981</v>
      </c>
      <c r="C242" s="8" t="str">
        <f t="shared" si="21"/>
        <v>1PremiumN3</v>
      </c>
      <c r="D242" s="8" t="str">
        <f t="shared" si="19"/>
        <v>1PremiumN3</v>
      </c>
      <c r="E242" s="10">
        <v>1</v>
      </c>
      <c r="F242" s="5">
        <v>202</v>
      </c>
      <c r="G242" s="8" t="str">
        <f>VLOOKUP(F242,[1]characters!$A:$C,3,FALSE)</f>
        <v>プロメテウス</v>
      </c>
      <c r="H242" s="8" t="str">
        <f>VLOOKUP(F242,[1]characters!$A:$J,10,FALSE)</f>
        <v>PremiumN</v>
      </c>
      <c r="I242" s="8">
        <f>VLOOKUP(F242,[1]characters!$A:$I,9,FALSE)</f>
        <v>3</v>
      </c>
      <c r="J242" s="8" t="str">
        <f>VLOOKUP(F242,[1]characters!$A:$H,8,FALSE)</f>
        <v>red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VLOOKUP(D242,gacha_198_base!A:B,2,FALSE)</f>
        <v>7579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2"/>
        <v>1981203</v>
      </c>
      <c r="B243" s="2" t="str">
        <f t="shared" si="20"/>
        <v>1981</v>
      </c>
      <c r="C243" s="8" t="str">
        <f t="shared" si="21"/>
        <v>1PremiumN4</v>
      </c>
      <c r="D243" s="8" t="str">
        <f t="shared" si="19"/>
        <v>1PremiumN4</v>
      </c>
      <c r="E243" s="10">
        <v>1</v>
      </c>
      <c r="F243" s="5">
        <v>203</v>
      </c>
      <c r="G243" s="8" t="str">
        <f>VLOOKUP(F243,[1]characters!$A:$C,3,FALSE)</f>
        <v>焔神 プロメテウス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hp</v>
      </c>
      <c r="L243" s="8" t="str">
        <f>VLOOKUP(F243,[1]characters!$A:$M,13,FALSE)</f>
        <v>god</v>
      </c>
      <c r="M243" s="16">
        <f>VLOOKUP(D243,gacha_198_base!A:B,2,FALSE)</f>
        <v>6632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2"/>
        <v>1981204</v>
      </c>
      <c r="B244" s="2" t="str">
        <f t="shared" si="20"/>
        <v>1981</v>
      </c>
      <c r="C244" s="8" t="str">
        <f t="shared" si="21"/>
        <v>1PremiumN5</v>
      </c>
      <c r="D244" s="8" t="str">
        <f t="shared" si="19"/>
        <v>1PremiumN5</v>
      </c>
      <c r="E244" s="10">
        <v>1</v>
      </c>
      <c r="F244" s="5">
        <v>204</v>
      </c>
      <c r="G244" s="8" t="str">
        <f>VLOOKUP(F244,[1]characters!$A:$C,3,FALSE)</f>
        <v>慟哭の巨焔 プロメテウス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hp</v>
      </c>
      <c r="L244" s="8" t="str">
        <f>VLOOKUP(F244,[1]characters!$A:$M,13,FALSE)</f>
        <v>god</v>
      </c>
      <c r="M244" s="16">
        <f>VLOOKUP(D244,gacha_198_base!A:B,2,FALSE)</f>
        <v>947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2"/>
        <v>1981205</v>
      </c>
      <c r="B245" s="2" t="str">
        <f t="shared" si="20"/>
        <v>1981</v>
      </c>
      <c r="C245" s="8" t="str">
        <f t="shared" si="21"/>
        <v>1PremiumN3</v>
      </c>
      <c r="D245" s="8" t="str">
        <f t="shared" si="19"/>
        <v>1PremiumN3</v>
      </c>
      <c r="E245" s="10">
        <v>1</v>
      </c>
      <c r="F245" s="5">
        <v>205</v>
      </c>
      <c r="G245" s="8" t="str">
        <f>VLOOKUP(F245,[1]characters!$A:$C,3,FALSE)</f>
        <v>アフロディーテ</v>
      </c>
      <c r="H245" s="8" t="str">
        <f>VLOOKUP(F245,[1]characters!$A:$J,10,FALSE)</f>
        <v>PremiumN</v>
      </c>
      <c r="I245" s="8">
        <f>VLOOKUP(F245,[1]characters!$A:$I,9,FALSE)</f>
        <v>3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god</v>
      </c>
      <c r="M245" s="16">
        <f>VLOOKUP(D245,gacha_198_base!A:B,2,FALSE)</f>
        <v>7579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2"/>
        <v>1981206</v>
      </c>
      <c r="B246" s="2" t="str">
        <f t="shared" si="20"/>
        <v>1981</v>
      </c>
      <c r="C246" s="8" t="str">
        <f t="shared" si="21"/>
        <v>1PremiumN4</v>
      </c>
      <c r="D246" s="8" t="str">
        <f t="shared" si="19"/>
        <v>1PremiumN4</v>
      </c>
      <c r="E246" s="10">
        <v>1</v>
      </c>
      <c r="F246" s="5">
        <v>206</v>
      </c>
      <c r="G246" s="8" t="str">
        <f>VLOOKUP(F246,[1]characters!$A:$C,3,FALSE)</f>
        <v>美神 アフロディーテ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VLOOKUP(D246,gacha_198_base!A:B,2,FALSE)</f>
        <v>6632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2"/>
        <v>1981207</v>
      </c>
      <c r="B247" s="2" t="str">
        <f t="shared" si="20"/>
        <v>1981</v>
      </c>
      <c r="C247" s="8" t="str">
        <f t="shared" si="21"/>
        <v>1PremiumN5</v>
      </c>
      <c r="D247" s="8" t="str">
        <f t="shared" si="19"/>
        <v>1PremiumN5</v>
      </c>
      <c r="E247" s="10">
        <v>1</v>
      </c>
      <c r="F247" s="5">
        <v>207</v>
      </c>
      <c r="G247" s="8" t="str">
        <f>VLOOKUP(F247,[1]characters!$A:$C,3,FALSE)</f>
        <v>豊穣の麗神・アフロディーテ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god</v>
      </c>
      <c r="M247" s="16">
        <f>VLOOKUP(D247,gacha_198_base!A:B,2,FALSE)</f>
        <v>947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2"/>
        <v>1981208</v>
      </c>
      <c r="B248" s="2" t="str">
        <f t="shared" si="20"/>
        <v>1981</v>
      </c>
      <c r="C248" s="8" t="str">
        <f t="shared" si="21"/>
        <v>1PremiumN3</v>
      </c>
      <c r="D248" s="8" t="str">
        <f t="shared" si="19"/>
        <v>1PremiumN3</v>
      </c>
      <c r="E248" s="10">
        <v>1</v>
      </c>
      <c r="F248" s="5">
        <v>208</v>
      </c>
      <c r="G248" s="8" t="str">
        <f>VLOOKUP(F248,[1]characters!$A:$C,3,FALSE)</f>
        <v>テティス</v>
      </c>
      <c r="H248" s="8" t="str">
        <f>VLOOKUP(F248,[1]characters!$A:$J,10,FALSE)</f>
        <v>PremiumN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VLOOKUP(D248,gacha_198_base!A:B,2,FALSE)</f>
        <v>7579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2"/>
        <v>1981209</v>
      </c>
      <c r="B249" s="2" t="str">
        <f t="shared" si="20"/>
        <v>1981</v>
      </c>
      <c r="C249" s="8" t="str">
        <f t="shared" si="21"/>
        <v>1PremiumN4</v>
      </c>
      <c r="D249" s="8" t="str">
        <f t="shared" si="19"/>
        <v>1PremiumN4</v>
      </c>
      <c r="E249" s="10">
        <v>1</v>
      </c>
      <c r="F249" s="5">
        <v>209</v>
      </c>
      <c r="G249" s="8" t="str">
        <f>VLOOKUP(F249,[1]characters!$A:$C,3,FALSE)</f>
        <v>孤神 テティス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VLOOKUP(D249,gacha_198_base!A:B,2,FALSE)</f>
        <v>6632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2"/>
        <v>1981210</v>
      </c>
      <c r="B250" s="2" t="str">
        <f t="shared" si="20"/>
        <v>1981</v>
      </c>
      <c r="C250" s="8" t="str">
        <f t="shared" si="21"/>
        <v>1PremiumN5</v>
      </c>
      <c r="D250" s="8" t="str">
        <f t="shared" si="19"/>
        <v>1PremiumN5</v>
      </c>
      <c r="E250" s="10">
        <v>1</v>
      </c>
      <c r="F250" s="5">
        <v>210</v>
      </c>
      <c r="G250" s="8" t="str">
        <f>VLOOKUP(F250,[1]characters!$A:$C,3,FALSE)</f>
        <v>海底の孤高神 テティス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VLOOKUP(D250,gacha_198_base!A:B,2,FALSE)</f>
        <v>947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2"/>
        <v>1981211</v>
      </c>
      <c r="B251" s="2" t="str">
        <f t="shared" si="20"/>
        <v>1981</v>
      </c>
      <c r="C251" s="8" t="str">
        <f t="shared" si="21"/>
        <v>1PremiumN3</v>
      </c>
      <c r="D251" s="8" t="str">
        <f t="shared" si="19"/>
        <v>1PremiumN3</v>
      </c>
      <c r="E251" s="10">
        <v>1</v>
      </c>
      <c r="F251" s="5">
        <v>211</v>
      </c>
      <c r="G251" s="8" t="str">
        <f>VLOOKUP(F251,[1]characters!$A:$C,3,FALSE)</f>
        <v>アストライアー</v>
      </c>
      <c r="H251" s="8" t="str">
        <f>VLOOKUP(F251,[1]characters!$A:$J,10,FALSE)</f>
        <v>PremiumN</v>
      </c>
      <c r="I251" s="8">
        <f>VLOOKUP(F251,[1]characters!$A:$I,9,FALSE)</f>
        <v>3</v>
      </c>
      <c r="J251" s="8" t="str">
        <f>VLOOKUP(F251,[1]characters!$A:$H,8,FALSE)</f>
        <v>yellow</v>
      </c>
      <c r="K251" s="8" t="str">
        <f>VLOOKUP(F251,[1]characters!$A:$K,11,FALSE)</f>
        <v>balance</v>
      </c>
      <c r="L251" s="8" t="str">
        <f>VLOOKUP(F251,[1]characters!$A:$M,13,FALSE)</f>
        <v>god</v>
      </c>
      <c r="M251" s="16">
        <f>VLOOKUP(D251,gacha_198_base!A:B,2,FALSE)</f>
        <v>7579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2"/>
        <v>1981212</v>
      </c>
      <c r="B252" s="2" t="str">
        <f t="shared" si="20"/>
        <v>1981</v>
      </c>
      <c r="C252" s="8" t="str">
        <f t="shared" si="21"/>
        <v>1PremiumN4</v>
      </c>
      <c r="D252" s="8" t="str">
        <f t="shared" si="19"/>
        <v>1PremiumN4</v>
      </c>
      <c r="E252" s="10">
        <v>1</v>
      </c>
      <c r="F252" s="5">
        <v>212</v>
      </c>
      <c r="G252" s="8" t="str">
        <f>VLOOKUP(F252,[1]characters!$A:$C,3,FALSE)</f>
        <v>星神 アストライアー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VLOOKUP(D252,gacha_198_base!A:B,2,FALSE)</f>
        <v>6632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2"/>
        <v>1981213</v>
      </c>
      <c r="B253" s="2" t="str">
        <f t="shared" si="20"/>
        <v>1981</v>
      </c>
      <c r="C253" s="8" t="str">
        <f t="shared" si="21"/>
        <v>1PremiumN5</v>
      </c>
      <c r="D253" s="8" t="str">
        <f t="shared" si="19"/>
        <v>1PremiumN5</v>
      </c>
      <c r="E253" s="10">
        <v>1</v>
      </c>
      <c r="F253" s="5">
        <v>213</v>
      </c>
      <c r="G253" s="8" t="str">
        <f>VLOOKUP(F253,[1]characters!$A:$C,3,FALSE)</f>
        <v>満天の星降神 アストライアー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VLOOKUP(D253,gacha_198_base!A:B,2,FALSE)</f>
        <v>947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2"/>
        <v>1981214</v>
      </c>
      <c r="B254" s="2" t="str">
        <f t="shared" si="20"/>
        <v>1981</v>
      </c>
      <c r="C254" s="8" t="str">
        <f t="shared" si="21"/>
        <v>1PremiumN3</v>
      </c>
      <c r="D254" s="8" t="str">
        <f t="shared" si="19"/>
        <v>1PremiumN3</v>
      </c>
      <c r="E254" s="10">
        <v>1</v>
      </c>
      <c r="F254" s="5">
        <v>214</v>
      </c>
      <c r="G254" s="8" t="str">
        <f>VLOOKUP(F254,[1]characters!$A:$C,3,FALSE)</f>
        <v>アズラエル</v>
      </c>
      <c r="H254" s="8" t="str">
        <f>VLOOKUP(F254,[1]characters!$A:$J,10,FALSE)</f>
        <v>PremiumN</v>
      </c>
      <c r="I254" s="8">
        <f>VLOOKUP(F254,[1]characters!$A:$I,9,FALSE)</f>
        <v>3</v>
      </c>
      <c r="J254" s="8" t="str">
        <f>VLOOKUP(F254,[1]characters!$A:$H,8,FALSE)</f>
        <v>red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VLOOKUP(D254,gacha_198_base!A:B,2,FALSE)</f>
        <v>7579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2"/>
        <v>1981215</v>
      </c>
      <c r="B255" s="2" t="str">
        <f t="shared" si="20"/>
        <v>1981</v>
      </c>
      <c r="C255" s="8" t="str">
        <f t="shared" si="21"/>
        <v>1PremiumN4</v>
      </c>
      <c r="D255" s="8" t="str">
        <f t="shared" si="19"/>
        <v>1PremiumN4</v>
      </c>
      <c r="E255" s="10">
        <v>1</v>
      </c>
      <c r="F255" s="5">
        <v>215</v>
      </c>
      <c r="G255" s="8" t="str">
        <f>VLOOKUP(F255,[1]characters!$A:$C,3,FALSE)</f>
        <v>死導者 アズラエル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red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VLOOKUP(D255,gacha_198_base!A:B,2,FALSE)</f>
        <v>6632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2"/>
        <v>1981216</v>
      </c>
      <c r="B256" s="2" t="str">
        <f t="shared" si="20"/>
        <v>1981</v>
      </c>
      <c r="C256" s="8" t="str">
        <f t="shared" si="21"/>
        <v>1PremiumN5</v>
      </c>
      <c r="D256" s="8" t="str">
        <f t="shared" si="19"/>
        <v>1PremiumN5</v>
      </c>
      <c r="E256" s="10">
        <v>1</v>
      </c>
      <c r="F256" s="5">
        <v>216</v>
      </c>
      <c r="G256" s="8" t="str">
        <f>VLOOKUP(F256,[1]characters!$A:$C,3,FALSE)</f>
        <v>百読の死導司書 アズラエル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VLOOKUP(D256,gacha_198_base!A:B,2,FALSE)</f>
        <v>947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2"/>
        <v>1981217</v>
      </c>
      <c r="B257" s="2" t="str">
        <f t="shared" si="20"/>
        <v>1981</v>
      </c>
      <c r="C257" s="8" t="str">
        <f t="shared" si="21"/>
        <v>1PremiumN3</v>
      </c>
      <c r="D257" s="8" t="str">
        <f t="shared" si="19"/>
        <v>1PremiumN3</v>
      </c>
      <c r="E257" s="10">
        <v>1</v>
      </c>
      <c r="F257" s="5">
        <v>217</v>
      </c>
      <c r="G257" s="8" t="str">
        <f>VLOOKUP(F257,[1]characters!$A:$C,3,FALSE)</f>
        <v>ケツァクアトル</v>
      </c>
      <c r="H257" s="8" t="str">
        <f>VLOOKUP(F257,[1]characters!$A:$J,10,FALSE)</f>
        <v>PremiumN</v>
      </c>
      <c r="I257" s="8">
        <f>VLOOKUP(F257,[1]characters!$A:$I,9,FALSE)</f>
        <v>3</v>
      </c>
      <c r="J257" s="8" t="str">
        <f>VLOOKUP(F257,[1]characters!$A:$H,8,FALSE)</f>
        <v>green</v>
      </c>
      <c r="K257" s="8" t="str">
        <f>VLOOKUP(F257,[1]characters!$A:$K,11,FALSE)</f>
        <v>hp</v>
      </c>
      <c r="L257" s="8" t="str">
        <f>VLOOKUP(F257,[1]characters!$A:$M,13,FALSE)</f>
        <v>dragon</v>
      </c>
      <c r="M257" s="16">
        <f>VLOOKUP(D257,gacha_198_base!A:B,2,FALSE)</f>
        <v>7579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2"/>
        <v>1981218</v>
      </c>
      <c r="B258" s="2" t="str">
        <f t="shared" si="20"/>
        <v>1981</v>
      </c>
      <c r="C258" s="8" t="str">
        <f t="shared" si="21"/>
        <v>1PremiumN4</v>
      </c>
      <c r="D258" s="8" t="str">
        <f t="shared" ref="D258:D321" si="23">E258&amp;H258&amp;I258</f>
        <v>1PremiumN4</v>
      </c>
      <c r="E258" s="10">
        <v>1</v>
      </c>
      <c r="F258" s="5">
        <v>218</v>
      </c>
      <c r="G258" s="8" t="str">
        <f>VLOOKUP(F258,[1]characters!$A:$C,3,FALSE)</f>
        <v>聖蛇 ケツァクアトル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hp</v>
      </c>
      <c r="L258" s="8" t="str">
        <f>VLOOKUP(F258,[1]characters!$A:$M,13,FALSE)</f>
        <v>dragon</v>
      </c>
      <c r="M258" s="16">
        <f>VLOOKUP(D258,gacha_198_base!A:B,2,FALSE)</f>
        <v>6632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2"/>
        <v>1981219</v>
      </c>
      <c r="B259" s="2" t="str">
        <f t="shared" ref="B259:B322" si="24">198&amp;E259</f>
        <v>1981</v>
      </c>
      <c r="C259" s="8" t="str">
        <f t="shared" si="21"/>
        <v>1PremiumN5</v>
      </c>
      <c r="D259" s="8" t="str">
        <f t="shared" si="23"/>
        <v>1PremiumN5</v>
      </c>
      <c r="E259" s="10">
        <v>1</v>
      </c>
      <c r="F259" s="5">
        <v>219</v>
      </c>
      <c r="G259" s="8" t="str">
        <f>VLOOKUP(F259,[1]characters!$A:$C,3,FALSE)</f>
        <v>覇翼の聖蛇竜 ケツァクアトル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16">
        <f>VLOOKUP(D259,gacha_198_base!A:B,2,FALSE)</f>
        <v>947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2"/>
        <v>1981220</v>
      </c>
      <c r="B260" s="2" t="str">
        <f t="shared" si="24"/>
        <v>1981</v>
      </c>
      <c r="C260" s="8" t="str">
        <f t="shared" si="21"/>
        <v>1PremiumN3</v>
      </c>
      <c r="D260" s="8" t="str">
        <f t="shared" si="23"/>
        <v>1PremiumN3</v>
      </c>
      <c r="E260" s="10">
        <v>1</v>
      </c>
      <c r="F260" s="5">
        <v>220</v>
      </c>
      <c r="G260" s="8" t="str">
        <f>VLOOKUP(F260,[1]characters!$A:$C,3,FALSE)</f>
        <v>ルキフグス</v>
      </c>
      <c r="H260" s="8" t="str">
        <f>VLOOKUP(F260,[1]characters!$A:$J,10,FALSE)</f>
        <v>PremiumN</v>
      </c>
      <c r="I260" s="8">
        <f>VLOOKUP(F260,[1]characters!$A:$I,9,FALSE)</f>
        <v>3</v>
      </c>
      <c r="J260" s="8" t="str">
        <f>VLOOKUP(F260,[1]characters!$A:$H,8,FALSE)</f>
        <v>blue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VLOOKUP(D260,gacha_198_base!A:B,2,FALSE)</f>
        <v>7579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2"/>
        <v>1981221</v>
      </c>
      <c r="B261" s="2" t="str">
        <f t="shared" si="24"/>
        <v>1981</v>
      </c>
      <c r="C261" s="8" t="str">
        <f t="shared" si="21"/>
        <v>1PremiumN4</v>
      </c>
      <c r="D261" s="8" t="str">
        <f t="shared" si="23"/>
        <v>1PremiumN4</v>
      </c>
      <c r="E261" s="10">
        <v>1</v>
      </c>
      <c r="F261" s="5">
        <v>221</v>
      </c>
      <c r="G261" s="8" t="str">
        <f>VLOOKUP(F261,[1]characters!$A:$C,3,FALSE)</f>
        <v>宰相 ルキフグス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VLOOKUP(D261,gacha_198_base!A:B,2,FALSE)</f>
        <v>6632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2"/>
        <v>1981222</v>
      </c>
      <c r="B262" s="2" t="str">
        <f t="shared" si="24"/>
        <v>1981</v>
      </c>
      <c r="C262" s="8" t="str">
        <f t="shared" si="21"/>
        <v>1PremiumN5</v>
      </c>
      <c r="D262" s="8" t="str">
        <f t="shared" si="23"/>
        <v>1PremiumN5</v>
      </c>
      <c r="E262" s="10">
        <v>1</v>
      </c>
      <c r="F262" s="5">
        <v>222</v>
      </c>
      <c r="G262" s="8" t="str">
        <f>VLOOKUP(F262,[1]characters!$A:$C,3,FALSE)</f>
        <v>避光の鉄鎖宰相 ルキフグス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VLOOKUP(D262,gacha_198_base!A:B,2,FALSE)</f>
        <v>947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2"/>
        <v>1981223</v>
      </c>
      <c r="B263" s="2" t="str">
        <f t="shared" si="24"/>
        <v>1981</v>
      </c>
      <c r="C263" s="8" t="str">
        <f t="shared" si="21"/>
        <v>1PremiumN3</v>
      </c>
      <c r="D263" s="8" t="str">
        <f t="shared" si="23"/>
        <v>1PremiumN3</v>
      </c>
      <c r="E263" s="10">
        <v>1</v>
      </c>
      <c r="F263" s="5">
        <v>223</v>
      </c>
      <c r="G263" s="8" t="str">
        <f>VLOOKUP(F263,[1]characters!$A:$C,3,FALSE)</f>
        <v>ヘラクレス</v>
      </c>
      <c r="H263" s="8" t="str">
        <f>VLOOKUP(F263,[1]characters!$A:$J,10,FALSE)</f>
        <v>PremiumN</v>
      </c>
      <c r="I263" s="8">
        <f>VLOOKUP(F263,[1]characters!$A:$I,9,FALSE)</f>
        <v>3</v>
      </c>
      <c r="J263" s="8" t="str">
        <f>VLOOKUP(F263,[1]characters!$A:$H,8,FALSE)</f>
        <v>yellow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16">
        <f>VLOOKUP(D263,gacha_198_base!A:B,2,FALSE)</f>
        <v>7579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2"/>
        <v>1981224</v>
      </c>
      <c r="B264" s="2" t="str">
        <f t="shared" si="24"/>
        <v>1981</v>
      </c>
      <c r="C264" s="8" t="str">
        <f t="shared" si="21"/>
        <v>1PremiumN4</v>
      </c>
      <c r="D264" s="8" t="str">
        <f t="shared" si="23"/>
        <v>1PremiumN4</v>
      </c>
      <c r="E264" s="10">
        <v>1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VLOOKUP(D264,gacha_198_base!A:B,2,FALSE)</f>
        <v>6632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2"/>
        <v>1981225</v>
      </c>
      <c r="B265" s="2" t="str">
        <f t="shared" si="24"/>
        <v>1981</v>
      </c>
      <c r="C265" s="8" t="str">
        <f t="shared" si="21"/>
        <v>1PremiumN5</v>
      </c>
      <c r="D265" s="8" t="str">
        <f t="shared" si="23"/>
        <v>1PremiumN5</v>
      </c>
      <c r="E265" s="10">
        <v>1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VLOOKUP(D265,gacha_198_base!A:B,2,FALSE)</f>
        <v>947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2"/>
        <v>1981226</v>
      </c>
      <c r="B266" s="2" t="str">
        <f t="shared" si="24"/>
        <v>1981</v>
      </c>
      <c r="C266" s="8" t="str">
        <f t="shared" si="21"/>
        <v>1PremiumS3</v>
      </c>
      <c r="D266" s="8" t="str">
        <f t="shared" si="23"/>
        <v>1PremiumS3</v>
      </c>
      <c r="E266" s="10">
        <v>1</v>
      </c>
      <c r="F266" s="5">
        <v>226</v>
      </c>
      <c r="G266" s="8" t="str">
        <f>VLOOKUP(F266,[1]characters!$A:$C,3,FALSE)</f>
        <v>アレス</v>
      </c>
      <c r="H266" s="8" t="str">
        <f>VLOOKUP(F266,[1]characters!$A:$J,10,FALSE)</f>
        <v>PremiumS</v>
      </c>
      <c r="I266" s="8">
        <f>VLOOKUP(F266,[1]characters!$A:$I,9,FALSE)</f>
        <v>3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VLOOKUP(D266,gacha_198_base!A:B,2,FALSE)</f>
        <v>7579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2"/>
        <v>1981227</v>
      </c>
      <c r="B267" s="2" t="str">
        <f t="shared" si="24"/>
        <v>1981</v>
      </c>
      <c r="C267" s="8" t="str">
        <f t="shared" si="21"/>
        <v>1PremiumS4</v>
      </c>
      <c r="D267" s="8" t="str">
        <f t="shared" si="23"/>
        <v>1PremiumS4</v>
      </c>
      <c r="E267" s="10">
        <v>1</v>
      </c>
      <c r="F267" s="5">
        <v>227</v>
      </c>
      <c r="G267" s="8" t="str">
        <f>VLOOKUP(F267,[1]characters!$A:$C,3,FALSE)</f>
        <v>滅弾 アレス</v>
      </c>
      <c r="H267" s="8" t="str">
        <f>VLOOKUP(F267,[1]characters!$A:$J,10,FALSE)</f>
        <v>PremiumS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VLOOKUP(D267,gacha_198_base!A:B,2,FALSE)</f>
        <v>6632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2"/>
        <v>1981228</v>
      </c>
      <c r="B268" s="2" t="str">
        <f t="shared" si="24"/>
        <v>1981</v>
      </c>
      <c r="C268" s="8" t="str">
        <f t="shared" si="21"/>
        <v>1PremiumS5</v>
      </c>
      <c r="D268" s="8" t="str">
        <f t="shared" si="23"/>
        <v>1PremiumS5</v>
      </c>
      <c r="E268" s="10">
        <v>1</v>
      </c>
      <c r="F268" s="5">
        <v>228</v>
      </c>
      <c r="G268" s="8" t="str">
        <f>VLOOKUP(F268,[1]characters!$A:$C,3,FALSE)</f>
        <v>殲滅の掃射砲 アレス</v>
      </c>
      <c r="H268" s="8" t="str">
        <f>VLOOKUP(F268,[1]characters!$A:$J,10,FALSE)</f>
        <v>PremiumS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VLOOKUP(D268,gacha_198_base!A:B,2,FALSE)</f>
        <v>947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2"/>
        <v>1981229</v>
      </c>
      <c r="B269" s="2" t="str">
        <f t="shared" si="24"/>
        <v>1981</v>
      </c>
      <c r="C269" s="8" t="str">
        <f t="shared" si="21"/>
        <v>1PremiumS3</v>
      </c>
      <c r="D269" s="8" t="str">
        <f t="shared" si="23"/>
        <v>1PremiumS3</v>
      </c>
      <c r="E269" s="10">
        <v>1</v>
      </c>
      <c r="F269" s="5">
        <v>229</v>
      </c>
      <c r="G269" s="8" t="str">
        <f>VLOOKUP(F269,[1]characters!$A:$C,3,FALSE)</f>
        <v>ヨルムンガンド</v>
      </c>
      <c r="H269" s="8" t="str">
        <f>VLOOKUP(F269,[1]characters!$A:$J,10,FALSE)</f>
        <v>PremiumS</v>
      </c>
      <c r="I269" s="8">
        <f>VLOOKUP(F269,[1]characters!$A:$I,9,FALSE)</f>
        <v>3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VLOOKUP(D269,gacha_198_base!A:B,2,FALSE)</f>
        <v>7579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2"/>
        <v>1981230</v>
      </c>
      <c r="B270" s="2" t="str">
        <f t="shared" si="24"/>
        <v>1981</v>
      </c>
      <c r="C270" s="8" t="str">
        <f t="shared" si="21"/>
        <v>1PremiumS4</v>
      </c>
      <c r="D270" s="8" t="str">
        <f t="shared" si="23"/>
        <v>1PremiumS4</v>
      </c>
      <c r="E270" s="10">
        <v>1</v>
      </c>
      <c r="F270" s="5">
        <v>230</v>
      </c>
      <c r="G270" s="8" t="str">
        <f>VLOOKUP(F270,[1]characters!$A:$C,3,FALSE)</f>
        <v>毒銃 ヨルムンガンド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technical</v>
      </c>
      <c r="L270" s="8" t="str">
        <f>VLOOKUP(F270,[1]characters!$A:$M,13,FALSE)</f>
        <v>dragon</v>
      </c>
      <c r="M270" s="16">
        <f>VLOOKUP(D270,gacha_198_base!A:B,2,FALSE)</f>
        <v>6632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2"/>
        <v>1981231</v>
      </c>
      <c r="B271" s="2" t="str">
        <f t="shared" si="24"/>
        <v>1981</v>
      </c>
      <c r="C271" s="8" t="str">
        <f t="shared" si="21"/>
        <v>1PremiumS5</v>
      </c>
      <c r="D271" s="8" t="str">
        <f t="shared" si="23"/>
        <v>1PremiumS5</v>
      </c>
      <c r="E271" s="10">
        <v>1</v>
      </c>
      <c r="F271" s="5">
        <v>231</v>
      </c>
      <c r="G271" s="8" t="str">
        <f>VLOOKUP(F271,[1]characters!$A:$C,3,FALSE)</f>
        <v>必中の咬銃 ヨルムンガンド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technical</v>
      </c>
      <c r="L271" s="8" t="str">
        <f>VLOOKUP(F271,[1]characters!$A:$M,13,FALSE)</f>
        <v>dragon</v>
      </c>
      <c r="M271" s="16">
        <f>VLOOKUP(D271,gacha_198_base!A:B,2,FALSE)</f>
        <v>947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2"/>
        <v>1981232</v>
      </c>
      <c r="B272" s="2" t="str">
        <f t="shared" si="24"/>
        <v>1981</v>
      </c>
      <c r="C272" s="8" t="str">
        <f t="shared" si="21"/>
        <v>1PremiumS3</v>
      </c>
      <c r="D272" s="8" t="str">
        <f t="shared" si="23"/>
        <v>1PremiumS3</v>
      </c>
      <c r="E272" s="10">
        <v>1</v>
      </c>
      <c r="F272" s="5">
        <v>232</v>
      </c>
      <c r="G272" s="8" t="str">
        <f>VLOOKUP(F272,[1]characters!$A:$C,3,FALSE)</f>
        <v>パーシヴァル</v>
      </c>
      <c r="H272" s="8" t="str">
        <f>VLOOKUP(F272,[1]characters!$A:$J,10,FALSE)</f>
        <v>PremiumS</v>
      </c>
      <c r="I272" s="8">
        <f>VLOOKUP(F272,[1]characters!$A:$I,9,FALSE)</f>
        <v>3</v>
      </c>
      <c r="J272" s="8" t="str">
        <f>VLOOKUP(F272,[1]characters!$A:$H,8,FALSE)</f>
        <v>blue</v>
      </c>
      <c r="K272" s="8" t="str">
        <f>VLOOKUP(F272,[1]characters!$A:$K,11,FALSE)</f>
        <v>technical</v>
      </c>
      <c r="L272" s="8" t="str">
        <f>VLOOKUP(F272,[1]characters!$A:$M,13,FALSE)</f>
        <v>human</v>
      </c>
      <c r="M272" s="16">
        <f>VLOOKUP(D272,gacha_198_base!A:B,2,FALSE)</f>
        <v>7579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2"/>
        <v>1981233</v>
      </c>
      <c r="B273" s="2" t="str">
        <f t="shared" si="24"/>
        <v>1981</v>
      </c>
      <c r="C273" s="8" t="str">
        <f t="shared" si="21"/>
        <v>1PremiumS4</v>
      </c>
      <c r="D273" s="8" t="str">
        <f t="shared" si="23"/>
        <v>1PremiumS4</v>
      </c>
      <c r="E273" s="10">
        <v>1</v>
      </c>
      <c r="F273" s="5">
        <v>233</v>
      </c>
      <c r="G273" s="8" t="str">
        <f>VLOOKUP(F273,[1]characters!$A:$C,3,FALSE)</f>
        <v>遂行 パーシヴァル</v>
      </c>
      <c r="H273" s="8" t="str">
        <f>VLOOKUP(F273,[1]characters!$A:$J,10,FALSE)</f>
        <v>PremiumS</v>
      </c>
      <c r="I273" s="8">
        <f>VLOOKUP(F273,[1]characters!$A:$I,9,FALSE)</f>
        <v>4</v>
      </c>
      <c r="J273" s="8" t="str">
        <f>VLOOKUP(F273,[1]characters!$A:$H,8,FALSE)</f>
        <v>blue</v>
      </c>
      <c r="K273" s="8" t="str">
        <f>VLOOKUP(F273,[1]characters!$A:$K,11,FALSE)</f>
        <v>technical</v>
      </c>
      <c r="L273" s="8" t="str">
        <f>VLOOKUP(F273,[1]characters!$A:$M,13,FALSE)</f>
        <v>human</v>
      </c>
      <c r="M273" s="16">
        <f>VLOOKUP(D273,gacha_198_base!A:B,2,FALSE)</f>
        <v>6632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2"/>
        <v>1981234</v>
      </c>
      <c r="B274" s="2" t="str">
        <f t="shared" si="24"/>
        <v>1981</v>
      </c>
      <c r="C274" s="8" t="str">
        <f t="shared" si="21"/>
        <v>1PremiumS5</v>
      </c>
      <c r="D274" s="8" t="str">
        <f t="shared" si="23"/>
        <v>1PremiumS5</v>
      </c>
      <c r="E274" s="10">
        <v>1</v>
      </c>
      <c r="F274" s="5">
        <v>234</v>
      </c>
      <c r="G274" s="8" t="str">
        <f>VLOOKUP(F274,[1]characters!$A:$C,3,FALSE)</f>
        <v>精密なる照準 パーシヴァル</v>
      </c>
      <c r="H274" s="8" t="str">
        <f>VLOOKUP(F274,[1]characters!$A:$J,10,FALSE)</f>
        <v>PremiumS</v>
      </c>
      <c r="I274" s="8">
        <f>VLOOKUP(F274,[1]characters!$A:$I,9,FALSE)</f>
        <v>5</v>
      </c>
      <c r="J274" s="8" t="str">
        <f>VLOOKUP(F274,[1]characters!$A:$H,8,FALSE)</f>
        <v>blue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16">
        <f>VLOOKUP(D274,gacha_198_base!A:B,2,FALSE)</f>
        <v>947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2"/>
        <v>1981235</v>
      </c>
      <c r="B275" s="2" t="str">
        <f t="shared" si="24"/>
        <v>1981</v>
      </c>
      <c r="C275" s="8" t="str">
        <f t="shared" si="21"/>
        <v>1PremiumS3</v>
      </c>
      <c r="D275" s="8" t="str">
        <f t="shared" si="23"/>
        <v>1PremiumS3</v>
      </c>
      <c r="E275" s="10">
        <v>1</v>
      </c>
      <c r="F275" s="5">
        <v>235</v>
      </c>
      <c r="G275" s="8" t="str">
        <f>VLOOKUP(F275,[1]characters!$A:$C,3,FALSE)</f>
        <v>イザナミ</v>
      </c>
      <c r="H275" s="8" t="str">
        <f>VLOOKUP(F275,[1]characters!$A:$J,10,FALSE)</f>
        <v>PremiumS</v>
      </c>
      <c r="I275" s="8">
        <f>VLOOKUP(F275,[1]characters!$A:$I,9,FALSE)</f>
        <v>3</v>
      </c>
      <c r="J275" s="8" t="str">
        <f>VLOOKUP(F275,[1]characters!$A:$H,8,FALSE)</f>
        <v>yellow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VLOOKUP(D275,gacha_198_base!A:B,2,FALSE)</f>
        <v>7579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2"/>
        <v>1981236</v>
      </c>
      <c r="B276" s="2" t="str">
        <f t="shared" si="24"/>
        <v>1981</v>
      </c>
      <c r="C276" s="8" t="str">
        <f t="shared" si="21"/>
        <v>1PremiumS4</v>
      </c>
      <c r="D276" s="8" t="str">
        <f t="shared" si="23"/>
        <v>1PremiumS4</v>
      </c>
      <c r="E276" s="10">
        <v>1</v>
      </c>
      <c r="F276" s="5">
        <v>236</v>
      </c>
      <c r="G276" s="8" t="str">
        <f>VLOOKUP(F276,[1]characters!$A:$C,3,FALSE)</f>
        <v>神産 イザナミ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VLOOKUP(D276,gacha_198_base!A:B,2,FALSE)</f>
        <v>6632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2"/>
        <v>1981237</v>
      </c>
      <c r="B277" s="2" t="str">
        <f t="shared" si="24"/>
        <v>1981</v>
      </c>
      <c r="C277" s="8" t="str">
        <f t="shared" si="21"/>
        <v>1PremiumS5</v>
      </c>
      <c r="D277" s="8" t="str">
        <f t="shared" si="23"/>
        <v>1PremiumS5</v>
      </c>
      <c r="E277" s="10">
        <v>1</v>
      </c>
      <c r="F277" s="5">
        <v>237</v>
      </c>
      <c r="G277" s="8" t="str">
        <f>VLOOKUP(F277,[1]characters!$A:$C,3,FALSE)</f>
        <v>森羅万象の神母 イザナミ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VLOOKUP(D277,gacha_198_base!A:B,2,FALSE)</f>
        <v>947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2"/>
        <v>1981238</v>
      </c>
      <c r="B278" s="2" t="str">
        <f t="shared" si="24"/>
        <v>1981</v>
      </c>
      <c r="C278" s="8" t="str">
        <f t="shared" si="21"/>
        <v>1PremiumS3</v>
      </c>
      <c r="D278" s="8" t="str">
        <f t="shared" si="23"/>
        <v>1PremiumS3</v>
      </c>
      <c r="E278" s="10">
        <v>1</v>
      </c>
      <c r="F278" s="5">
        <v>238</v>
      </c>
      <c r="G278" s="8" t="str">
        <f>VLOOKUP(F278,[1]characters!$A:$C,3,FALSE)</f>
        <v>ウリエル</v>
      </c>
      <c r="H278" s="8" t="str">
        <f>VLOOKUP(F278,[1]characters!$A:$J,10,FALSE)</f>
        <v>PremiumS</v>
      </c>
      <c r="I278" s="8">
        <f>VLOOKUP(F278,[1]characters!$A:$I,9,FALSE)</f>
        <v>3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machine</v>
      </c>
      <c r="M278" s="16">
        <f>VLOOKUP(D278,gacha_198_base!A:B,2,FALSE)</f>
        <v>7579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2"/>
        <v>1981239</v>
      </c>
      <c r="B279" s="2" t="str">
        <f t="shared" si="24"/>
        <v>1981</v>
      </c>
      <c r="C279" s="8" t="str">
        <f t="shared" si="21"/>
        <v>1PremiumS4</v>
      </c>
      <c r="D279" s="8" t="str">
        <f t="shared" si="23"/>
        <v>1PremiumS4</v>
      </c>
      <c r="E279" s="10">
        <v>1</v>
      </c>
      <c r="F279" s="5">
        <v>239</v>
      </c>
      <c r="G279" s="8" t="str">
        <f>VLOOKUP(F279,[1]characters!$A:$C,3,FALSE)</f>
        <v>豪炎の天使 ウリエル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red</v>
      </c>
      <c r="K279" s="8" t="str">
        <f>VLOOKUP(F279,[1]characters!$A:$K,11,FALSE)</f>
        <v>hp</v>
      </c>
      <c r="L279" s="8" t="str">
        <f>VLOOKUP(F279,[1]characters!$A:$M,13,FALSE)</f>
        <v>machine</v>
      </c>
      <c r="M279" s="16">
        <f>VLOOKUP(D279,gacha_198_base!A:B,2,FALSE)</f>
        <v>6632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2"/>
        <v>1981240</v>
      </c>
      <c r="B280" s="2" t="str">
        <f t="shared" si="24"/>
        <v>1981</v>
      </c>
      <c r="C280" s="8" t="str">
        <f t="shared" si="21"/>
        <v>1PremiumS5</v>
      </c>
      <c r="D280" s="8" t="str">
        <f t="shared" si="23"/>
        <v>1PremiumS5</v>
      </c>
      <c r="E280" s="10">
        <v>1</v>
      </c>
      <c r="F280" s="5">
        <v>240</v>
      </c>
      <c r="G280" s="8" t="str">
        <f>VLOOKUP(F280,[1]characters!$A:$C,3,FALSE)</f>
        <v>轟炎の天使 ウリエル・スレイヤー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machine</v>
      </c>
      <c r="M280" s="16">
        <f>VLOOKUP(D280,gacha_198_base!A:B,2,FALSE)</f>
        <v>947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2"/>
        <v>1981241</v>
      </c>
      <c r="B281" s="2" t="str">
        <f t="shared" si="24"/>
        <v>1981</v>
      </c>
      <c r="C281" s="8" t="str">
        <f t="shared" si="21"/>
        <v>1PremiumS3</v>
      </c>
      <c r="D281" s="8" t="str">
        <f t="shared" si="23"/>
        <v>1PremiumS3</v>
      </c>
      <c r="E281" s="10">
        <v>1</v>
      </c>
      <c r="F281" s="5">
        <v>241</v>
      </c>
      <c r="G281" s="8" t="str">
        <f>VLOOKUP(F281,[1]characters!$A:$C,3,FALSE)</f>
        <v>ガブリエル</v>
      </c>
      <c r="H281" s="8" t="str">
        <f>VLOOKUP(F281,[1]characters!$A:$J,10,FALSE)</f>
        <v>PremiumS</v>
      </c>
      <c r="I281" s="8">
        <f>VLOOKUP(F281,[1]characters!$A:$I,9,FALSE)</f>
        <v>3</v>
      </c>
      <c r="J281" s="8" t="str">
        <f>VLOOKUP(F281,[1]characters!$A:$H,8,FALSE)</f>
        <v>green</v>
      </c>
      <c r="K281" s="8" t="str">
        <f>VLOOKUP(F281,[1]characters!$A:$K,11,FALSE)</f>
        <v>balance</v>
      </c>
      <c r="L281" s="8" t="str">
        <f>VLOOKUP(F281,[1]characters!$A:$M,13,FALSE)</f>
        <v>machine</v>
      </c>
      <c r="M281" s="16">
        <f>VLOOKUP(D281,gacha_198_base!A:B,2,FALSE)</f>
        <v>7579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2"/>
        <v>1981242</v>
      </c>
      <c r="B282" s="2" t="str">
        <f t="shared" si="24"/>
        <v>1981</v>
      </c>
      <c r="C282" s="8" t="str">
        <f t="shared" si="21"/>
        <v>1PremiumS4</v>
      </c>
      <c r="D282" s="8" t="str">
        <f t="shared" si="23"/>
        <v>1PremiumS4</v>
      </c>
      <c r="E282" s="10">
        <v>1</v>
      </c>
      <c r="F282" s="5">
        <v>242</v>
      </c>
      <c r="G282" s="8" t="str">
        <f>VLOOKUP(F282,[1]characters!$A:$C,3,FALSE)</f>
        <v>百花の天使 ガブリエル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16">
        <f>VLOOKUP(D282,gacha_198_base!A:B,2,FALSE)</f>
        <v>6632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2"/>
        <v>1981243</v>
      </c>
      <c r="B283" s="2" t="str">
        <f t="shared" si="24"/>
        <v>1981</v>
      </c>
      <c r="C283" s="8" t="str">
        <f t="shared" si="21"/>
        <v>1PremiumS5</v>
      </c>
      <c r="D283" s="8" t="str">
        <f t="shared" si="23"/>
        <v>1PremiumS5</v>
      </c>
      <c r="E283" s="10">
        <v>1</v>
      </c>
      <c r="F283" s="5">
        <v>243</v>
      </c>
      <c r="G283" s="8" t="str">
        <f>VLOOKUP(F283,[1]characters!$A:$C,3,FALSE)</f>
        <v>万花の天使 ガブリエル・ブルーム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balance</v>
      </c>
      <c r="L283" s="8" t="str">
        <f>VLOOKUP(F283,[1]characters!$A:$M,13,FALSE)</f>
        <v>machine</v>
      </c>
      <c r="M283" s="16">
        <f>VLOOKUP(D283,gacha_198_base!A:B,2,FALSE)</f>
        <v>947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2"/>
        <v>1981244</v>
      </c>
      <c r="B284" s="2" t="str">
        <f t="shared" si="24"/>
        <v>1981</v>
      </c>
      <c r="C284" s="8" t="str">
        <f t="shared" si="21"/>
        <v>1PremiumS3</v>
      </c>
      <c r="D284" s="8" t="str">
        <f t="shared" si="23"/>
        <v>1PremiumS3</v>
      </c>
      <c r="E284" s="10">
        <v>1</v>
      </c>
      <c r="F284" s="5">
        <v>244</v>
      </c>
      <c r="G284" s="8" t="str">
        <f>VLOOKUP(F284,[1]characters!$A:$C,3,FALSE)</f>
        <v>ラファエル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machine</v>
      </c>
      <c r="M284" s="16">
        <f>VLOOKUP(D284,gacha_198_base!A:B,2,FALSE)</f>
        <v>7579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2"/>
        <v>1981245</v>
      </c>
      <c r="B285" s="2" t="str">
        <f t="shared" si="24"/>
        <v>1981</v>
      </c>
      <c r="C285" s="8" t="str">
        <f t="shared" si="21"/>
        <v>1PremiumS4</v>
      </c>
      <c r="D285" s="8" t="str">
        <f t="shared" si="23"/>
        <v>1PremiumS4</v>
      </c>
      <c r="E285" s="10">
        <v>1</v>
      </c>
      <c r="F285" s="5">
        <v>245</v>
      </c>
      <c r="G285" s="8" t="str">
        <f>VLOOKUP(F285,[1]characters!$A:$C,3,FALSE)</f>
        <v>鎮癒の天使 ラファエル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VLOOKUP(D285,gacha_198_base!A:B,2,FALSE)</f>
        <v>6632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2"/>
        <v>1981246</v>
      </c>
      <c r="B286" s="2" t="str">
        <f t="shared" si="24"/>
        <v>1981</v>
      </c>
      <c r="C286" s="8" t="str">
        <f t="shared" si="21"/>
        <v>1PremiumS5</v>
      </c>
      <c r="D286" s="8" t="str">
        <f t="shared" si="23"/>
        <v>1PremiumS5</v>
      </c>
      <c r="E286" s="10">
        <v>1</v>
      </c>
      <c r="F286" s="5">
        <v>246</v>
      </c>
      <c r="G286" s="8" t="str">
        <f>VLOOKUP(F286,[1]characters!$A:$C,3,FALSE)</f>
        <v>真癒の天使 ラファエル・メディカ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blue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VLOOKUP(D286,gacha_198_base!A:B,2,FALSE)</f>
        <v>947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2"/>
        <v>1981247</v>
      </c>
      <c r="B287" s="2" t="str">
        <f t="shared" si="24"/>
        <v>1981</v>
      </c>
      <c r="C287" s="8" t="str">
        <f t="shared" si="21"/>
        <v>1PremiumS3</v>
      </c>
      <c r="D287" s="8" t="str">
        <f t="shared" si="23"/>
        <v>1PremiumS3</v>
      </c>
      <c r="E287" s="10">
        <v>1</v>
      </c>
      <c r="F287" s="5">
        <v>247</v>
      </c>
      <c r="G287" s="8" t="str">
        <f>VLOOKUP(F287,[1]characters!$A:$C,3,FALSE)</f>
        <v>ミカエル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yellow</v>
      </c>
      <c r="K287" s="8" t="str">
        <f>VLOOKUP(F287,[1]characters!$A:$K,11,FALSE)</f>
        <v>attack</v>
      </c>
      <c r="L287" s="8" t="str">
        <f>VLOOKUP(F287,[1]characters!$A:$M,13,FALSE)</f>
        <v>machine</v>
      </c>
      <c r="M287" s="16">
        <f>VLOOKUP(D287,gacha_198_base!A:B,2,FALSE)</f>
        <v>7579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2"/>
        <v>1981248</v>
      </c>
      <c r="B288" s="2" t="str">
        <f t="shared" si="24"/>
        <v>1981</v>
      </c>
      <c r="C288" s="8" t="str">
        <f t="shared" si="21"/>
        <v>1PremiumS4</v>
      </c>
      <c r="D288" s="8" t="str">
        <f t="shared" si="23"/>
        <v>1PremiumS4</v>
      </c>
      <c r="E288" s="10">
        <v>1</v>
      </c>
      <c r="F288" s="5">
        <v>248</v>
      </c>
      <c r="G288" s="8" t="str">
        <f>VLOOKUP(F288,[1]characters!$A:$C,3,FALSE)</f>
        <v>彩電の天使 ミカエル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attack</v>
      </c>
      <c r="L288" s="8" t="str">
        <f>VLOOKUP(F288,[1]characters!$A:$M,13,FALSE)</f>
        <v>machine</v>
      </c>
      <c r="M288" s="16">
        <f>VLOOKUP(D288,gacha_198_base!A:B,2,FALSE)</f>
        <v>6632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2"/>
        <v>1981249</v>
      </c>
      <c r="B289" s="2" t="str">
        <f t="shared" si="24"/>
        <v>1981</v>
      </c>
      <c r="C289" s="8" t="str">
        <f t="shared" si="21"/>
        <v>1PremiumS5</v>
      </c>
      <c r="D289" s="8" t="str">
        <f t="shared" si="23"/>
        <v>1PremiumS5</v>
      </c>
      <c r="E289" s="10">
        <v>1</v>
      </c>
      <c r="F289" s="6">
        <v>249</v>
      </c>
      <c r="G289" s="8" t="str">
        <f>VLOOKUP(F289,[1]characters!$A:$C,3,FALSE)</f>
        <v>雷電の天使 ミカエル・ゲイナー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VLOOKUP(D289,gacha_198_base!A:B,2,FALSE)</f>
        <v>947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2"/>
        <v>1981250</v>
      </c>
      <c r="B290" s="2" t="str">
        <f t="shared" si="24"/>
        <v>1981</v>
      </c>
      <c r="C290" s="8" t="str">
        <f t="shared" si="21"/>
        <v>1PremiumS3</v>
      </c>
      <c r="D290" s="8" t="str">
        <f t="shared" si="23"/>
        <v>1PremiumS3</v>
      </c>
      <c r="E290" s="10">
        <v>1</v>
      </c>
      <c r="F290" s="6">
        <v>250</v>
      </c>
      <c r="G290" s="8" t="str">
        <f>VLOOKUP(F290,[1]characters!$A:$C,3,FALSE)</f>
        <v>マンモン</v>
      </c>
      <c r="H290" s="8" t="str">
        <f>VLOOKUP(F290,[1]characters!$A:$J,10,FALSE)</f>
        <v>PremiumS</v>
      </c>
      <c r="I290" s="8">
        <f>VLOOKUP(F290,[1]characters!$A:$I,9,FALSE)</f>
        <v>3</v>
      </c>
      <c r="J290" s="8" t="str">
        <f>VLOOKUP(F290,[1]characters!$A:$H,8,FALSE)</f>
        <v>red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16">
        <f>VLOOKUP(D290,gacha_198_base!A:B,2,FALSE)</f>
        <v>7579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2"/>
        <v>1981251</v>
      </c>
      <c r="B291" s="2" t="str">
        <f t="shared" si="24"/>
        <v>1981</v>
      </c>
      <c r="C291" s="8" t="str">
        <f t="shared" si="21"/>
        <v>1PremiumS4</v>
      </c>
      <c r="D291" s="8" t="str">
        <f t="shared" si="23"/>
        <v>1PremiumS4</v>
      </c>
      <c r="E291" s="10">
        <v>1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VLOOKUP(D291,gacha_198_base!A:B,2,FALSE)</f>
        <v>6632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2"/>
        <v>1981252</v>
      </c>
      <c r="B292" s="2" t="str">
        <f t="shared" si="24"/>
        <v>1981</v>
      </c>
      <c r="C292" s="8" t="str">
        <f t="shared" si="21"/>
        <v>1PremiumS5</v>
      </c>
      <c r="D292" s="8" t="str">
        <f t="shared" si="23"/>
        <v>1PremiumS5</v>
      </c>
      <c r="E292" s="10">
        <v>1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VLOOKUP(D292,gacha_198_base!A:B,2,FALSE)</f>
        <v>947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2"/>
        <v>1981253</v>
      </c>
      <c r="B293" s="2" t="str">
        <f t="shared" si="24"/>
        <v>1981</v>
      </c>
      <c r="C293" s="8" t="str">
        <f t="shared" si="21"/>
        <v>1PremiumS3</v>
      </c>
      <c r="D293" s="8" t="str">
        <f t="shared" si="23"/>
        <v>1PremiumS3</v>
      </c>
      <c r="E293" s="10">
        <v>1</v>
      </c>
      <c r="F293" s="6">
        <v>253</v>
      </c>
      <c r="G293" s="8" t="str">
        <f>VLOOKUP(F293,[1]characters!$A:$C,3,FALSE)</f>
        <v>ベルフェゴール</v>
      </c>
      <c r="H293" s="8" t="str">
        <f>VLOOKUP(F293,[1]characters!$A:$J,10,FALSE)</f>
        <v>PremiumS</v>
      </c>
      <c r="I293" s="8">
        <f>VLOOKUP(F293,[1]characters!$A:$I,9,FALSE)</f>
        <v>3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16">
        <f>VLOOKUP(D293,gacha_198_base!A:B,2,FALSE)</f>
        <v>7579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2"/>
        <v>1981254</v>
      </c>
      <c r="B294" s="2" t="str">
        <f t="shared" si="24"/>
        <v>1981</v>
      </c>
      <c r="C294" s="8" t="str">
        <f t="shared" ref="C294:C357" si="25">E294&amp;H294&amp;I294</f>
        <v>1PremiumS4</v>
      </c>
      <c r="D294" s="8" t="str">
        <f t="shared" si="23"/>
        <v>1PremiumS4</v>
      </c>
      <c r="E294" s="10">
        <v>1</v>
      </c>
      <c r="F294" s="6">
        <v>254</v>
      </c>
      <c r="G294" s="8" t="str">
        <f>VLOOKUP(F294,[1]characters!$A:$C,3,FALSE)</f>
        <v>怠惰 ベルフェゴール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VLOOKUP(D294,gacha_198_base!A:B,2,FALSE)</f>
        <v>6632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ref="A295:A358" si="26">B295&amp;F295</f>
        <v>1981255</v>
      </c>
      <c r="B295" s="2" t="str">
        <f t="shared" si="24"/>
        <v>1981</v>
      </c>
      <c r="C295" s="8" t="str">
        <f t="shared" si="25"/>
        <v>1PremiumS5</v>
      </c>
      <c r="D295" s="8" t="str">
        <f t="shared" si="23"/>
        <v>1PremiumS5</v>
      </c>
      <c r="E295" s="10">
        <v>1</v>
      </c>
      <c r="F295" s="6">
        <v>255</v>
      </c>
      <c r="G295" s="8" t="str">
        <f>VLOOKUP(F295,[1]characters!$A:$C,3,FALSE)</f>
        <v>怠惰の頂点 ベルフェゴール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16">
        <f>VLOOKUP(D295,gacha_198_base!A:B,2,FALSE)</f>
        <v>947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6"/>
        <v>1981256</v>
      </c>
      <c r="B296" s="2" t="str">
        <f t="shared" si="24"/>
        <v>1981</v>
      </c>
      <c r="C296" s="8" t="str">
        <f t="shared" si="25"/>
        <v>1PremiumS3</v>
      </c>
      <c r="D296" s="8" t="str">
        <f t="shared" si="23"/>
        <v>1PremiumS3</v>
      </c>
      <c r="E296" s="10">
        <v>1</v>
      </c>
      <c r="F296" s="6">
        <v>256</v>
      </c>
      <c r="G296" s="8" t="str">
        <f>VLOOKUP(F296,[1]characters!$A:$C,3,FALSE)</f>
        <v>アスモデウス</v>
      </c>
      <c r="H296" s="8" t="str">
        <f>VLOOKUP(F296,[1]characters!$A:$J,10,FALSE)</f>
        <v>PremiumS</v>
      </c>
      <c r="I296" s="8">
        <f>VLOOKUP(F296,[1]characters!$A:$I,9,FALSE)</f>
        <v>3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VLOOKUP(D296,gacha_198_base!A:B,2,FALSE)</f>
        <v>7579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6"/>
        <v>1981257</v>
      </c>
      <c r="B297" s="2" t="str">
        <f t="shared" si="24"/>
        <v>1981</v>
      </c>
      <c r="C297" s="8" t="str">
        <f t="shared" si="25"/>
        <v>1PremiumS4</v>
      </c>
      <c r="D297" s="8" t="str">
        <f t="shared" si="23"/>
        <v>1PremiumS4</v>
      </c>
      <c r="E297" s="10">
        <v>1</v>
      </c>
      <c r="F297" s="6">
        <v>257</v>
      </c>
      <c r="G297" s="8" t="str">
        <f>VLOOKUP(F297,[1]characters!$A:$C,3,FALSE)</f>
        <v>色欲 アスモデウス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VLOOKUP(D297,gacha_198_base!A:B,2,FALSE)</f>
        <v>6632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6"/>
        <v>1981258</v>
      </c>
      <c r="B298" s="2" t="str">
        <f t="shared" si="24"/>
        <v>1981</v>
      </c>
      <c r="C298" s="8" t="str">
        <f t="shared" si="25"/>
        <v>1PremiumS5</v>
      </c>
      <c r="D298" s="8" t="str">
        <f t="shared" si="23"/>
        <v>1PremiumS5</v>
      </c>
      <c r="E298" s="10">
        <v>1</v>
      </c>
      <c r="F298" s="6">
        <v>258</v>
      </c>
      <c r="G298" s="8" t="str">
        <f>VLOOKUP(F298,[1]characters!$A:$C,3,FALSE)</f>
        <v>色欲の源流 アスモデウス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16">
        <f>VLOOKUP(D298,gacha_198_base!A:B,2,FALSE)</f>
        <v>947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6"/>
        <v>1981259</v>
      </c>
      <c r="B299" s="2" t="str">
        <f t="shared" si="24"/>
        <v>1981</v>
      </c>
      <c r="C299" s="8" t="str">
        <f t="shared" si="25"/>
        <v>1PremiumS3</v>
      </c>
      <c r="D299" s="8" t="str">
        <f t="shared" si="23"/>
        <v>1PremiumS3</v>
      </c>
      <c r="E299" s="10">
        <v>1</v>
      </c>
      <c r="F299" s="6">
        <v>259</v>
      </c>
      <c r="G299" s="8" t="str">
        <f>VLOOKUP(F299,[1]characters!$A:$C,3,FALSE)</f>
        <v>ウロボロス</v>
      </c>
      <c r="H299" s="8" t="str">
        <f>VLOOKUP(F299,[1]characters!$A:$J,10,FALSE)</f>
        <v>PremiumS</v>
      </c>
      <c r="I299" s="8">
        <f>VLOOKUP(F299,[1]characters!$A:$I,9,FALSE)</f>
        <v>3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dragon</v>
      </c>
      <c r="M299" s="16">
        <f>VLOOKUP(D299,gacha_198_base!A:B,2,FALSE)</f>
        <v>7579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1981260</v>
      </c>
      <c r="B300" s="2" t="str">
        <f t="shared" si="24"/>
        <v>1981</v>
      </c>
      <c r="C300" s="8" t="str">
        <f t="shared" si="25"/>
        <v>1PremiumS4</v>
      </c>
      <c r="D300" s="8" t="str">
        <f t="shared" si="23"/>
        <v>1PremiumS4</v>
      </c>
      <c r="E300" s="10">
        <v>1</v>
      </c>
      <c r="F300" s="9">
        <v>260</v>
      </c>
      <c r="G300" s="8" t="str">
        <f>VLOOKUP(F300,[1]characters!$A:$C,3,FALSE)</f>
        <v>輪廻 ウロボロス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balance</v>
      </c>
      <c r="L300" s="8" t="str">
        <f>VLOOKUP(F300,[1]characters!$A:$M,13,FALSE)</f>
        <v>dragon</v>
      </c>
      <c r="M300" s="16">
        <f>VLOOKUP(D300,gacha_198_base!A:B,2,FALSE)</f>
        <v>6632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1981261</v>
      </c>
      <c r="B301" s="2" t="str">
        <f t="shared" si="24"/>
        <v>1981</v>
      </c>
      <c r="C301" s="8" t="str">
        <f t="shared" si="25"/>
        <v>1PremiumS5</v>
      </c>
      <c r="D301" s="8" t="str">
        <f t="shared" si="23"/>
        <v>1PremiumS5</v>
      </c>
      <c r="E301" s="10">
        <v>1</v>
      </c>
      <c r="F301" s="9">
        <v>261</v>
      </c>
      <c r="G301" s="8" t="str">
        <f>VLOOKUP(F301,[1]characters!$A:$C,3,FALSE)</f>
        <v>輪廻の蛇龍 ウロボロス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balance</v>
      </c>
      <c r="L301" s="8" t="str">
        <f>VLOOKUP(F301,[1]characters!$A:$M,13,FALSE)</f>
        <v>dragon</v>
      </c>
      <c r="M301" s="16">
        <f>VLOOKUP(D301,gacha_198_base!A:B,2,FALSE)</f>
        <v>947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1981320</v>
      </c>
      <c r="B302" s="2" t="str">
        <f t="shared" si="24"/>
        <v>1981</v>
      </c>
      <c r="C302" s="8" t="str">
        <f t="shared" si="25"/>
        <v>1PremiumSS4</v>
      </c>
      <c r="D302" s="8" t="str">
        <f t="shared" si="23"/>
        <v>1PremiumSS4</v>
      </c>
      <c r="E302" s="10">
        <v>1</v>
      </c>
      <c r="F302" s="6">
        <v>320</v>
      </c>
      <c r="G302" s="8" t="str">
        <f>VLOOKUP(F302,[1]characters!$A:$C,3,FALSE)</f>
        <v>烈志士 近藤勇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red</v>
      </c>
      <c r="K302" s="8" t="str">
        <f>VLOOKUP(F302,[1]characters!$A:$K,11,FALSE)</f>
        <v>hp</v>
      </c>
      <c r="L302" s="8" t="str">
        <f>VLOOKUP(F302,[1]characters!$A:$M,13,FALSE)</f>
        <v>human</v>
      </c>
      <c r="M302" s="16">
        <f>VLOOKUP(D302,gacha_198_base!A:B,2,FALSE)</f>
        <v>1406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1981321</v>
      </c>
      <c r="B303" s="2" t="str">
        <f t="shared" si="24"/>
        <v>1981</v>
      </c>
      <c r="C303" s="8" t="str">
        <f t="shared" si="25"/>
        <v>1PremiumSS5</v>
      </c>
      <c r="D303" s="8" t="str">
        <f t="shared" si="23"/>
        <v>1PremiumSS5</v>
      </c>
      <c r="E303" s="10">
        <v>1</v>
      </c>
      <c r="F303" s="6">
        <v>321</v>
      </c>
      <c r="G303" s="8" t="str">
        <f>VLOOKUP(F303,[1]characters!$A:$C,3,FALSE)</f>
        <v>巌鉄の烈志士 近藤勇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red</v>
      </c>
      <c r="K303" s="8" t="str">
        <f>VLOOKUP(F303,[1]characters!$A:$K,11,FALSE)</f>
        <v>hp</v>
      </c>
      <c r="L303" s="8" t="str">
        <f>VLOOKUP(F303,[1]characters!$A:$M,13,FALSE)</f>
        <v>human</v>
      </c>
      <c r="M303" s="16">
        <f>VLOOKUP(D303,gacha_198_base!A:B,2,FALSE)</f>
        <v>94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1981322</v>
      </c>
      <c r="B304" s="2" t="str">
        <f t="shared" si="24"/>
        <v>1981</v>
      </c>
      <c r="C304" s="8" t="str">
        <f t="shared" si="25"/>
        <v>1PremiumSS4</v>
      </c>
      <c r="D304" s="8" t="str">
        <f t="shared" si="23"/>
        <v>1PremiumSS4</v>
      </c>
      <c r="E304" s="10">
        <v>1</v>
      </c>
      <c r="F304" s="6">
        <v>322</v>
      </c>
      <c r="G304" s="8" t="str">
        <f>VLOOKUP(F304,[1]characters!$A:$C,3,FALSE)</f>
        <v>愛志士 土方歳三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green</v>
      </c>
      <c r="K304" s="8" t="str">
        <f>VLOOKUP(F304,[1]characters!$A:$K,11,FALSE)</f>
        <v>attack</v>
      </c>
      <c r="L304" s="8" t="str">
        <f>VLOOKUP(F304,[1]characters!$A:$M,13,FALSE)</f>
        <v>human</v>
      </c>
      <c r="M304" s="16">
        <f>VLOOKUP(D304,gacha_198_base!A:B,2,FALSE)</f>
        <v>1406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1981323</v>
      </c>
      <c r="B305" s="2" t="str">
        <f t="shared" si="24"/>
        <v>1981</v>
      </c>
      <c r="C305" s="8" t="str">
        <f t="shared" si="25"/>
        <v>1PremiumSS5</v>
      </c>
      <c r="D305" s="8" t="str">
        <f t="shared" si="23"/>
        <v>1PremiumSS5</v>
      </c>
      <c r="E305" s="10">
        <v>1</v>
      </c>
      <c r="F305" s="6">
        <v>323</v>
      </c>
      <c r="G305" s="8" t="str">
        <f>VLOOKUP(F305,[1]characters!$A:$C,3,FALSE)</f>
        <v>流麗の愛志士 土方歳三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green</v>
      </c>
      <c r="K305" s="8" t="str">
        <f>VLOOKUP(F305,[1]characters!$A:$K,11,FALSE)</f>
        <v>attack</v>
      </c>
      <c r="L305" s="8" t="str">
        <f>VLOOKUP(F305,[1]characters!$A:$M,13,FALSE)</f>
        <v>human</v>
      </c>
      <c r="M305" s="16">
        <f>VLOOKUP(D305,gacha_198_base!A:B,2,FALSE)</f>
        <v>94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1981324</v>
      </c>
      <c r="B306" s="2" t="str">
        <f t="shared" si="24"/>
        <v>1981</v>
      </c>
      <c r="C306" s="8" t="str">
        <f t="shared" si="25"/>
        <v>1PremiumSS4</v>
      </c>
      <c r="D306" s="8" t="str">
        <f t="shared" si="23"/>
        <v>1PremiumSS4</v>
      </c>
      <c r="E306" s="10">
        <v>1</v>
      </c>
      <c r="F306" s="6">
        <v>324</v>
      </c>
      <c r="G306" s="8" t="str">
        <f>VLOOKUP(F306,[1]characters!$A:$C,3,FALSE)</f>
        <v>凛志士 沖田総司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16">
        <f>VLOOKUP(D306,gacha_198_base!A:B,2,FALSE)</f>
        <v>1406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s="14" customFormat="1" ht="21" customHeight="1" thickBot="1">
      <c r="A307" s="7" t="str">
        <f t="shared" si="26"/>
        <v>1981325</v>
      </c>
      <c r="B307" s="2" t="str">
        <f t="shared" si="24"/>
        <v>1981</v>
      </c>
      <c r="C307" s="8" t="str">
        <f t="shared" si="25"/>
        <v>1PremiumSS5</v>
      </c>
      <c r="D307" s="8" t="str">
        <f t="shared" si="23"/>
        <v>1PremiumSS5</v>
      </c>
      <c r="E307" s="10">
        <v>1</v>
      </c>
      <c r="F307" s="6">
        <v>325</v>
      </c>
      <c r="G307" s="8" t="str">
        <f>VLOOKUP(F307,[1]characters!$A:$C,3,FALSE)</f>
        <v>天賦の凛志士 沖田総司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16">
        <f>VLOOKUP(D307,gacha_198_base!A:B,2,FALSE)</f>
        <v>94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1981326</v>
      </c>
      <c r="B308" s="2" t="str">
        <f t="shared" si="24"/>
        <v>1981</v>
      </c>
      <c r="C308" s="8" t="str">
        <f t="shared" si="25"/>
        <v>1PremiumSS4</v>
      </c>
      <c r="D308" s="8" t="str">
        <f t="shared" si="23"/>
        <v>1PremiumSS4</v>
      </c>
      <c r="E308" s="10">
        <v>1</v>
      </c>
      <c r="F308" s="6">
        <v>326</v>
      </c>
      <c r="G308" s="8" t="str">
        <f>VLOOKUP(F308,[1]characters!$A:$C,3,FALSE)</f>
        <v>妖志士 斎藤一</v>
      </c>
      <c r="H308" s="8" t="str">
        <f>VLOOKUP(F308,[1]characters!$A:$J,10,FALSE)</f>
        <v>PremiumSS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technical</v>
      </c>
      <c r="L308" s="8" t="str">
        <f>VLOOKUP(F308,[1]characters!$A:$M,13,FALSE)</f>
        <v>human</v>
      </c>
      <c r="M308" s="16">
        <f>VLOOKUP(D308,gacha_198_base!A:B,2,FALSE)</f>
        <v>1406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1981327</v>
      </c>
      <c r="B309" s="2" t="str">
        <f t="shared" si="24"/>
        <v>1981</v>
      </c>
      <c r="C309" s="8" t="str">
        <f t="shared" si="25"/>
        <v>1PremiumSS5</v>
      </c>
      <c r="D309" s="8" t="str">
        <f t="shared" si="23"/>
        <v>1PremiumSS5</v>
      </c>
      <c r="E309" s="10">
        <v>1</v>
      </c>
      <c r="F309" s="6">
        <v>327</v>
      </c>
      <c r="G309" s="8" t="str">
        <f>VLOOKUP(F309,[1]characters!$A:$C,3,FALSE)</f>
        <v>千殺の妖志士 斎藤一</v>
      </c>
      <c r="H309" s="8" t="str">
        <f>VLOOKUP(F309,[1]characters!$A:$J,10,FALSE)</f>
        <v>PremiumSS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technical</v>
      </c>
      <c r="L309" s="8" t="str">
        <f>VLOOKUP(F309,[1]characters!$A:$M,13,FALSE)</f>
        <v>human</v>
      </c>
      <c r="M309" s="16">
        <f>VLOOKUP(D309,gacha_198_base!A:B,2,FALSE)</f>
        <v>94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6"/>
        <v>1981380</v>
      </c>
      <c r="B310" s="2" t="str">
        <f t="shared" si="24"/>
        <v>1981</v>
      </c>
      <c r="C310" s="8" t="str">
        <f t="shared" si="25"/>
        <v>1PremiumS3</v>
      </c>
      <c r="D310" s="8" t="str">
        <f t="shared" si="23"/>
        <v>1PremiumS3</v>
      </c>
      <c r="E310" s="10">
        <v>1</v>
      </c>
      <c r="F310" s="6">
        <v>380</v>
      </c>
      <c r="G310" s="8" t="str">
        <f>VLOOKUP(F310,[1]characters!$A:$C,3,FALSE)</f>
        <v>バハムート</v>
      </c>
      <c r="H310" s="8" t="str">
        <f>VLOOKUP(F310,[1]characters!$A:$J,10,FALSE)</f>
        <v>PremiumS</v>
      </c>
      <c r="I310" s="8">
        <f>VLOOKUP(F310,[1]characters!$A:$I,9,FALSE)</f>
        <v>3</v>
      </c>
      <c r="J310" s="8" t="str">
        <f>VLOOKUP(F310,[1]characters!$A:$H,8,FALSE)</f>
        <v>red</v>
      </c>
      <c r="K310" s="8" t="str">
        <f>VLOOKUP(F310,[1]characters!$A:$K,11,FALSE)</f>
        <v>technical</v>
      </c>
      <c r="L310" s="8" t="str">
        <f>VLOOKUP(F310,[1]characters!$A:$M,13,FALSE)</f>
        <v>dragon</v>
      </c>
      <c r="M310" s="16">
        <f>VLOOKUP(D310,gacha_198_base!A:B,2,FALSE)</f>
        <v>7579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6"/>
        <v>1981381</v>
      </c>
      <c r="B311" s="2" t="str">
        <f t="shared" si="24"/>
        <v>1981</v>
      </c>
      <c r="C311" s="8" t="str">
        <f t="shared" si="25"/>
        <v>1PremiumS4</v>
      </c>
      <c r="D311" s="8" t="str">
        <f t="shared" si="23"/>
        <v>1PremiumS4</v>
      </c>
      <c r="E311" s="10">
        <v>1</v>
      </c>
      <c r="F311" s="6">
        <v>381</v>
      </c>
      <c r="G311" s="8" t="str">
        <f>VLOOKUP(F311,[1]characters!$A:$C,3,FALSE)</f>
        <v>肉食の恋火 バハムート</v>
      </c>
      <c r="H311" s="8" t="str">
        <f>VLOOKUP(F311,[1]characters!$A:$J,10,FALSE)</f>
        <v>PremiumS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technical</v>
      </c>
      <c r="L311" s="8" t="str">
        <f>VLOOKUP(F311,[1]characters!$A:$M,13,FALSE)</f>
        <v>dragon</v>
      </c>
      <c r="M311" s="16">
        <f>VLOOKUP(D311,gacha_198_base!A:B,2,FALSE)</f>
        <v>6632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6"/>
        <v>1981382</v>
      </c>
      <c r="B312" s="2" t="str">
        <f t="shared" si="24"/>
        <v>1981</v>
      </c>
      <c r="C312" s="8" t="str">
        <f t="shared" si="25"/>
        <v>1PremiumS5</v>
      </c>
      <c r="D312" s="8" t="str">
        <f t="shared" si="23"/>
        <v>1PremiumS5</v>
      </c>
      <c r="E312" s="10">
        <v>1</v>
      </c>
      <c r="F312" s="6">
        <v>382</v>
      </c>
      <c r="G312" s="8" t="str">
        <f>VLOOKUP(F312,[1]characters!$A:$C,3,FALSE)</f>
        <v>激情の愛炎 バハムート</v>
      </c>
      <c r="H312" s="8" t="str">
        <f>VLOOKUP(F312,[1]characters!$A:$J,10,FALSE)</f>
        <v>PremiumS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technical</v>
      </c>
      <c r="L312" s="8" t="str">
        <f>VLOOKUP(F312,[1]characters!$A:$M,13,FALSE)</f>
        <v>dragon</v>
      </c>
      <c r="M312" s="16">
        <f>VLOOKUP(D312,gacha_198_base!A:B,2,FALSE)</f>
        <v>947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6"/>
        <v>1981383</v>
      </c>
      <c r="B313" s="2" t="str">
        <f t="shared" si="24"/>
        <v>1981</v>
      </c>
      <c r="C313" s="8" t="str">
        <f t="shared" si="25"/>
        <v>1PremiumSS4</v>
      </c>
      <c r="D313" s="8" t="str">
        <f t="shared" si="23"/>
        <v>1PremiumSS4</v>
      </c>
      <c r="E313" s="10">
        <v>1</v>
      </c>
      <c r="F313" s="6">
        <v>383</v>
      </c>
      <c r="G313" s="8" t="str">
        <f>VLOOKUP(F313,[1]characters!$A:$C,3,FALSE)</f>
        <v>酒宴の蟒蛇 ヤマタノオロチ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hp</v>
      </c>
      <c r="L313" s="8" t="str">
        <f>VLOOKUP(F313,[1]characters!$A:$M,13,FALSE)</f>
        <v>dragon</v>
      </c>
      <c r="M313" s="16">
        <f>VLOOKUP(D313,gacha_198_base!A:B,2,FALSE)</f>
        <v>1406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6"/>
        <v>1981384</v>
      </c>
      <c r="B314" s="2" t="str">
        <f t="shared" si="24"/>
        <v>1981</v>
      </c>
      <c r="C314" s="8" t="str">
        <f t="shared" si="25"/>
        <v>1PremiumSS5</v>
      </c>
      <c r="D314" s="8" t="str">
        <f t="shared" si="23"/>
        <v>1PremiumSS5</v>
      </c>
      <c r="E314" s="10">
        <v>1</v>
      </c>
      <c r="F314" s="6">
        <v>384</v>
      </c>
      <c r="G314" s="8" t="str">
        <f>VLOOKUP(F314,[1]characters!$A:$C,3,FALSE)</f>
        <v>破国の呑龍 ヤマタノオロチ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dragon</v>
      </c>
      <c r="M314" s="16">
        <f>VLOOKUP(D314,gacha_198_base!A:B,2,FALSE)</f>
        <v>94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6"/>
        <v>1981385</v>
      </c>
      <c r="B315" s="2" t="str">
        <f t="shared" si="24"/>
        <v>1981</v>
      </c>
      <c r="C315" s="8" t="str">
        <f t="shared" si="25"/>
        <v>1PremiumSS4</v>
      </c>
      <c r="D315" s="8" t="str">
        <f t="shared" si="23"/>
        <v>1PremiumSS4</v>
      </c>
      <c r="E315" s="10">
        <v>1</v>
      </c>
      <c r="F315" s="6">
        <v>385</v>
      </c>
      <c r="G315" s="8" t="str">
        <f>VLOOKUP(F315,[1]characters!$A:$C,3,FALSE)</f>
        <v>波烈の出奔 リヴァイアサン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VLOOKUP(D315,gacha_198_base!A:B,2,FALSE)</f>
        <v>1406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6"/>
        <v>1981386</v>
      </c>
      <c r="B316" s="2" t="str">
        <f t="shared" si="24"/>
        <v>1981</v>
      </c>
      <c r="C316" s="8" t="str">
        <f t="shared" si="25"/>
        <v>1PremiumSS5</v>
      </c>
      <c r="D316" s="8" t="str">
        <f t="shared" si="23"/>
        <v>1PremiumSS5</v>
      </c>
      <c r="E316" s="10">
        <v>1</v>
      </c>
      <c r="F316" s="6">
        <v>386</v>
      </c>
      <c r="G316" s="8" t="str">
        <f>VLOOKUP(F316,[1]characters!$A:$C,3,FALSE)</f>
        <v>氾乱の海龍 リヴァイアサン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VLOOKUP(D316,gacha_198_base!A:B,2,FALSE)</f>
        <v>94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6"/>
        <v>1981387</v>
      </c>
      <c r="B317" s="2" t="str">
        <f t="shared" si="24"/>
        <v>1981</v>
      </c>
      <c r="C317" s="8" t="str">
        <f t="shared" si="25"/>
        <v>1PremiumS3</v>
      </c>
      <c r="D317" s="8" t="str">
        <f t="shared" si="23"/>
        <v>1PremiumS3</v>
      </c>
      <c r="E317" s="10">
        <v>1</v>
      </c>
      <c r="F317" s="6">
        <v>387</v>
      </c>
      <c r="G317" s="8" t="str">
        <f>VLOOKUP(F317,[1]characters!$A:$C,3,FALSE)</f>
        <v>スフィンクス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yellow</v>
      </c>
      <c r="K317" s="8" t="str">
        <f>VLOOKUP(F317,[1]characters!$A:$K,11,FALSE)</f>
        <v>heal</v>
      </c>
      <c r="L317" s="8" t="str">
        <f>VLOOKUP(F317,[1]characters!$A:$M,13,FALSE)</f>
        <v>animal</v>
      </c>
      <c r="M317" s="16">
        <f>VLOOKUP(D317,gacha_198_base!A:B,2,FALSE)</f>
        <v>7579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6"/>
        <v>1981388</v>
      </c>
      <c r="B318" s="2" t="str">
        <f t="shared" si="24"/>
        <v>1981</v>
      </c>
      <c r="C318" s="8" t="str">
        <f t="shared" si="25"/>
        <v>1PremiumS4</v>
      </c>
      <c r="D318" s="8" t="str">
        <f t="shared" si="23"/>
        <v>1PremiumS4</v>
      </c>
      <c r="E318" s="10">
        <v>1</v>
      </c>
      <c r="F318" s="6">
        <v>388</v>
      </c>
      <c r="G318" s="8" t="str">
        <f>VLOOKUP(F318,[1]characters!$A:$C,3,FALSE)</f>
        <v>神円の恋姫 スフィンクス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heal</v>
      </c>
      <c r="L318" s="8" t="str">
        <f>VLOOKUP(F318,[1]characters!$A:$M,13,FALSE)</f>
        <v>animal</v>
      </c>
      <c r="M318" s="16">
        <f>VLOOKUP(D318,gacha_198_base!A:B,2,FALSE)</f>
        <v>6632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6"/>
        <v>1981389</v>
      </c>
      <c r="B319" s="2" t="str">
        <f t="shared" si="24"/>
        <v>1981</v>
      </c>
      <c r="C319" s="8" t="str">
        <f t="shared" si="25"/>
        <v>1PremiumS5</v>
      </c>
      <c r="D319" s="8" t="str">
        <f t="shared" si="23"/>
        <v>1PremiumS5</v>
      </c>
      <c r="E319" s="10">
        <v>1</v>
      </c>
      <c r="F319" s="6">
        <v>389</v>
      </c>
      <c r="G319" s="8" t="str">
        <f>VLOOKUP(F319,[1]characters!$A:$C,3,FALSE)</f>
        <v>操神の愛姫 スフィンクス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heal</v>
      </c>
      <c r="L319" s="8" t="str">
        <f>VLOOKUP(F319,[1]characters!$A:$M,13,FALSE)</f>
        <v>animal</v>
      </c>
      <c r="M319" s="16">
        <f>VLOOKUP(D319,gacha_198_base!A:B,2,FALSE)</f>
        <v>947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6"/>
        <v>1981390</v>
      </c>
      <c r="B320" s="2" t="str">
        <f t="shared" si="24"/>
        <v>1981</v>
      </c>
      <c r="C320" s="8" t="str">
        <f t="shared" si="25"/>
        <v>1PremiumSS4</v>
      </c>
      <c r="D320" s="8" t="str">
        <f t="shared" si="23"/>
        <v>1PremiumSS4</v>
      </c>
      <c r="E320" s="10">
        <v>1</v>
      </c>
      <c r="F320" s="6">
        <v>390</v>
      </c>
      <c r="G320" s="8" t="str">
        <f>VLOOKUP(F320,[1]characters!$A:$C,3,FALSE)</f>
        <v>華環の旅客 親指姫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heal</v>
      </c>
      <c r="L320" s="8" t="str">
        <f>VLOOKUP(F320,[1]characters!$A:$M,13,FALSE)</f>
        <v>human</v>
      </c>
      <c r="M320" s="16">
        <f>VLOOKUP(D320,gacha_198_base!A:B,2,FALSE)</f>
        <v>1406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6"/>
        <v>1981391</v>
      </c>
      <c r="B321" s="2" t="str">
        <f t="shared" si="24"/>
        <v>1981</v>
      </c>
      <c r="C321" s="8" t="str">
        <f t="shared" si="25"/>
        <v>1PremiumSS5</v>
      </c>
      <c r="D321" s="8" t="str">
        <f t="shared" si="23"/>
        <v>1PremiumSS5</v>
      </c>
      <c r="E321" s="10">
        <v>1</v>
      </c>
      <c r="F321" s="6">
        <v>391</v>
      </c>
      <c r="G321" s="8" t="str">
        <f>VLOOKUP(F321,[1]characters!$A:$C,3,FALSE)</f>
        <v>燕翼の旅人 親指姫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heal</v>
      </c>
      <c r="L321" s="8" t="str">
        <f>VLOOKUP(F321,[1]characters!$A:$M,13,FALSE)</f>
        <v>human</v>
      </c>
      <c r="M321" s="16">
        <f>VLOOKUP(D321,gacha_198_base!A:B,2,FALSE)</f>
        <v>94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6"/>
        <v>1981392</v>
      </c>
      <c r="B322" s="2" t="str">
        <f t="shared" si="24"/>
        <v>1981</v>
      </c>
      <c r="C322" s="8" t="str">
        <f t="shared" si="25"/>
        <v>1PremiumS3</v>
      </c>
      <c r="D322" s="8" t="str">
        <f t="shared" ref="D322:D385" si="27">E322&amp;H322&amp;I322</f>
        <v>1PremiumS3</v>
      </c>
      <c r="E322" s="10">
        <v>1</v>
      </c>
      <c r="F322" s="6">
        <v>392</v>
      </c>
      <c r="G322" s="8" t="str">
        <f>VLOOKUP(F322,[1]characters!$A:$C,3,FALSE)</f>
        <v>ピーターパン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VLOOKUP(D322,gacha_198_base!A:B,2,FALSE)</f>
        <v>7579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6"/>
        <v>1981393</v>
      </c>
      <c r="B323" s="2" t="str">
        <f t="shared" ref="B323:B386" si="28">198&amp;E323</f>
        <v>1981</v>
      </c>
      <c r="C323" s="8" t="str">
        <f t="shared" si="25"/>
        <v>1PremiumS4</v>
      </c>
      <c r="D323" s="8" t="str">
        <f t="shared" si="27"/>
        <v>1PremiumS4</v>
      </c>
      <c r="E323" s="10">
        <v>1</v>
      </c>
      <c r="F323" s="6">
        <v>393</v>
      </c>
      <c r="G323" s="8" t="str">
        <f>VLOOKUP(F323,[1]characters!$A:$C,3,FALSE)</f>
        <v>影縫い ピーターパン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VLOOKUP(D323,gacha_198_base!A:B,2,FALSE)</f>
        <v>6632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6"/>
        <v>1981394</v>
      </c>
      <c r="B324" s="2" t="str">
        <f t="shared" si="28"/>
        <v>1981</v>
      </c>
      <c r="C324" s="8" t="str">
        <f t="shared" si="25"/>
        <v>1PremiumS5</v>
      </c>
      <c r="D324" s="8" t="str">
        <f t="shared" si="27"/>
        <v>1PremiumS5</v>
      </c>
      <c r="E324" s="10">
        <v>1</v>
      </c>
      <c r="F324" s="6">
        <v>394</v>
      </c>
      <c r="G324" s="8" t="str">
        <f>VLOOKUP(F324,[1]characters!$A:$C,3,FALSE)</f>
        <v>影求の悪童 ピーターパン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green</v>
      </c>
      <c r="K324" s="8" t="str">
        <f>VLOOKUP(F324,[1]characters!$A:$K,11,FALSE)</f>
        <v>attack</v>
      </c>
      <c r="L324" s="8" t="str">
        <f>VLOOKUP(F324,[1]characters!$A:$M,13,FALSE)</f>
        <v>human</v>
      </c>
      <c r="M324" s="16">
        <f>VLOOKUP(D324,gacha_198_base!A:B,2,FALSE)</f>
        <v>947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6"/>
        <v>1981395</v>
      </c>
      <c r="B325" s="2" t="str">
        <f t="shared" si="28"/>
        <v>1981</v>
      </c>
      <c r="C325" s="8" t="str">
        <f t="shared" si="25"/>
        <v>1PremiumS3</v>
      </c>
      <c r="D325" s="8" t="str">
        <f t="shared" si="27"/>
        <v>1PremiumS3</v>
      </c>
      <c r="E325" s="10">
        <v>1</v>
      </c>
      <c r="F325" s="6">
        <v>395</v>
      </c>
      <c r="G325" s="8" t="str">
        <f>VLOOKUP(F325,[1]characters!$A:$C,3,FALSE)</f>
        <v>乙姫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blue</v>
      </c>
      <c r="K325" s="8" t="str">
        <f>VLOOKUP(F325,[1]characters!$A:$K,11,FALSE)</f>
        <v>hp</v>
      </c>
      <c r="L325" s="8" t="str">
        <f>VLOOKUP(F325,[1]characters!$A:$M,13,FALSE)</f>
        <v>human</v>
      </c>
      <c r="M325" s="16">
        <f>VLOOKUP(D325,gacha_198_base!A:B,2,FALSE)</f>
        <v>7579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6"/>
        <v>1981396</v>
      </c>
      <c r="B326" s="2" t="str">
        <f t="shared" si="28"/>
        <v>1981</v>
      </c>
      <c r="C326" s="8" t="str">
        <f t="shared" si="25"/>
        <v>1PremiumS4</v>
      </c>
      <c r="D326" s="8" t="str">
        <f t="shared" si="27"/>
        <v>1PremiumS4</v>
      </c>
      <c r="E326" s="10">
        <v>1</v>
      </c>
      <c r="F326" s="6">
        <v>396</v>
      </c>
      <c r="G326" s="8" t="str">
        <f>VLOOKUP(F326,[1]characters!$A:$C,3,FALSE)</f>
        <v>竜宮の水雷 乙姫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hp</v>
      </c>
      <c r="L326" s="8" t="str">
        <f>VLOOKUP(F326,[1]characters!$A:$M,13,FALSE)</f>
        <v>human</v>
      </c>
      <c r="M326" s="16">
        <f>VLOOKUP(D326,gacha_198_base!A:B,2,FALSE)</f>
        <v>6632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6"/>
        <v>1981397</v>
      </c>
      <c r="B327" s="2" t="str">
        <f t="shared" si="28"/>
        <v>1981</v>
      </c>
      <c r="C327" s="8" t="str">
        <f t="shared" si="25"/>
        <v>1PremiumS5</v>
      </c>
      <c r="D327" s="8" t="str">
        <f t="shared" si="27"/>
        <v>1PremiumS5</v>
      </c>
      <c r="E327" s="10">
        <v>1</v>
      </c>
      <c r="F327" s="6">
        <v>397</v>
      </c>
      <c r="G327" s="8" t="str">
        <f>VLOOKUP(F327,[1]characters!$A:$C,3,FALSE)</f>
        <v>禁断の追箱 乙姫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hp</v>
      </c>
      <c r="L327" s="8" t="str">
        <f>VLOOKUP(F327,[1]characters!$A:$M,13,FALSE)</f>
        <v>human</v>
      </c>
      <c r="M327" s="16">
        <f>VLOOKUP(D327,gacha_198_base!A:B,2,FALSE)</f>
        <v>947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6"/>
        <v>1981398</v>
      </c>
      <c r="B328" s="2" t="str">
        <f t="shared" si="28"/>
        <v>1981</v>
      </c>
      <c r="C328" s="8" t="str">
        <f t="shared" si="25"/>
        <v>1PremiumSS4</v>
      </c>
      <c r="D328" s="8" t="str">
        <f>E328&amp;H328&amp;I328&amp;"pick"</f>
        <v>1PremiumSS4pick</v>
      </c>
      <c r="E328" s="10">
        <v>1</v>
      </c>
      <c r="F328" s="6">
        <v>398</v>
      </c>
      <c r="G328" s="8" t="str">
        <f>VLOOKUP(F328,[1]characters!$A:$C,3,FALSE)</f>
        <v>ヘンゼル＆グレーテル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balance</v>
      </c>
      <c r="L328" s="8" t="str">
        <f>VLOOKUP(F328,[1]characters!$A:$M,13,FALSE)</f>
        <v>human</v>
      </c>
      <c r="M328" s="16">
        <f>VLOOKUP(D328,gacha_198_base!A:B,2,FALSE)</f>
        <v>4688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6"/>
        <v>1981399</v>
      </c>
      <c r="B329" s="2" t="str">
        <f t="shared" si="28"/>
        <v>1981</v>
      </c>
      <c r="C329" s="8" t="str">
        <f t="shared" si="25"/>
        <v>1PremiumSS5</v>
      </c>
      <c r="D329" s="8" t="str">
        <f>E329&amp;H329&amp;I329&amp;"pick"</f>
        <v>1PremiumSS5pick</v>
      </c>
      <c r="E329" s="10">
        <v>1</v>
      </c>
      <c r="F329" s="6">
        <v>399</v>
      </c>
      <c r="G329" s="8" t="str">
        <f>VLOOKUP(F329,[1]characters!$A:$C,3,FALSE)</f>
        <v>信愛の兄妹 ヘンゼル＆グレーテル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balance</v>
      </c>
      <c r="L329" s="8" t="str">
        <f>VLOOKUP(F329,[1]characters!$A:$M,13,FALSE)</f>
        <v>human</v>
      </c>
      <c r="M329" s="16">
        <f>VLOOKUP(D329,gacha_198_base!A:B,2,FALSE)</f>
        <v>313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6"/>
        <v>1981400</v>
      </c>
      <c r="B330" s="2" t="str">
        <f t="shared" si="28"/>
        <v>1981</v>
      </c>
      <c r="C330" s="8" t="str">
        <f t="shared" si="25"/>
        <v>1PremiumS3</v>
      </c>
      <c r="D330" s="8" t="str">
        <f t="shared" si="27"/>
        <v>1PremiumS3</v>
      </c>
      <c r="E330" s="10">
        <v>1</v>
      </c>
      <c r="F330" s="6">
        <v>400</v>
      </c>
      <c r="G330" s="8" t="str">
        <f>VLOOKUP(F330,[1]characters!$A:$C,3,FALSE)</f>
        <v>フェンリル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red</v>
      </c>
      <c r="K330" s="8" t="str">
        <f>VLOOKUP(F330,[1]characters!$A:$K,11,FALSE)</f>
        <v>attack</v>
      </c>
      <c r="L330" s="8" t="str">
        <f>VLOOKUP(F330,[1]characters!$A:$M,13,FALSE)</f>
        <v>animal</v>
      </c>
      <c r="M330" s="16">
        <f>VLOOKUP(D330,gacha_198_base!A:B,2,FALSE)</f>
        <v>7579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6"/>
        <v>1981401</v>
      </c>
      <c r="B331" s="2" t="str">
        <f t="shared" si="28"/>
        <v>1981</v>
      </c>
      <c r="C331" s="8" t="str">
        <f t="shared" si="25"/>
        <v>1PremiumS4</v>
      </c>
      <c r="D331" s="8" t="str">
        <f t="shared" si="27"/>
        <v>1PremiumS4</v>
      </c>
      <c r="E331" s="10">
        <v>1</v>
      </c>
      <c r="F331" s="6">
        <v>401</v>
      </c>
      <c r="G331" s="8" t="str">
        <f>VLOOKUP(F331,[1]characters!$A:$C,3,FALSE)</f>
        <v>紅銀の孤狼 フェンリル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attack</v>
      </c>
      <c r="L331" s="8" t="str">
        <f>VLOOKUP(F331,[1]characters!$A:$M,13,FALSE)</f>
        <v>animal</v>
      </c>
      <c r="M331" s="16">
        <f>VLOOKUP(D331,gacha_198_base!A:B,2,FALSE)</f>
        <v>6632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6"/>
        <v>1981402</v>
      </c>
      <c r="B332" s="2" t="str">
        <f t="shared" si="28"/>
        <v>1981</v>
      </c>
      <c r="C332" s="8" t="str">
        <f t="shared" si="25"/>
        <v>1PremiumS5</v>
      </c>
      <c r="D332" s="8" t="str">
        <f t="shared" si="27"/>
        <v>1PremiumS5</v>
      </c>
      <c r="E332" s="10">
        <v>1</v>
      </c>
      <c r="F332" s="6">
        <v>402</v>
      </c>
      <c r="G332" s="8" t="str">
        <f>VLOOKUP(F332,[1]characters!$A:$C,3,FALSE)</f>
        <v>天災の神狼 フェンリル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attack</v>
      </c>
      <c r="L332" s="8" t="str">
        <f>VLOOKUP(F332,[1]characters!$A:$M,13,FALSE)</f>
        <v>animal</v>
      </c>
      <c r="M332" s="16">
        <f>VLOOKUP(D332,gacha_198_base!A:B,2,FALSE)</f>
        <v>947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6"/>
        <v>1981403</v>
      </c>
      <c r="B333" s="2" t="str">
        <f t="shared" si="28"/>
        <v>1981</v>
      </c>
      <c r="C333" s="8" t="str">
        <f t="shared" si="25"/>
        <v>1PremiumSS4</v>
      </c>
      <c r="D333" s="8" t="str">
        <f t="shared" si="27"/>
        <v>1PremiumSS4</v>
      </c>
      <c r="E333" s="10">
        <v>1</v>
      </c>
      <c r="F333" s="6">
        <v>403</v>
      </c>
      <c r="G333" s="8" t="str">
        <f>VLOOKUP(F333,[1]characters!$A:$C,3,FALSE)</f>
        <v>静撃の翠眼 八咫烏</v>
      </c>
      <c r="H333" s="8" t="str">
        <f>VLOOKUP(F333,[1]characters!$A:$J,10,FALSE)</f>
        <v>PremiumSS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animal</v>
      </c>
      <c r="M333" s="16">
        <f>VLOOKUP(D333,gacha_198_base!A:B,2,FALSE)</f>
        <v>1406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6"/>
        <v>1981404</v>
      </c>
      <c r="B334" s="2" t="str">
        <f t="shared" si="28"/>
        <v>1981</v>
      </c>
      <c r="C334" s="8" t="str">
        <f t="shared" si="25"/>
        <v>1PremiumSS5</v>
      </c>
      <c r="D334" s="8" t="str">
        <f t="shared" si="27"/>
        <v>1PremiumSS5</v>
      </c>
      <c r="E334" s="10">
        <v>1</v>
      </c>
      <c r="F334" s="6">
        <v>404</v>
      </c>
      <c r="G334" s="8" t="str">
        <f>VLOOKUP(F334,[1]characters!$A:$C,3,FALSE)</f>
        <v>空襲の神眼 八咫烏</v>
      </c>
      <c r="H334" s="8" t="str">
        <f>VLOOKUP(F334,[1]characters!$A:$J,10,FALSE)</f>
        <v>PremiumSS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balance</v>
      </c>
      <c r="L334" s="8" t="str">
        <f>VLOOKUP(F334,[1]characters!$A:$M,13,FALSE)</f>
        <v>animal</v>
      </c>
      <c r="M334" s="16">
        <f>VLOOKUP(D334,gacha_198_base!A:B,2,FALSE)</f>
        <v>94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6"/>
        <v>1981405</v>
      </c>
      <c r="B335" s="2" t="str">
        <f t="shared" si="28"/>
        <v>1981</v>
      </c>
      <c r="C335" s="8" t="str">
        <f t="shared" si="25"/>
        <v>1PremiumS3</v>
      </c>
      <c r="D335" s="8" t="str">
        <f t="shared" si="27"/>
        <v>1PremiumS3</v>
      </c>
      <c r="E335" s="10">
        <v>1</v>
      </c>
      <c r="F335" s="6">
        <v>405</v>
      </c>
      <c r="G335" s="8" t="str">
        <f>VLOOKUP(F335,[1]characters!$A:$C,3,FALSE)</f>
        <v>エキドナ</v>
      </c>
      <c r="H335" s="8" t="str">
        <f>VLOOKUP(F335,[1]characters!$A:$J,10,FALSE)</f>
        <v>PremiumS</v>
      </c>
      <c r="I335" s="8">
        <f>VLOOKUP(F335,[1]characters!$A:$I,9,FALSE)</f>
        <v>3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animal</v>
      </c>
      <c r="M335" s="16">
        <f>VLOOKUP(D335,gacha_198_base!A:B,2,FALSE)</f>
        <v>7579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6"/>
        <v>1981406</v>
      </c>
      <c r="B336" s="2" t="str">
        <f t="shared" si="28"/>
        <v>1981</v>
      </c>
      <c r="C336" s="8" t="str">
        <f t="shared" si="25"/>
        <v>1PremiumS4</v>
      </c>
      <c r="D336" s="8" t="str">
        <f t="shared" si="27"/>
        <v>1PremiumS4</v>
      </c>
      <c r="E336" s="10">
        <v>1</v>
      </c>
      <c r="F336" s="6">
        <v>406</v>
      </c>
      <c r="G336" s="8" t="str">
        <f>VLOOKUP(F336,[1]characters!$A:$C,3,FALSE)</f>
        <v>美笑の蒼蛇 エキドナ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technical</v>
      </c>
      <c r="L336" s="8" t="str">
        <f>VLOOKUP(F336,[1]characters!$A:$M,13,FALSE)</f>
        <v>animal</v>
      </c>
      <c r="M336" s="16">
        <f>VLOOKUP(D336,gacha_198_base!A:B,2,FALSE)</f>
        <v>6632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6"/>
        <v>1981407</v>
      </c>
      <c r="B337" s="2" t="str">
        <f t="shared" si="28"/>
        <v>1981</v>
      </c>
      <c r="C337" s="8" t="str">
        <f t="shared" si="25"/>
        <v>1PremiumS5</v>
      </c>
      <c r="D337" s="8" t="str">
        <f t="shared" si="27"/>
        <v>1PremiumS5</v>
      </c>
      <c r="E337" s="10">
        <v>1</v>
      </c>
      <c r="F337" s="6">
        <v>407</v>
      </c>
      <c r="G337" s="8" t="str">
        <f>VLOOKUP(F337,[1]characters!$A:$C,3,FALSE)</f>
        <v>蠱惑の飛刀 エキドナ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technical</v>
      </c>
      <c r="L337" s="8" t="str">
        <f>VLOOKUP(F337,[1]characters!$A:$M,13,FALSE)</f>
        <v>animal</v>
      </c>
      <c r="M337" s="16">
        <f>VLOOKUP(D337,gacha_198_base!A:B,2,FALSE)</f>
        <v>947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6"/>
        <v>1981408</v>
      </c>
      <c r="B338" s="2" t="str">
        <f t="shared" si="28"/>
        <v>1981</v>
      </c>
      <c r="C338" s="8" t="str">
        <f t="shared" si="25"/>
        <v>1PremiumSS4</v>
      </c>
      <c r="D338" s="8" t="str">
        <f t="shared" si="27"/>
        <v>1PremiumSS4</v>
      </c>
      <c r="E338" s="10">
        <v>1</v>
      </c>
      <c r="F338" s="6">
        <v>408</v>
      </c>
      <c r="G338" s="8" t="str">
        <f>VLOOKUP(F338,[1]characters!$A:$C,3,FALSE)</f>
        <v>皇魔 アスタロト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attack</v>
      </c>
      <c r="L338" s="8" t="str">
        <f>VLOOKUP(F338,[1]characters!$A:$M,13,FALSE)</f>
        <v>god</v>
      </c>
      <c r="M338" s="16">
        <f>VLOOKUP(D338,gacha_198_base!A:B,2,FALSE)</f>
        <v>1406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6"/>
        <v>1981409</v>
      </c>
      <c r="B339" s="2" t="str">
        <f t="shared" si="28"/>
        <v>1981</v>
      </c>
      <c r="C339" s="8" t="str">
        <f t="shared" si="25"/>
        <v>1PremiumSS5</v>
      </c>
      <c r="D339" s="8" t="str">
        <f t="shared" si="27"/>
        <v>1PremiumSS5</v>
      </c>
      <c r="E339" s="10">
        <v>1</v>
      </c>
      <c r="F339" s="6">
        <v>409</v>
      </c>
      <c r="G339" s="8" t="str">
        <f>VLOOKUP(F339,[1]characters!$A:$C,3,FALSE)</f>
        <v>天眼の皇貴魔 アスタロト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16">
        <f>VLOOKUP(D339,gacha_198_base!A:B,2,FALSE)</f>
        <v>94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6"/>
        <v>1981434</v>
      </c>
      <c r="B340" s="2" t="str">
        <f t="shared" si="28"/>
        <v>1981</v>
      </c>
      <c r="C340" s="8" t="str">
        <f t="shared" si="25"/>
        <v>1PremiumSS4</v>
      </c>
      <c r="D340" s="8" t="str">
        <f t="shared" si="27"/>
        <v>1PremiumSS4</v>
      </c>
      <c r="E340" s="10">
        <v>1</v>
      </c>
      <c r="F340" s="6">
        <v>434</v>
      </c>
      <c r="G340" s="8" t="str">
        <f>VLOOKUP(F340,[1]characters!$A:$C,3,FALSE)</f>
        <v>D.R.T.H.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balance</v>
      </c>
      <c r="L340" s="8" t="str">
        <f>VLOOKUP(F340,[1]characters!$A:$M,13,FALSE)</f>
        <v>human</v>
      </c>
      <c r="M340" s="16">
        <f>VLOOKUP(D340,gacha_198_base!A:B,2,FALSE)</f>
        <v>1406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6"/>
        <v>1981435</v>
      </c>
      <c r="B341" s="2" t="str">
        <f t="shared" si="28"/>
        <v>1981</v>
      </c>
      <c r="C341" s="8" t="str">
        <f t="shared" si="25"/>
        <v>1PremiumSS5</v>
      </c>
      <c r="D341" s="8" t="str">
        <f t="shared" si="27"/>
        <v>1PremiumSS5</v>
      </c>
      <c r="E341" s="10">
        <v>1</v>
      </c>
      <c r="F341" s="6">
        <v>435</v>
      </c>
      <c r="G341" s="8" t="str">
        <f>VLOOKUP(F341,[1]characters!$A:$C,3,FALSE)</f>
        <v>曝弾の密偵 D.R.T.H.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VLOOKUP(D341,gacha_198_base!A:B,2,FALSE)</f>
        <v>94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6"/>
        <v>1981436</v>
      </c>
      <c r="B342" s="2" t="str">
        <f t="shared" si="28"/>
        <v>1981</v>
      </c>
      <c r="C342" s="8" t="str">
        <f t="shared" si="25"/>
        <v>1PremiumS3</v>
      </c>
      <c r="D342" s="8" t="str">
        <f t="shared" si="27"/>
        <v>1PremiumS3</v>
      </c>
      <c r="E342" s="10">
        <v>1</v>
      </c>
      <c r="F342" s="6">
        <v>436</v>
      </c>
      <c r="G342" s="8" t="str">
        <f>VLOOKUP(F342,[1]characters!$A:$C,3,FALSE)</f>
        <v>カカシ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green</v>
      </c>
      <c r="K342" s="8" t="str">
        <f>VLOOKUP(F342,[1]characters!$A:$K,11,FALSE)</f>
        <v>technical</v>
      </c>
      <c r="L342" s="8" t="str">
        <f>VLOOKUP(F342,[1]characters!$A:$M,13,FALSE)</f>
        <v>human</v>
      </c>
      <c r="M342" s="16">
        <f>VLOOKUP(D342,gacha_198_base!A:B,2,FALSE)</f>
        <v>7579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6"/>
        <v>1981437</v>
      </c>
      <c r="B343" s="2" t="str">
        <f t="shared" si="28"/>
        <v>1981</v>
      </c>
      <c r="C343" s="8" t="str">
        <f t="shared" si="25"/>
        <v>1PremiumS4</v>
      </c>
      <c r="D343" s="8" t="str">
        <f t="shared" si="27"/>
        <v>1PremiumS4</v>
      </c>
      <c r="E343" s="10">
        <v>1</v>
      </c>
      <c r="F343" s="6">
        <v>437</v>
      </c>
      <c r="G343" s="8" t="str">
        <f>VLOOKUP(F343,[1]characters!$A:$C,3,FALSE)</f>
        <v>忘却者 カカシ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VLOOKUP(D343,gacha_198_base!A:B,2,FALSE)</f>
        <v>6632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6"/>
        <v>1981438</v>
      </c>
      <c r="B344" s="2" t="str">
        <f t="shared" si="28"/>
        <v>1981</v>
      </c>
      <c r="C344" s="8" t="str">
        <f t="shared" si="25"/>
        <v>1PremiumS5</v>
      </c>
      <c r="D344" s="8" t="str">
        <f t="shared" si="27"/>
        <v>1PremiumS5</v>
      </c>
      <c r="E344" s="10">
        <v>1</v>
      </c>
      <c r="F344" s="6">
        <v>438</v>
      </c>
      <c r="G344" s="8" t="str">
        <f>VLOOKUP(F344,[1]characters!$A:$C,3,FALSE)</f>
        <v>記憶の奪還 カカシ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VLOOKUP(D344,gacha_198_base!A:B,2,FALSE)</f>
        <v>947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6"/>
        <v>1981439</v>
      </c>
      <c r="B345" s="2" t="str">
        <f t="shared" si="28"/>
        <v>1981</v>
      </c>
      <c r="C345" s="8" t="str">
        <f t="shared" si="25"/>
        <v>1PremiumS3</v>
      </c>
      <c r="D345" s="8" t="str">
        <f t="shared" si="27"/>
        <v>1PremiumS3</v>
      </c>
      <c r="E345" s="10">
        <v>1</v>
      </c>
      <c r="F345" s="6">
        <v>439</v>
      </c>
      <c r="G345" s="8" t="str">
        <f>VLOOKUP(F345,[1]characters!$A:$C,3,FALSE)</f>
        <v>ブリキロガー</v>
      </c>
      <c r="H345" s="8" t="str">
        <f>VLOOKUP(F345,[1]characters!$A:$J,10,FALSE)</f>
        <v>PremiumS</v>
      </c>
      <c r="I345" s="8">
        <f>VLOOKUP(F345,[1]characters!$A:$I,9,FALSE)</f>
        <v>3</v>
      </c>
      <c r="J345" s="8" t="str">
        <f>VLOOKUP(F345,[1]characters!$A:$H,8,FALSE)</f>
        <v>blue</v>
      </c>
      <c r="K345" s="8" t="str">
        <f>VLOOKUP(F345,[1]characters!$A:$K,11,FALSE)</f>
        <v>attack</v>
      </c>
      <c r="L345" s="8" t="str">
        <f>VLOOKUP(F345,[1]characters!$A:$M,13,FALSE)</f>
        <v>machine</v>
      </c>
      <c r="M345" s="16">
        <f>VLOOKUP(D345,gacha_198_base!A:B,2,FALSE)</f>
        <v>7579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6"/>
        <v>1981440</v>
      </c>
      <c r="B346" s="2" t="str">
        <f t="shared" si="28"/>
        <v>1981</v>
      </c>
      <c r="C346" s="8" t="str">
        <f t="shared" si="25"/>
        <v>1PremiumS4</v>
      </c>
      <c r="D346" s="8" t="str">
        <f t="shared" si="27"/>
        <v>1PremiumS4</v>
      </c>
      <c r="E346" s="10">
        <v>1</v>
      </c>
      <c r="F346" s="6">
        <v>440</v>
      </c>
      <c r="G346" s="8" t="str">
        <f>VLOOKUP(F346,[1]characters!$A:$C,3,FALSE)</f>
        <v>改良型 ブリキロガー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blue</v>
      </c>
      <c r="K346" s="8" t="str">
        <f>VLOOKUP(F346,[1]characters!$A:$K,11,FALSE)</f>
        <v>attack</v>
      </c>
      <c r="L346" s="8" t="str">
        <f>VLOOKUP(F346,[1]characters!$A:$M,13,FALSE)</f>
        <v>machine</v>
      </c>
      <c r="M346" s="16">
        <f>VLOOKUP(D346,gacha_198_base!A:B,2,FALSE)</f>
        <v>6632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6"/>
        <v>1981441</v>
      </c>
      <c r="B347" s="2" t="str">
        <f t="shared" si="28"/>
        <v>1981</v>
      </c>
      <c r="C347" s="8" t="str">
        <f t="shared" si="25"/>
        <v>1PremiumS5</v>
      </c>
      <c r="D347" s="8" t="str">
        <f t="shared" si="27"/>
        <v>1PremiumS5</v>
      </c>
      <c r="E347" s="10">
        <v>1</v>
      </c>
      <c r="F347" s="6">
        <v>441</v>
      </c>
      <c r="G347" s="8" t="str">
        <f>VLOOKUP(F347,[1]characters!$A:$C,3,FALSE)</f>
        <v>求心の錻装 ブリキロガー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blue</v>
      </c>
      <c r="K347" s="8" t="str">
        <f>VLOOKUP(F347,[1]characters!$A:$K,11,FALSE)</f>
        <v>attack</v>
      </c>
      <c r="L347" s="8" t="str">
        <f>VLOOKUP(F347,[1]characters!$A:$M,13,FALSE)</f>
        <v>machine</v>
      </c>
      <c r="M347" s="16">
        <f>VLOOKUP(D347,gacha_198_base!A:B,2,FALSE)</f>
        <v>947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6"/>
        <v>1981442</v>
      </c>
      <c r="B348" s="2" t="str">
        <f t="shared" si="28"/>
        <v>1981</v>
      </c>
      <c r="C348" s="8" t="str">
        <f t="shared" si="25"/>
        <v>1PremiumSS4</v>
      </c>
      <c r="D348" s="8" t="str">
        <f t="shared" si="27"/>
        <v>1PremiumSS4</v>
      </c>
      <c r="E348" s="10">
        <v>1</v>
      </c>
      <c r="F348" s="6">
        <v>442</v>
      </c>
      <c r="G348" s="8" t="str">
        <f>VLOOKUP(F348,[1]characters!$A:$C,3,FALSE)</f>
        <v>ブレイブリー・ライオン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yellow</v>
      </c>
      <c r="K348" s="8" t="str">
        <f>VLOOKUP(F348,[1]characters!$A:$K,11,FALSE)</f>
        <v>hp</v>
      </c>
      <c r="L348" s="8" t="str">
        <f>VLOOKUP(F348,[1]characters!$A:$M,13,FALSE)</f>
        <v>animal</v>
      </c>
      <c r="M348" s="16">
        <f>VLOOKUP(D348,gacha_198_base!A:B,2,FALSE)</f>
        <v>1406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6"/>
        <v>1981443</v>
      </c>
      <c r="B349" s="2" t="str">
        <f t="shared" si="28"/>
        <v>1981</v>
      </c>
      <c r="C349" s="8" t="str">
        <f t="shared" si="25"/>
        <v>1PremiumSS5</v>
      </c>
      <c r="D349" s="8" t="str">
        <f t="shared" si="27"/>
        <v>1PremiumSS5</v>
      </c>
      <c r="E349" s="10">
        <v>1</v>
      </c>
      <c r="F349" s="6">
        <v>443</v>
      </c>
      <c r="G349" s="8" t="str">
        <f>VLOOKUP(F349,[1]characters!$A:$C,3,FALSE)</f>
        <v>勇機結集 ブレイブリー・ライオン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yellow</v>
      </c>
      <c r="K349" s="8" t="str">
        <f>VLOOKUP(F349,[1]characters!$A:$K,11,FALSE)</f>
        <v>hp</v>
      </c>
      <c r="L349" s="8" t="str">
        <f>VLOOKUP(F349,[1]characters!$A:$M,13,FALSE)</f>
        <v>animal</v>
      </c>
      <c r="M349" s="16">
        <f>VLOOKUP(D349,gacha_198_base!A:B,2,FALSE)</f>
        <v>94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6"/>
        <v>1981462</v>
      </c>
      <c r="B350" s="2" t="str">
        <f t="shared" si="28"/>
        <v>1981</v>
      </c>
      <c r="C350" s="8" t="str">
        <f t="shared" si="25"/>
        <v>1PremiumS3</v>
      </c>
      <c r="D350" s="8" t="str">
        <f t="shared" si="27"/>
        <v>1PremiumS3</v>
      </c>
      <c r="E350" s="10">
        <v>1</v>
      </c>
      <c r="F350" s="9">
        <v>462</v>
      </c>
      <c r="G350" s="8" t="str">
        <f>VLOOKUP(F350,[1]characters!$A:$C,3,FALSE)</f>
        <v>ガウェイン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red</v>
      </c>
      <c r="K350" s="8" t="str">
        <f>VLOOKUP(F350,[1]characters!$A:$K,11,FALSE)</f>
        <v>hp</v>
      </c>
      <c r="L350" s="8" t="str">
        <f>VLOOKUP(F350,[1]characters!$A:$M,13,FALSE)</f>
        <v>human</v>
      </c>
      <c r="M350" s="16">
        <f>VLOOKUP(D350,gacha_198_base!A:B,2,FALSE)</f>
        <v>7579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6"/>
        <v>1981463</v>
      </c>
      <c r="B351" s="2" t="str">
        <f t="shared" si="28"/>
        <v>1981</v>
      </c>
      <c r="C351" s="8" t="str">
        <f t="shared" si="25"/>
        <v>1PremiumS4</v>
      </c>
      <c r="D351" s="8" t="str">
        <f t="shared" si="27"/>
        <v>1PremiumS4</v>
      </c>
      <c r="E351" s="10">
        <v>1</v>
      </c>
      <c r="F351" s="9">
        <v>463</v>
      </c>
      <c r="G351" s="8" t="str">
        <f>VLOOKUP(F351,[1]characters!$A:$C,3,FALSE)</f>
        <v>燻銀 ガウェイン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red</v>
      </c>
      <c r="K351" s="8" t="str">
        <f>VLOOKUP(F351,[1]characters!$A:$K,11,FALSE)</f>
        <v>hp</v>
      </c>
      <c r="L351" s="8" t="str">
        <f>VLOOKUP(F351,[1]characters!$A:$M,13,FALSE)</f>
        <v>human</v>
      </c>
      <c r="M351" s="16">
        <f>VLOOKUP(D351,gacha_198_base!A:B,2,FALSE)</f>
        <v>6632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6"/>
        <v>1981464</v>
      </c>
      <c r="B352" s="2" t="str">
        <f t="shared" si="28"/>
        <v>1981</v>
      </c>
      <c r="C352" s="8" t="str">
        <f t="shared" si="25"/>
        <v>1PremiumS5</v>
      </c>
      <c r="D352" s="8" t="str">
        <f t="shared" si="27"/>
        <v>1PremiumS5</v>
      </c>
      <c r="E352" s="10">
        <v>1</v>
      </c>
      <c r="F352" s="9">
        <v>464</v>
      </c>
      <c r="G352" s="8" t="str">
        <f>VLOOKUP(F352,[1]characters!$A:$C,3,FALSE)</f>
        <v>円熟の弾導 ガウェイン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red</v>
      </c>
      <c r="K352" s="8" t="str">
        <f>VLOOKUP(F352,[1]characters!$A:$K,11,FALSE)</f>
        <v>hp</v>
      </c>
      <c r="L352" s="8" t="str">
        <f>VLOOKUP(F352,[1]characters!$A:$M,13,FALSE)</f>
        <v>human</v>
      </c>
      <c r="M352" s="16">
        <f>VLOOKUP(D352,gacha_198_base!A:B,2,FALSE)</f>
        <v>947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6"/>
        <v>1981465</v>
      </c>
      <c r="B353" s="2" t="str">
        <f t="shared" si="28"/>
        <v>1981</v>
      </c>
      <c r="C353" s="8" t="str">
        <f t="shared" si="25"/>
        <v>1PremiumSS4</v>
      </c>
      <c r="D353" s="8" t="str">
        <f t="shared" si="27"/>
        <v>1PremiumSS4</v>
      </c>
      <c r="E353" s="10">
        <v>1</v>
      </c>
      <c r="F353" s="9">
        <v>465</v>
      </c>
      <c r="G353" s="8" t="str">
        <f>VLOOKUP(F353,[1]characters!$A:$C,3,FALSE)</f>
        <v>真撃 ランスロット</v>
      </c>
      <c r="H353" s="8" t="str">
        <f>VLOOKUP(F353,[1]characters!$A:$J,10,FALSE)</f>
        <v>PremiumSS</v>
      </c>
      <c r="I353" s="8">
        <f>VLOOKUP(F353,[1]characters!$A:$I,9,FALSE)</f>
        <v>4</v>
      </c>
      <c r="J353" s="8" t="str">
        <f>VLOOKUP(F353,[1]characters!$A:$H,8,FALSE)</f>
        <v>green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VLOOKUP(D353,gacha_198_base!A:B,2,FALSE)</f>
        <v>1406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s="11" customFormat="1" ht="21" customHeight="1" thickBot="1">
      <c r="A354" s="7" t="str">
        <f t="shared" si="26"/>
        <v>1981466</v>
      </c>
      <c r="B354" s="2" t="str">
        <f t="shared" si="28"/>
        <v>1981</v>
      </c>
      <c r="C354" s="8" t="str">
        <f t="shared" si="25"/>
        <v>1PremiumSS5</v>
      </c>
      <c r="D354" s="8" t="str">
        <f t="shared" si="27"/>
        <v>1PremiumSS5</v>
      </c>
      <c r="E354" s="10">
        <v>1</v>
      </c>
      <c r="F354" s="6">
        <v>466</v>
      </c>
      <c r="G354" s="8" t="str">
        <f>VLOOKUP(F354,[1]characters!$A:$C,3,FALSE)</f>
        <v>真断の勇覇 ランスロット</v>
      </c>
      <c r="H354" s="8" t="str">
        <f>VLOOKUP(F354,[1]characters!$A:$J,10,FALSE)</f>
        <v>PremiumSS</v>
      </c>
      <c r="I354" s="8">
        <f>VLOOKUP(F354,[1]characters!$A:$I,9,FALSE)</f>
        <v>5</v>
      </c>
      <c r="J354" s="8" t="str">
        <f>VLOOKUP(F354,[1]characters!$A:$H,8,FALSE)</f>
        <v>green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16">
        <f>VLOOKUP(D354,gacha_198_base!A:B,2,FALSE)</f>
        <v>94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6"/>
        <v>1981467</v>
      </c>
      <c r="B355" s="2" t="str">
        <f t="shared" si="28"/>
        <v>1981</v>
      </c>
      <c r="C355" s="8" t="str">
        <f t="shared" si="25"/>
        <v>1PremiumSS4</v>
      </c>
      <c r="D355" s="8" t="str">
        <f t="shared" si="27"/>
        <v>1PremiumSS4</v>
      </c>
      <c r="E355" s="10">
        <v>1</v>
      </c>
      <c r="F355" s="6">
        <v>467</v>
      </c>
      <c r="G355" s="8" t="str">
        <f>VLOOKUP(F355,[1]characters!$A:$C,3,FALSE)</f>
        <v>報復 モルドレッド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blue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VLOOKUP(D355,gacha_198_base!A:B,2,FALSE)</f>
        <v>1406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6"/>
        <v>1981468</v>
      </c>
      <c r="B356" s="2" t="str">
        <f t="shared" si="28"/>
        <v>1981</v>
      </c>
      <c r="C356" s="8" t="str">
        <f t="shared" si="25"/>
        <v>1PremiumSS5</v>
      </c>
      <c r="D356" s="8" t="str">
        <f t="shared" si="27"/>
        <v>1PremiumSS5</v>
      </c>
      <c r="E356" s="10">
        <v>1</v>
      </c>
      <c r="F356" s="6">
        <v>468</v>
      </c>
      <c r="G356" s="8" t="str">
        <f>VLOOKUP(F356,[1]characters!$A:$C,3,FALSE)</f>
        <v>憎愛の尖鋒 モルドレッド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blue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16">
        <f>VLOOKUP(D356,gacha_198_base!A:B,2,FALSE)</f>
        <v>94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6"/>
        <v>1981469</v>
      </c>
      <c r="B357" s="2" t="str">
        <f t="shared" si="28"/>
        <v>1981</v>
      </c>
      <c r="C357" s="8" t="str">
        <f t="shared" si="25"/>
        <v>1PremiumS3</v>
      </c>
      <c r="D357" s="8" t="str">
        <f t="shared" si="27"/>
        <v>1PremiumS3</v>
      </c>
      <c r="E357" s="10">
        <v>1</v>
      </c>
      <c r="F357" s="6">
        <v>469</v>
      </c>
      <c r="G357" s="8" t="str">
        <f>VLOOKUP(F357,[1]characters!$A:$C,3,FALSE)</f>
        <v>トリスタン</v>
      </c>
      <c r="H357" s="8" t="str">
        <f>VLOOKUP(F357,[1]characters!$A:$J,10,FALSE)</f>
        <v>PremiumS</v>
      </c>
      <c r="I357" s="8">
        <f>VLOOKUP(F357,[1]characters!$A:$I,9,FALSE)</f>
        <v>3</v>
      </c>
      <c r="J357" s="8" t="str">
        <f>VLOOKUP(F357,[1]characters!$A:$H,8,FALSE)</f>
        <v>yellow</v>
      </c>
      <c r="K357" s="8" t="str">
        <f>VLOOKUP(F357,[1]characters!$A:$K,11,FALSE)</f>
        <v>attack</v>
      </c>
      <c r="L357" s="8" t="str">
        <f>VLOOKUP(F357,[1]characters!$A:$M,13,FALSE)</f>
        <v>human</v>
      </c>
      <c r="M357" s="16">
        <f>VLOOKUP(D357,gacha_198_base!A:B,2,FALSE)</f>
        <v>7579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6"/>
        <v>1981470</v>
      </c>
      <c r="B358" s="2" t="str">
        <f t="shared" si="28"/>
        <v>1981</v>
      </c>
      <c r="C358" s="8" t="str">
        <f t="shared" ref="C358:C388" si="29">E358&amp;H358&amp;I358</f>
        <v>1PremiumS4</v>
      </c>
      <c r="D358" s="8" t="str">
        <f t="shared" si="27"/>
        <v>1PremiumS4</v>
      </c>
      <c r="E358" s="10">
        <v>1</v>
      </c>
      <c r="F358" s="6">
        <v>470</v>
      </c>
      <c r="G358" s="8" t="str">
        <f>VLOOKUP(F358,[1]characters!$A:$C,3,FALSE)</f>
        <v>純心 トリスタン</v>
      </c>
      <c r="H358" s="8" t="str">
        <f>VLOOKUP(F358,[1]characters!$A:$J,10,FALSE)</f>
        <v>PremiumS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attack</v>
      </c>
      <c r="L358" s="8" t="str">
        <f>VLOOKUP(F358,[1]characters!$A:$M,13,FALSE)</f>
        <v>human</v>
      </c>
      <c r="M358" s="16">
        <f>VLOOKUP(D358,gacha_198_base!A:B,2,FALSE)</f>
        <v>6632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ref="A359:A388" si="30">B359&amp;F359</f>
        <v>1981471</v>
      </c>
      <c r="B359" s="2" t="str">
        <f t="shared" si="28"/>
        <v>1981</v>
      </c>
      <c r="C359" s="8" t="str">
        <f t="shared" si="29"/>
        <v>1PremiumS5</v>
      </c>
      <c r="D359" s="8" t="str">
        <f t="shared" si="27"/>
        <v>1PremiumS5</v>
      </c>
      <c r="E359" s="10">
        <v>1</v>
      </c>
      <c r="F359" s="6">
        <v>471</v>
      </c>
      <c r="G359" s="8" t="str">
        <f>VLOOKUP(F359,[1]characters!$A:$C,3,FALSE)</f>
        <v>不可避の爆激 トリスタン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VLOOKUP(D359,gacha_198_base!A:B,2,FALSE)</f>
        <v>947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0"/>
        <v>1981474</v>
      </c>
      <c r="B360" s="2" t="str">
        <f t="shared" si="28"/>
        <v>1981</v>
      </c>
      <c r="C360" s="8" t="str">
        <f t="shared" si="29"/>
        <v>1PremiumSS4</v>
      </c>
      <c r="D360" s="8" t="str">
        <f t="shared" si="27"/>
        <v>1PremiumSS4</v>
      </c>
      <c r="E360" s="10">
        <v>1</v>
      </c>
      <c r="F360" s="6">
        <v>474</v>
      </c>
      <c r="G360" s="8" t="str">
        <f>VLOOKUP(F360,[1]characters!$A:$C,3,FALSE)</f>
        <v>キング・ドライグ</v>
      </c>
      <c r="H360" s="8" t="str">
        <f>VLOOKUP(F360,[1]characters!$A:$J,10,FALSE)</f>
        <v>PremiumSS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attack</v>
      </c>
      <c r="L360" s="8" t="str">
        <f>VLOOKUP(F360,[1]characters!$A:$M,13,FALSE)</f>
        <v>dragon</v>
      </c>
      <c r="M360" s="16">
        <f>VLOOKUP(D360,gacha_198_base!A:B,2,FALSE)</f>
        <v>1406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0"/>
        <v>1981475</v>
      </c>
      <c r="B361" s="2" t="str">
        <f t="shared" si="28"/>
        <v>1981</v>
      </c>
      <c r="C361" s="8" t="str">
        <f t="shared" si="29"/>
        <v>1PremiumSS5</v>
      </c>
      <c r="D361" s="8" t="str">
        <f t="shared" si="27"/>
        <v>1PremiumSS5</v>
      </c>
      <c r="E361" s="10">
        <v>1</v>
      </c>
      <c r="F361" s="6">
        <v>475</v>
      </c>
      <c r="G361" s="8" t="str">
        <f>VLOOKUP(F361,[1]characters!$A:$C,3,FALSE)</f>
        <v>緋王 キング・ドライグ</v>
      </c>
      <c r="H361" s="8" t="str">
        <f>VLOOKUP(F361,[1]characters!$A:$J,10,FALSE)</f>
        <v>PremiumSS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attack</v>
      </c>
      <c r="L361" s="8" t="str">
        <f>VLOOKUP(F361,[1]characters!$A:$M,13,FALSE)</f>
        <v>dragon</v>
      </c>
      <c r="M361" s="16">
        <f>VLOOKUP(D361,gacha_198_base!A:B,2,FALSE)</f>
        <v>94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0"/>
        <v>1981476</v>
      </c>
      <c r="B362" s="2" t="str">
        <f t="shared" si="28"/>
        <v>1981</v>
      </c>
      <c r="C362" s="8" t="str">
        <f t="shared" si="29"/>
        <v>1PremiumS3</v>
      </c>
      <c r="D362" s="8" t="str">
        <f t="shared" si="27"/>
        <v>1PremiumS3</v>
      </c>
      <c r="E362" s="10">
        <v>1</v>
      </c>
      <c r="F362" s="6">
        <v>476</v>
      </c>
      <c r="G362" s="8" t="str">
        <f>VLOOKUP(F362,[1]characters!$A:$C,3,FALSE)</f>
        <v>ファータ</v>
      </c>
      <c r="H362" s="8" t="str">
        <f>VLOOKUP(F362,[1]characters!$A:$J,10,FALSE)</f>
        <v>PremiumS</v>
      </c>
      <c r="I362" s="8">
        <f>VLOOKUP(F362,[1]characters!$A:$I,9,FALSE)</f>
        <v>3</v>
      </c>
      <c r="J362" s="8" t="str">
        <f>VLOOKUP(F362,[1]characters!$A:$H,8,FALSE)</f>
        <v>green</v>
      </c>
      <c r="K362" s="8" t="str">
        <f>VLOOKUP(F362,[1]characters!$A:$K,11,FALSE)</f>
        <v>heal</v>
      </c>
      <c r="L362" s="8" t="str">
        <f>VLOOKUP(F362,[1]characters!$A:$M,13,FALSE)</f>
        <v>unknown</v>
      </c>
      <c r="M362" s="16">
        <f>VLOOKUP(D362,gacha_198_base!A:B,2,FALSE)</f>
        <v>7579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0"/>
        <v>1981477</v>
      </c>
      <c r="B363" s="2" t="str">
        <f t="shared" si="28"/>
        <v>1981</v>
      </c>
      <c r="C363" s="8" t="str">
        <f t="shared" si="29"/>
        <v>1PremiumS4</v>
      </c>
      <c r="D363" s="8" t="str">
        <f t="shared" si="27"/>
        <v>1PremiumS4</v>
      </c>
      <c r="E363" s="10">
        <v>1</v>
      </c>
      <c r="F363" s="6">
        <v>477</v>
      </c>
      <c r="G363" s="8" t="str">
        <f>VLOOKUP(F363,[1]characters!$A:$C,3,FALSE)</f>
        <v>愛羽妖精 ファータ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green</v>
      </c>
      <c r="K363" s="8" t="str">
        <f>VLOOKUP(F363,[1]characters!$A:$K,11,FALSE)</f>
        <v>heal</v>
      </c>
      <c r="L363" s="8" t="str">
        <f>VLOOKUP(F363,[1]characters!$A:$M,13,FALSE)</f>
        <v>unknown</v>
      </c>
      <c r="M363" s="16">
        <f>VLOOKUP(D363,gacha_198_base!A:B,2,FALSE)</f>
        <v>6632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0"/>
        <v>1981478</v>
      </c>
      <c r="B364" s="2" t="str">
        <f t="shared" si="28"/>
        <v>1981</v>
      </c>
      <c r="C364" s="8" t="str">
        <f t="shared" si="29"/>
        <v>1PremiumS5</v>
      </c>
      <c r="D364" s="8" t="str">
        <f t="shared" si="27"/>
        <v>1PremiumS5</v>
      </c>
      <c r="E364" s="10">
        <v>1</v>
      </c>
      <c r="F364" s="6">
        <v>478</v>
      </c>
      <c r="G364" s="8" t="str">
        <f>VLOOKUP(F364,[1]characters!$A:$C,3,FALSE)</f>
        <v>時計仕掛けの愛羽妖精 ファータ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green</v>
      </c>
      <c r="K364" s="8" t="str">
        <f>VLOOKUP(F364,[1]characters!$A:$K,11,FALSE)</f>
        <v>heal</v>
      </c>
      <c r="L364" s="8" t="str">
        <f>VLOOKUP(F364,[1]characters!$A:$M,13,FALSE)</f>
        <v>unknown</v>
      </c>
      <c r="M364" s="16">
        <f>VLOOKUP(D364,gacha_198_base!A:B,2,FALSE)</f>
        <v>947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0"/>
        <v>1981479</v>
      </c>
      <c r="B365" s="2" t="str">
        <f t="shared" si="28"/>
        <v>1981</v>
      </c>
      <c r="C365" s="8" t="str">
        <f t="shared" si="29"/>
        <v>1PremiumSS4</v>
      </c>
      <c r="D365" s="8" t="str">
        <f t="shared" si="27"/>
        <v>1PremiumSS4</v>
      </c>
      <c r="E365" s="10">
        <v>1</v>
      </c>
      <c r="F365" s="6">
        <v>479</v>
      </c>
      <c r="G365" s="8" t="str">
        <f>VLOOKUP(F365,[1]characters!$A:$C,3,FALSE)</f>
        <v>フール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god</v>
      </c>
      <c r="M365" s="16">
        <f>VLOOKUP(D365,gacha_198_base!A:B,2,FALSE)</f>
        <v>1406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0"/>
        <v>1981480</v>
      </c>
      <c r="B366" s="2" t="str">
        <f t="shared" si="28"/>
        <v>1981</v>
      </c>
      <c r="C366" s="8" t="str">
        <f t="shared" si="29"/>
        <v>1PremiumSS5</v>
      </c>
      <c r="D366" s="8" t="str">
        <f t="shared" si="27"/>
        <v>1PremiumSS5</v>
      </c>
      <c r="E366" s="10">
        <v>1</v>
      </c>
      <c r="F366" s="6">
        <v>480</v>
      </c>
      <c r="G366" s="8" t="str">
        <f>VLOOKUP(F366,[1]characters!$A:$C,3,FALSE)</f>
        <v>夢幻の愚者フール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blue</v>
      </c>
      <c r="K366" s="8" t="str">
        <f>VLOOKUP(F366,[1]characters!$A:$K,11,FALSE)</f>
        <v>technical</v>
      </c>
      <c r="L366" s="8" t="str">
        <f>VLOOKUP(F366,[1]characters!$A:$M,13,FALSE)</f>
        <v>god</v>
      </c>
      <c r="M366" s="16">
        <f>VLOOKUP(D366,gacha_198_base!A:B,2,FALSE)</f>
        <v>94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0"/>
        <v>1981481</v>
      </c>
      <c r="B367" s="2" t="str">
        <f t="shared" si="28"/>
        <v>1981</v>
      </c>
      <c r="C367" s="8" t="str">
        <f t="shared" si="29"/>
        <v>1PremiumS3</v>
      </c>
      <c r="D367" s="8" t="str">
        <f t="shared" si="27"/>
        <v>1PremiumS3</v>
      </c>
      <c r="E367" s="10">
        <v>1</v>
      </c>
      <c r="F367" s="6">
        <v>481</v>
      </c>
      <c r="G367" s="8" t="str">
        <f>VLOOKUP(F367,[1]characters!$A:$C,3,FALSE)</f>
        <v>沢庵宗彭</v>
      </c>
      <c r="H367" s="8" t="str">
        <f>VLOOKUP(F367,[1]characters!$A:$J,10,FALSE)</f>
        <v>PremiumS</v>
      </c>
      <c r="I367" s="8">
        <f>VLOOKUP(F367,[1]characters!$A:$I,9,FALSE)</f>
        <v>3</v>
      </c>
      <c r="J367" s="8" t="str">
        <f>VLOOKUP(F367,[1]characters!$A:$H,8,FALSE)</f>
        <v>yellow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16">
        <f>VLOOKUP(D367,gacha_198_base!A:B,2,FALSE)</f>
        <v>7579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0"/>
        <v>1981482</v>
      </c>
      <c r="B368" s="2" t="str">
        <f t="shared" si="28"/>
        <v>1981</v>
      </c>
      <c r="C368" s="8" t="str">
        <f t="shared" si="29"/>
        <v>1PremiumS4</v>
      </c>
      <c r="D368" s="8" t="str">
        <f t="shared" si="27"/>
        <v>1PremiumS4</v>
      </c>
      <c r="E368" s="10">
        <v>1</v>
      </c>
      <c r="F368" s="6">
        <v>482</v>
      </c>
      <c r="G368" s="8" t="str">
        <f>VLOOKUP(F368,[1]characters!$A:$C,3,FALSE)</f>
        <v>魁僧 沢庵宗彭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yellow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VLOOKUP(D368,gacha_198_base!A:B,2,FALSE)</f>
        <v>6632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0"/>
        <v>1981483</v>
      </c>
      <c r="B369" s="2" t="str">
        <f t="shared" si="28"/>
        <v>1981</v>
      </c>
      <c r="C369" s="8" t="str">
        <f t="shared" si="29"/>
        <v>1PremiumS5</v>
      </c>
      <c r="D369" s="8" t="str">
        <f t="shared" si="27"/>
        <v>1PremiumS5</v>
      </c>
      <c r="E369" s="10">
        <v>1</v>
      </c>
      <c r="F369" s="6">
        <v>483</v>
      </c>
      <c r="G369" s="8" t="str">
        <f>VLOOKUP(F369,[1]characters!$A:$C,3,FALSE)</f>
        <v xml:space="preserve">命経死遂 沢庵宗彭 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yellow</v>
      </c>
      <c r="K369" s="8" t="str">
        <f>VLOOKUP(F369,[1]characters!$A:$K,11,FALSE)</f>
        <v>hp</v>
      </c>
      <c r="L369" s="8" t="str">
        <f>VLOOKUP(F369,[1]characters!$A:$M,13,FALSE)</f>
        <v>human</v>
      </c>
      <c r="M369" s="16">
        <f>VLOOKUP(D369,gacha_198_base!A:B,2,FALSE)</f>
        <v>947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0"/>
        <v>1981492</v>
      </c>
      <c r="B370" s="2" t="str">
        <f t="shared" si="28"/>
        <v>1981</v>
      </c>
      <c r="C370" s="8" t="str">
        <f t="shared" si="29"/>
        <v>1PremiumSS4</v>
      </c>
      <c r="D370" s="8" t="str">
        <f t="shared" si="27"/>
        <v>1PremiumSS4</v>
      </c>
      <c r="E370" s="10">
        <v>1</v>
      </c>
      <c r="F370" s="6">
        <v>492</v>
      </c>
      <c r="G370" s="8" t="str">
        <f>VLOOKUP(F370,[1]characters!$A:$C,3,FALSE)</f>
        <v>ブートレグ・ペロー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red</v>
      </c>
      <c r="K370" s="8" t="str">
        <f>VLOOKUP(F370,[1]characters!$A:$K,11,FALSE)</f>
        <v>hp</v>
      </c>
      <c r="L370" s="8" t="str">
        <f>VLOOKUP(F370,[1]characters!$A:$M,13,FALSE)</f>
        <v>animal</v>
      </c>
      <c r="M370" s="16">
        <f>VLOOKUP(D370,gacha_198_base!A:B,2,FALSE)</f>
        <v>1406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0"/>
        <v>1981493</v>
      </c>
      <c r="B371" s="2" t="str">
        <f t="shared" si="28"/>
        <v>1981</v>
      </c>
      <c r="C371" s="8" t="str">
        <f t="shared" si="29"/>
        <v>1PremiumSS5</v>
      </c>
      <c r="D371" s="8" t="str">
        <f t="shared" si="27"/>
        <v>1PremiumSS5</v>
      </c>
      <c r="E371" s="10">
        <v>1</v>
      </c>
      <c r="F371" s="6">
        <v>493</v>
      </c>
      <c r="G371" s="8" t="str">
        <f>VLOOKUP(F371,[1]characters!$A:$C,3,FALSE)</f>
        <v>跋扈の機脚 ブートレグ・ペロー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animal</v>
      </c>
      <c r="M371" s="16">
        <f>VLOOKUP(D371,gacha_198_base!A:B,2,FALSE)</f>
        <v>94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0"/>
        <v>1981494</v>
      </c>
      <c r="B372" s="2" t="str">
        <f t="shared" si="28"/>
        <v>1981</v>
      </c>
      <c r="C372" s="8" t="str">
        <f t="shared" si="29"/>
        <v>1PremiumSS4</v>
      </c>
      <c r="D372" s="8" t="str">
        <f>E372&amp;H372&amp;I372&amp;"pick"</f>
        <v>1PremiumSS4pick</v>
      </c>
      <c r="E372" s="10">
        <v>1</v>
      </c>
      <c r="F372" s="6">
        <v>494</v>
      </c>
      <c r="G372" s="8" t="str">
        <f>VLOOKUP(F372,[1]characters!$A:$C,3,FALSE)</f>
        <v>ハーメルン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16">
        <f>VLOOKUP(D372,gacha_198_base!A:B,2,FALSE)</f>
        <v>4688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0"/>
        <v>1981495</v>
      </c>
      <c r="B373" s="2" t="str">
        <f t="shared" si="28"/>
        <v>1981</v>
      </c>
      <c r="C373" s="8" t="str">
        <f t="shared" si="29"/>
        <v>1PremiumSS5</v>
      </c>
      <c r="D373" s="8" t="str">
        <f>E373&amp;H373&amp;I373&amp;"pick"</f>
        <v>1PremiumSS5pick</v>
      </c>
      <c r="E373" s="10">
        <v>1</v>
      </c>
      <c r="F373" s="6">
        <v>495</v>
      </c>
      <c r="G373" s="8" t="str">
        <f>VLOOKUP(F373,[1]characters!$A:$C,3,FALSE)</f>
        <v>鼠災呼ぶ笛音 ハーメルン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technical</v>
      </c>
      <c r="L373" s="8" t="str">
        <f>VLOOKUP(F373,[1]characters!$A:$M,13,FALSE)</f>
        <v>human</v>
      </c>
      <c r="M373" s="16">
        <f>VLOOKUP(D373,gacha_198_base!A:B,2,FALSE)</f>
        <v>313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0"/>
        <v>1981496</v>
      </c>
      <c r="B374" s="2" t="str">
        <f t="shared" si="28"/>
        <v>1981</v>
      </c>
      <c r="C374" s="8" t="str">
        <f t="shared" si="29"/>
        <v>1PremiumS3</v>
      </c>
      <c r="D374" s="8" t="str">
        <f t="shared" si="27"/>
        <v>1PremiumS3</v>
      </c>
      <c r="E374" s="10">
        <v>1</v>
      </c>
      <c r="F374" s="6">
        <v>496</v>
      </c>
      <c r="G374" s="8" t="str">
        <f>VLOOKUP(F374,[1]characters!$A:$C,3,FALSE)</f>
        <v>エスタブ</v>
      </c>
      <c r="H374" s="8" t="str">
        <f>VLOOKUP(F374,[1]characters!$A:$J,10,FALSE)</f>
        <v>PremiumS</v>
      </c>
      <c r="I374" s="8">
        <f>VLOOKUP(F374,[1]characters!$A:$I,9,FALSE)</f>
        <v>3</v>
      </c>
      <c r="J374" s="8" t="str">
        <f>VLOOKUP(F374,[1]characters!$A:$H,8,FALSE)</f>
        <v>blue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16">
        <f>VLOOKUP(D374,gacha_198_base!A:B,2,FALSE)</f>
        <v>7579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0"/>
        <v>1981497</v>
      </c>
      <c r="B375" s="2" t="str">
        <f t="shared" si="28"/>
        <v>1981</v>
      </c>
      <c r="C375" s="8" t="str">
        <f t="shared" si="29"/>
        <v>1PremiumS4</v>
      </c>
      <c r="D375" s="8" t="str">
        <f t="shared" si="27"/>
        <v>1PremiumS4</v>
      </c>
      <c r="E375" s="10">
        <v>1</v>
      </c>
      <c r="F375" s="6">
        <v>497</v>
      </c>
      <c r="G375" s="8" t="str">
        <f>VLOOKUP(F375,[1]characters!$A:$C,3,FALSE)</f>
        <v>偏愛の野獣 エスタブ</v>
      </c>
      <c r="H375" s="8" t="str">
        <f>VLOOKUP(F375,[1]characters!$A:$J,10,FALSE)</f>
        <v>PremiumS</v>
      </c>
      <c r="I375" s="8">
        <f>VLOOKUP(F375,[1]characters!$A:$I,9,FALSE)</f>
        <v>4</v>
      </c>
      <c r="J375" s="8" t="str">
        <f>VLOOKUP(F375,[1]characters!$A:$H,8,FALSE)</f>
        <v>blue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VLOOKUP(D375,gacha_198_base!A:B,2,FALSE)</f>
        <v>6632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0"/>
        <v>1981498</v>
      </c>
      <c r="B376" s="2" t="str">
        <f t="shared" si="28"/>
        <v>1981</v>
      </c>
      <c r="C376" s="8" t="str">
        <f t="shared" si="29"/>
        <v>1PremiumS5</v>
      </c>
      <c r="D376" s="8" t="str">
        <f t="shared" si="27"/>
        <v>1PremiumS5</v>
      </c>
      <c r="E376" s="10">
        <v>1</v>
      </c>
      <c r="F376" s="6">
        <v>498</v>
      </c>
      <c r="G376" s="8" t="str">
        <f>VLOOKUP(F376,[1]characters!$A:$C,3,FALSE)</f>
        <v>自愛の高魔 エスタブ</v>
      </c>
      <c r="H376" s="8" t="str">
        <f>VLOOKUP(F376,[1]characters!$A:$J,10,FALSE)</f>
        <v>PremiumS</v>
      </c>
      <c r="I376" s="8">
        <f>VLOOKUP(F376,[1]characters!$A:$I,9,FALSE)</f>
        <v>5</v>
      </c>
      <c r="J376" s="8" t="str">
        <f>VLOOKUP(F376,[1]characters!$A:$H,8,FALSE)</f>
        <v>blue</v>
      </c>
      <c r="K376" s="8" t="str">
        <f>VLOOKUP(F376,[1]characters!$A:$K,11,FALSE)</f>
        <v>attack</v>
      </c>
      <c r="L376" s="8" t="str">
        <f>VLOOKUP(F376,[1]characters!$A:$M,13,FALSE)</f>
        <v>human</v>
      </c>
      <c r="M376" s="16">
        <f>VLOOKUP(D376,gacha_198_base!A:B,2,FALSE)</f>
        <v>947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0"/>
        <v>1981499</v>
      </c>
      <c r="B377" s="2" t="str">
        <f t="shared" si="28"/>
        <v>1981</v>
      </c>
      <c r="C377" s="8" t="str">
        <f t="shared" si="29"/>
        <v>1PremiumSS4</v>
      </c>
      <c r="D377" s="8" t="str">
        <f t="shared" si="27"/>
        <v>1PremiumSS4</v>
      </c>
      <c r="E377" s="10">
        <v>1</v>
      </c>
      <c r="F377" s="6">
        <v>499</v>
      </c>
      <c r="G377" s="8" t="str">
        <f>VLOOKUP(F377,[1]characters!$A:$C,3,FALSE)</f>
        <v>ラプンツェル</v>
      </c>
      <c r="H377" s="8" t="str">
        <f>VLOOKUP(F377,[1]characters!$A:$J,10,FALSE)</f>
        <v>PremiumSS</v>
      </c>
      <c r="I377" s="8">
        <f>VLOOKUP(F377,[1]characters!$A:$I,9,FALSE)</f>
        <v>4</v>
      </c>
      <c r="J377" s="8" t="str">
        <f>VLOOKUP(F377,[1]characters!$A:$H,8,FALSE)</f>
        <v>yellow</v>
      </c>
      <c r="K377" s="8" t="str">
        <f>VLOOKUP(F377,[1]characters!$A:$K,11,FALSE)</f>
        <v>balance</v>
      </c>
      <c r="L377" s="8" t="str">
        <f>VLOOKUP(F377,[1]characters!$A:$M,13,FALSE)</f>
        <v>human</v>
      </c>
      <c r="M377" s="16">
        <f>VLOOKUP(D377,gacha_198_base!A:B,2,FALSE)</f>
        <v>1406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0"/>
        <v>1981500</v>
      </c>
      <c r="B378" s="2" t="str">
        <f t="shared" si="28"/>
        <v>1981</v>
      </c>
      <c r="C378" s="8" t="str">
        <f t="shared" si="29"/>
        <v>1PremiumSS5</v>
      </c>
      <c r="D378" s="8" t="str">
        <f t="shared" si="27"/>
        <v>1PremiumSS5</v>
      </c>
      <c r="E378" s="10">
        <v>1</v>
      </c>
      <c r="F378" s="6">
        <v>500</v>
      </c>
      <c r="G378" s="8" t="str">
        <f>VLOOKUP(F378,[1]characters!$A:$C,3,FALSE)</f>
        <v>脈動の禁髪 ラプンツェル</v>
      </c>
      <c r="H378" s="8" t="str">
        <f>VLOOKUP(F378,[1]characters!$A:$J,10,FALSE)</f>
        <v>PremiumSS</v>
      </c>
      <c r="I378" s="8">
        <f>VLOOKUP(F378,[1]characters!$A:$I,9,FALSE)</f>
        <v>5</v>
      </c>
      <c r="J378" s="8" t="str">
        <f>VLOOKUP(F378,[1]characters!$A:$H,8,FALSE)</f>
        <v>yellow</v>
      </c>
      <c r="K378" s="8" t="str">
        <f>VLOOKUP(F378,[1]characters!$A:$K,11,FALSE)</f>
        <v>balance</v>
      </c>
      <c r="L378" s="8" t="str">
        <f>VLOOKUP(F378,[1]characters!$A:$M,13,FALSE)</f>
        <v>human</v>
      </c>
      <c r="M378" s="16">
        <f>VLOOKUP(D378,gacha_198_base!A:B,2,FALSE)</f>
        <v>94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0"/>
        <v>1981586</v>
      </c>
      <c r="B379" s="2" t="str">
        <f t="shared" si="28"/>
        <v>1981</v>
      </c>
      <c r="C379" s="8" t="str">
        <f t="shared" si="29"/>
        <v>1PremiumSS4</v>
      </c>
      <c r="D379" s="8" t="str">
        <f t="shared" si="27"/>
        <v>1PremiumSS4</v>
      </c>
      <c r="E379" s="10">
        <v>1</v>
      </c>
      <c r="F379" s="6">
        <v>586</v>
      </c>
      <c r="G379" s="8" t="str">
        <f>VLOOKUP(F379,[1]characters!$A:$C,3,FALSE)</f>
        <v>ユミル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machine</v>
      </c>
      <c r="M379" s="16">
        <f>VLOOKUP(D379,gacha_198_base!A:B,2,FALSE)</f>
        <v>1406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0"/>
        <v>1981587</v>
      </c>
      <c r="B380" s="2" t="str">
        <f t="shared" si="28"/>
        <v>1981</v>
      </c>
      <c r="C380" s="8" t="str">
        <f t="shared" si="29"/>
        <v>1PremiumSS5</v>
      </c>
      <c r="D380" s="8" t="str">
        <f t="shared" si="27"/>
        <v>1PremiumSS5</v>
      </c>
      <c r="E380" s="10">
        <v>1</v>
      </c>
      <c r="F380" s="6">
        <v>587</v>
      </c>
      <c r="G380" s="8" t="str">
        <f>VLOOKUP(F380,[1]characters!$A:$C,3,FALSE)</f>
        <v>原初の煉鋼巨刃 ユミル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machine</v>
      </c>
      <c r="M380" s="16">
        <f>VLOOKUP(D380,gacha_198_base!A:B,2,FALSE)</f>
        <v>94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0"/>
        <v>1981588</v>
      </c>
      <c r="B381" s="2" t="str">
        <f t="shared" si="28"/>
        <v>1981</v>
      </c>
      <c r="C381" s="8" t="str">
        <f t="shared" si="29"/>
        <v>1PremiumS3</v>
      </c>
      <c r="D381" s="8" t="str">
        <f t="shared" si="27"/>
        <v>1PremiumS3</v>
      </c>
      <c r="E381" s="10">
        <v>1</v>
      </c>
      <c r="F381" s="6">
        <v>588</v>
      </c>
      <c r="G381" s="8" t="str">
        <f>VLOOKUP(F381,[1]characters!$A:$C,3,FALSE)</f>
        <v>ニーベルゲン</v>
      </c>
      <c r="H381" s="8" t="str">
        <f>VLOOKUP(F381,[1]characters!$A:$J,10,FALSE)</f>
        <v>PremiumS</v>
      </c>
      <c r="I381" s="8">
        <f>VLOOKUP(F381,[1]characters!$A:$I,9,FALSE)</f>
        <v>3</v>
      </c>
      <c r="J381" s="8" t="str">
        <f>VLOOKUP(F381,[1]characters!$A:$H,8,FALSE)</f>
        <v>green</v>
      </c>
      <c r="K381" s="8" t="str">
        <f>VLOOKUP(F381,[1]characters!$A:$K,11,FALSE)</f>
        <v>balance</v>
      </c>
      <c r="L381" s="8" t="str">
        <f>VLOOKUP(F381,[1]characters!$A:$M,13,FALSE)</f>
        <v>unknown</v>
      </c>
      <c r="M381" s="16">
        <f>VLOOKUP(D381,gacha_198_base!A:B,2,FALSE)</f>
        <v>7579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0"/>
        <v>1981589</v>
      </c>
      <c r="B382" s="2" t="str">
        <f t="shared" si="28"/>
        <v>1981</v>
      </c>
      <c r="C382" s="8" t="str">
        <f t="shared" si="29"/>
        <v>1PremiumS4</v>
      </c>
      <c r="D382" s="8" t="str">
        <f t="shared" si="27"/>
        <v>1PremiumS4</v>
      </c>
      <c r="E382" s="10">
        <v>1</v>
      </c>
      <c r="F382" s="6">
        <v>589</v>
      </c>
      <c r="G382" s="8" t="str">
        <f>VLOOKUP(F382,[1]characters!$A:$C,3,FALSE)</f>
        <v>不幸の円環 ニーベルゲン</v>
      </c>
      <c r="H382" s="8" t="str">
        <f>VLOOKUP(F382,[1]characters!$A:$J,10,FALSE)</f>
        <v>PremiumS</v>
      </c>
      <c r="I382" s="8">
        <f>VLOOKUP(F382,[1]characters!$A:$I,9,FALSE)</f>
        <v>4</v>
      </c>
      <c r="J382" s="8" t="str">
        <f>VLOOKUP(F382,[1]characters!$A:$H,8,FALSE)</f>
        <v>green</v>
      </c>
      <c r="K382" s="8" t="str">
        <f>VLOOKUP(F382,[1]characters!$A:$K,11,FALSE)</f>
        <v>balance</v>
      </c>
      <c r="L382" s="8" t="str">
        <f>VLOOKUP(F382,[1]characters!$A:$M,13,FALSE)</f>
        <v>unknown</v>
      </c>
      <c r="M382" s="16">
        <f>VLOOKUP(D382,gacha_198_base!A:B,2,FALSE)</f>
        <v>6632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0"/>
        <v>1981590</v>
      </c>
      <c r="B383" s="2" t="str">
        <f t="shared" si="28"/>
        <v>1981</v>
      </c>
      <c r="C383" s="8" t="str">
        <f t="shared" si="29"/>
        <v>1PremiumS5</v>
      </c>
      <c r="D383" s="8" t="str">
        <f t="shared" si="27"/>
        <v>1PremiumS5</v>
      </c>
      <c r="E383" s="10">
        <v>1</v>
      </c>
      <c r="F383" s="6">
        <v>590</v>
      </c>
      <c r="G383" s="8" t="str">
        <f>VLOOKUP(F383,[1]characters!$A:$C,3,FALSE)</f>
        <v>永遠を廻る呪い ニーベルゲン</v>
      </c>
      <c r="H383" s="8" t="str">
        <f>VLOOKUP(F383,[1]characters!$A:$J,10,FALSE)</f>
        <v>PremiumS</v>
      </c>
      <c r="I383" s="8">
        <f>VLOOKUP(F383,[1]characters!$A:$I,9,FALSE)</f>
        <v>5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16">
        <f>VLOOKUP(D383,gacha_198_base!A:B,2,FALSE)</f>
        <v>947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0"/>
        <v>1981591</v>
      </c>
      <c r="B384" s="2" t="str">
        <f t="shared" si="28"/>
        <v>1981</v>
      </c>
      <c r="C384" s="8" t="str">
        <f t="shared" si="29"/>
        <v>1PremiumS3</v>
      </c>
      <c r="D384" s="8" t="str">
        <f t="shared" si="27"/>
        <v>1PremiumS3</v>
      </c>
      <c r="E384" s="10">
        <v>1</v>
      </c>
      <c r="F384" s="6">
        <v>591</v>
      </c>
      <c r="G384" s="8" t="str">
        <f>VLOOKUP(F384,[1]characters!$A:$C,3,FALSE)</f>
        <v>ファフニール</v>
      </c>
      <c r="H384" s="8" t="str">
        <f>VLOOKUP(F384,[1]characters!$A:$J,10,FALSE)</f>
        <v>PremiumS</v>
      </c>
      <c r="I384" s="8">
        <f>VLOOKUP(F384,[1]characters!$A:$I,9,FALSE)</f>
        <v>3</v>
      </c>
      <c r="J384" s="8" t="str">
        <f>VLOOKUP(F384,[1]characters!$A:$H,8,FALSE)</f>
        <v>blue</v>
      </c>
      <c r="K384" s="8" t="str">
        <f>VLOOKUP(F384,[1]characters!$A:$K,11,FALSE)</f>
        <v>technical</v>
      </c>
      <c r="L384" s="8" t="str">
        <f>VLOOKUP(F384,[1]characters!$A:$M,13,FALSE)</f>
        <v>dragon</v>
      </c>
      <c r="M384" s="16">
        <f>VLOOKUP(D384,gacha_198_base!A:B,2,FALSE)</f>
        <v>7579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0"/>
        <v>1981592</v>
      </c>
      <c r="B385" s="2" t="str">
        <f t="shared" si="28"/>
        <v>1981</v>
      </c>
      <c r="C385" s="8" t="str">
        <f t="shared" si="29"/>
        <v>1PremiumS4</v>
      </c>
      <c r="D385" s="8" t="str">
        <f t="shared" si="27"/>
        <v>1PremiumS4</v>
      </c>
      <c r="E385" s="10">
        <v>1</v>
      </c>
      <c r="F385" s="6">
        <v>592</v>
      </c>
      <c r="G385" s="8" t="str">
        <f>VLOOKUP(F385,[1]characters!$A:$C,3,FALSE)</f>
        <v>財宝への執着 ファフニール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16">
        <f>VLOOKUP(D385,gacha_198_base!A:B,2,FALSE)</f>
        <v>6632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0"/>
        <v>1981593</v>
      </c>
      <c r="B386" s="2" t="str">
        <f t="shared" si="28"/>
        <v>1981</v>
      </c>
      <c r="C386" s="8" t="str">
        <f t="shared" si="29"/>
        <v>1PremiumS5</v>
      </c>
      <c r="D386" s="8" t="str">
        <f t="shared" ref="D386:D399" si="31">E386&amp;H386&amp;I386</f>
        <v>1PremiumS5</v>
      </c>
      <c r="E386" s="10">
        <v>1</v>
      </c>
      <c r="F386" s="6">
        <v>593</v>
      </c>
      <c r="G386" s="8" t="str">
        <f>VLOOKUP(F386,[1]characters!$A:$C,3,FALSE)</f>
        <v>妄執する邪毒龍 ファフニール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16">
        <f>VLOOKUP(D386,gacha_198_base!A:B,2,FALSE)</f>
        <v>947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0"/>
        <v>1981594</v>
      </c>
      <c r="B387" s="2" t="str">
        <f t="shared" ref="B387:B399" si="32">198&amp;E387</f>
        <v>1981</v>
      </c>
      <c r="C387" s="8" t="str">
        <f t="shared" si="29"/>
        <v>1PremiumSS4</v>
      </c>
      <c r="D387" s="8" t="str">
        <f t="shared" si="31"/>
        <v>1PremiumSS4</v>
      </c>
      <c r="E387" s="10">
        <v>1</v>
      </c>
      <c r="F387" s="6">
        <v>594</v>
      </c>
      <c r="G387" s="8" t="str">
        <f>VLOOKUP(F387,[1]characters!$A:$C,3,FALSE)</f>
        <v>アルフヘイム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dragon</v>
      </c>
      <c r="M387" s="16">
        <f>VLOOKUP(D387,gacha_198_base!A:B,2,FALSE)</f>
        <v>1406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0"/>
        <v>1981595</v>
      </c>
      <c r="B388" s="2" t="str">
        <f t="shared" si="32"/>
        <v>1981</v>
      </c>
      <c r="C388" s="8" t="str">
        <f t="shared" si="29"/>
        <v>1PremiumSS5</v>
      </c>
      <c r="D388" s="8" t="str">
        <f t="shared" si="31"/>
        <v>1PremiumSS5</v>
      </c>
      <c r="E388" s="10">
        <v>1</v>
      </c>
      <c r="F388" s="6">
        <v>595</v>
      </c>
      <c r="G388" s="8" t="str">
        <f>VLOOKUP(F388,[1]characters!$A:$C,3,FALSE)</f>
        <v>光華なる神域 アルフヘイム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16">
        <f>VLOOKUP(D388,gacha_198_base!A:B,2,FALSE)</f>
        <v>94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ref="A389:A399" si="33">B389&amp;F389</f>
        <v>1981596</v>
      </c>
      <c r="B389" s="2" t="str">
        <f t="shared" si="32"/>
        <v>1981</v>
      </c>
      <c r="C389" s="8" t="str">
        <f t="shared" ref="C389:C399" si="34">E389&amp;H389&amp;I389</f>
        <v>1PremiumS3</v>
      </c>
      <c r="D389" s="8" t="str">
        <f t="shared" si="31"/>
        <v>1PremiumS3</v>
      </c>
      <c r="E389" s="10">
        <v>1</v>
      </c>
      <c r="F389" s="6">
        <v>596</v>
      </c>
      <c r="G389" s="8" t="str">
        <f>VLOOKUP(F389,[1]characters!$A:$C,3,FALSE)</f>
        <v>ムスペルヘイム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red</v>
      </c>
      <c r="K389" s="8" t="str">
        <f>VLOOKUP(F389,[1]characters!$A:$K,11,FALSE)</f>
        <v>balance</v>
      </c>
      <c r="L389" s="8" t="str">
        <f>VLOOKUP(F389,[1]characters!$A:$M,13,FALSE)</f>
        <v>human</v>
      </c>
      <c r="M389" s="16">
        <f>VLOOKUP(D389,gacha_198_base!A:B,2,FALSE)</f>
        <v>7579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3"/>
        <v>1981597</v>
      </c>
      <c r="B390" s="2" t="str">
        <f t="shared" si="32"/>
        <v>1981</v>
      </c>
      <c r="C390" s="8" t="str">
        <f t="shared" si="34"/>
        <v>1PremiumS4</v>
      </c>
      <c r="D390" s="8" t="str">
        <f t="shared" si="31"/>
        <v>1PremiumS4</v>
      </c>
      <c r="E390" s="10">
        <v>1</v>
      </c>
      <c r="F390" s="6">
        <v>597</v>
      </c>
      <c r="G390" s="8" t="str">
        <f>VLOOKUP(F390,[1]characters!$A:$C,3,FALSE)</f>
        <v>灼熱の魂 ムスペルヘイム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red</v>
      </c>
      <c r="K390" s="8" t="str">
        <f>VLOOKUP(F390,[1]characters!$A:$K,11,FALSE)</f>
        <v>balance</v>
      </c>
      <c r="L390" s="8" t="str">
        <f>VLOOKUP(F390,[1]characters!$A:$M,13,FALSE)</f>
        <v>human</v>
      </c>
      <c r="M390" s="16">
        <f>VLOOKUP(D390,gacha_198_base!A:B,2,FALSE)</f>
        <v>6632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3"/>
        <v>1981598</v>
      </c>
      <c r="B391" s="2" t="str">
        <f t="shared" si="32"/>
        <v>1981</v>
      </c>
      <c r="C391" s="8" t="str">
        <f t="shared" si="34"/>
        <v>1PremiumS5</v>
      </c>
      <c r="D391" s="8" t="str">
        <f t="shared" si="31"/>
        <v>1PremiumS5</v>
      </c>
      <c r="E391" s="10">
        <v>1</v>
      </c>
      <c r="F391" s="6">
        <v>598</v>
      </c>
      <c r="G391" s="8" t="str">
        <f>VLOOKUP(F391,[1]characters!$A:$C,3,FALSE)</f>
        <v>焼燃の情熱 ムスペルヘイム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red</v>
      </c>
      <c r="K391" s="8" t="str">
        <f>VLOOKUP(F391,[1]characters!$A:$K,11,FALSE)</f>
        <v>balance</v>
      </c>
      <c r="L391" s="8" t="str">
        <f>VLOOKUP(F391,[1]characters!$A:$M,13,FALSE)</f>
        <v>human</v>
      </c>
      <c r="M391" s="16">
        <f>VLOOKUP(D391,gacha_198_base!A:B,2,FALSE)</f>
        <v>947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3"/>
        <v>1981599</v>
      </c>
      <c r="B392" s="2" t="str">
        <f t="shared" si="32"/>
        <v>1981</v>
      </c>
      <c r="C392" s="8" t="str">
        <f t="shared" si="34"/>
        <v>1PremiumS3</v>
      </c>
      <c r="D392" s="8" t="str">
        <f t="shared" si="31"/>
        <v>1PremiumS3</v>
      </c>
      <c r="E392" s="10">
        <v>1</v>
      </c>
      <c r="F392" s="6">
        <v>599</v>
      </c>
      <c r="G392" s="8" t="str">
        <f>VLOOKUP(F392,[1]characters!$A:$C,3,FALSE)</f>
        <v>ニーズヘッグ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green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16">
        <f>VLOOKUP(D392,gacha_198_base!A:B,2,FALSE)</f>
        <v>7579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3"/>
        <v>1981600</v>
      </c>
      <c r="B393" s="2" t="str">
        <f t="shared" si="32"/>
        <v>1981</v>
      </c>
      <c r="C393" s="8" t="str">
        <f t="shared" si="34"/>
        <v>1PremiumS4</v>
      </c>
      <c r="D393" s="8" t="str">
        <f t="shared" si="31"/>
        <v>1PremiumS4</v>
      </c>
      <c r="E393" s="10">
        <v>1</v>
      </c>
      <c r="F393" s="6">
        <v>600</v>
      </c>
      <c r="G393" s="8" t="str">
        <f>VLOOKUP(F393,[1]characters!$A:$C,3,FALSE)</f>
        <v>界下に潜む蛇 ニーズヘッグ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green</v>
      </c>
      <c r="K393" s="8" t="str">
        <f>VLOOKUP(F393,[1]characters!$A:$K,11,FALSE)</f>
        <v>attack</v>
      </c>
      <c r="L393" s="8" t="str">
        <f>VLOOKUP(F393,[1]characters!$A:$M,13,FALSE)</f>
        <v>dragon</v>
      </c>
      <c r="M393" s="16">
        <f>VLOOKUP(D393,gacha_198_base!A:B,2,FALSE)</f>
        <v>6632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3"/>
        <v>1981601</v>
      </c>
      <c r="B394" s="2" t="str">
        <f t="shared" si="32"/>
        <v>1981</v>
      </c>
      <c r="C394" s="8" t="str">
        <f t="shared" si="34"/>
        <v>1PremiumS5</v>
      </c>
      <c r="D394" s="8" t="str">
        <f t="shared" si="31"/>
        <v>1PremiumS5</v>
      </c>
      <c r="E394" s="10">
        <v>1</v>
      </c>
      <c r="F394" s="6">
        <v>601</v>
      </c>
      <c r="G394" s="8" t="str">
        <f>VLOOKUP(F394,[1]characters!$A:$C,3,FALSE)</f>
        <v>界根蝕む悪食 ニーズヘッグ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VLOOKUP(D394,gacha_198_base!A:B,2,FALSE)</f>
        <v>947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3"/>
        <v>1981602</v>
      </c>
      <c r="B395" s="2" t="str">
        <f t="shared" si="32"/>
        <v>1981</v>
      </c>
      <c r="C395" s="8" t="str">
        <f t="shared" si="34"/>
        <v>1PremiumSS4</v>
      </c>
      <c r="D395" s="8" t="str">
        <f t="shared" si="31"/>
        <v>1PremiumSS4</v>
      </c>
      <c r="E395" s="10">
        <v>1</v>
      </c>
      <c r="F395" s="6">
        <v>602</v>
      </c>
      <c r="G395" s="8" t="str">
        <f>VLOOKUP(F395,[1]characters!$A:$C,3,FALSE)</f>
        <v>フレイヤ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blue</v>
      </c>
      <c r="K395" s="8" t="str">
        <f>VLOOKUP(F395,[1]characters!$A:$K,11,FALSE)</f>
        <v>heal</v>
      </c>
      <c r="L395" s="8" t="str">
        <f>VLOOKUP(F395,[1]characters!$A:$M,13,FALSE)</f>
        <v>animal</v>
      </c>
      <c r="M395" s="16">
        <f>VLOOKUP(D395,gacha_198_base!A:B,2,FALSE)</f>
        <v>1406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3"/>
        <v>1981603</v>
      </c>
      <c r="B396" s="2" t="str">
        <f t="shared" si="32"/>
        <v>1981</v>
      </c>
      <c r="C396" s="8" t="str">
        <f t="shared" si="34"/>
        <v>1PremiumSS5</v>
      </c>
      <c r="D396" s="8" t="str">
        <f t="shared" si="31"/>
        <v>1PremiumSS5</v>
      </c>
      <c r="E396" s="10">
        <v>1</v>
      </c>
      <c r="F396" s="6">
        <v>603</v>
      </c>
      <c r="G396" s="8" t="str">
        <f>VLOOKUP(F396,[1]characters!$A:$C,3,FALSE)</f>
        <v>掌愛の豊穣女神 フレイヤ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VLOOKUP(D396,gacha_198_base!A:B,2,FALSE)</f>
        <v>94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3"/>
        <v>1981604</v>
      </c>
      <c r="B397" s="2" t="str">
        <f t="shared" si="32"/>
        <v>1981</v>
      </c>
      <c r="C397" s="8" t="str">
        <f t="shared" si="34"/>
        <v>1PremiumS3</v>
      </c>
      <c r="D397" s="8" t="str">
        <f t="shared" si="31"/>
        <v>1PremiumS3</v>
      </c>
      <c r="E397" s="10">
        <v>1</v>
      </c>
      <c r="F397" s="6">
        <v>604</v>
      </c>
      <c r="G397" s="8" t="str">
        <f>VLOOKUP(F397,[1]characters!$A:$C,3,FALSE)</f>
        <v>バルドル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yellow</v>
      </c>
      <c r="K397" s="8" t="str">
        <f>VLOOKUP(F397,[1]characters!$A:$K,11,FALSE)</f>
        <v>heal</v>
      </c>
      <c r="L397" s="8" t="str">
        <f>VLOOKUP(F397,[1]characters!$A:$M,13,FALSE)</f>
        <v>god</v>
      </c>
      <c r="M397" s="16">
        <f>VLOOKUP(D397,gacha_198_base!A:B,2,FALSE)</f>
        <v>7579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3"/>
        <v>1981605</v>
      </c>
      <c r="B398" s="2" t="str">
        <f t="shared" si="32"/>
        <v>1981</v>
      </c>
      <c r="C398" s="8" t="str">
        <f t="shared" si="34"/>
        <v>1PremiumS4</v>
      </c>
      <c r="D398" s="8" t="str">
        <f t="shared" si="31"/>
        <v>1PremiumS4</v>
      </c>
      <c r="E398" s="10">
        <v>1</v>
      </c>
      <c r="F398" s="6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VLOOKUP(D398,gacha_198_base!A:B,2,FALSE)</f>
        <v>6632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3"/>
        <v>1981606</v>
      </c>
      <c r="B399" s="2" t="str">
        <f t="shared" si="32"/>
        <v>1981</v>
      </c>
      <c r="C399" s="8" t="str">
        <f t="shared" si="34"/>
        <v>1PremiumS5</v>
      </c>
      <c r="D399" s="8" t="str">
        <f t="shared" si="31"/>
        <v>1PremiumS5</v>
      </c>
      <c r="E399" s="10">
        <v>1</v>
      </c>
      <c r="F399" s="6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VLOOKUP(D399,gacha_198_base!A:B,2,FALSE)</f>
        <v>947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tabSelected="1" workbookViewId="0">
      <pane ySplit="1" topLeftCell="A2" activePane="bottomLeft" state="frozen"/>
      <selection activeCell="M24" sqref="M24"/>
      <selection pane="bottomLeft" activeCell="B9" sqref="B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1983</v>
      </c>
      <c r="C2" s="8" t="str">
        <f t="shared" ref="C2:C3" si="0">D2&amp;G2&amp;H2</f>
        <v>PremiumSS4</v>
      </c>
      <c r="E2" s="6">
        <v>398</v>
      </c>
      <c r="F2" s="8" t="str">
        <f>VLOOKUP(E2,[1]characters!$A:$C,3,FALSE)</f>
        <v>ヘンゼル＆グレーテル</v>
      </c>
      <c r="G2" s="8" t="str">
        <f>VLOOKUP(E2,[1]characters!$A:$J,10,FALSE)</f>
        <v>PremiumSS</v>
      </c>
      <c r="H2" s="8">
        <f>VLOOKUP(E2,[1]characters!$A:$I,9,FALSE)</f>
        <v>4</v>
      </c>
      <c r="I2" s="8" t="str">
        <f>VLOOKUP(E2,[1]characters!$A:$H,8,FALSE)</f>
        <v>yellow</v>
      </c>
      <c r="J2" s="8" t="str">
        <f>VLOOKUP(E2,[1]characters!$A:$K,11,FALSE)</f>
        <v>balance</v>
      </c>
      <c r="K2" s="8" t="str">
        <f>VLOOKUP(E2,[1]characters!$A:$M,13,FALSE)</f>
        <v>human</v>
      </c>
      <c r="L2" s="36">
        <f>50*95</f>
        <v>4750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1983</v>
      </c>
      <c r="C3" s="8" t="str">
        <f t="shared" si="0"/>
        <v>PremiumSS5</v>
      </c>
      <c r="E3" s="6">
        <v>399</v>
      </c>
      <c r="F3" s="8" t="str">
        <f>VLOOKUP(E3,[1]characters!$A:$C,3,FALSE)</f>
        <v>信愛の兄妹 ヘンゼル＆グレーテル</v>
      </c>
      <c r="G3" s="8" t="str">
        <f>VLOOKUP(E3,[1]characters!$A:$J,10,FALSE)</f>
        <v>PremiumSS</v>
      </c>
      <c r="H3" s="8">
        <f>VLOOKUP(E3,[1]characters!$A:$I,9,FALSE)</f>
        <v>5</v>
      </c>
      <c r="I3" s="8" t="str">
        <f>VLOOKUP(E3,[1]characters!$A:$H,8,FALSE)</f>
        <v>yellow</v>
      </c>
      <c r="J3" s="8" t="str">
        <f>VLOOKUP(E3,[1]characters!$A:$K,11,FALSE)</f>
        <v>balance</v>
      </c>
      <c r="K3" s="8" t="str">
        <f>VLOOKUP(E3,[1]characters!$A:$M,13,FALSE)</f>
        <v>human</v>
      </c>
      <c r="L3" s="36">
        <f>50*5</f>
        <v>250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1983</v>
      </c>
      <c r="C4" s="8" t="str">
        <f t="shared" ref="C4:C5" si="1">D4&amp;G4&amp;H4</f>
        <v>PremiumSS4</v>
      </c>
      <c r="E4" s="5">
        <v>494</v>
      </c>
      <c r="F4" s="8" t="str">
        <f>VLOOKUP(E4,[1]characters!$A:$C,3,FALSE)</f>
        <v>ハーメルン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technical</v>
      </c>
      <c r="K4" s="8" t="str">
        <f>VLOOKUP(E4,[1]characters!$A:$M,13,FALSE)</f>
        <v>human</v>
      </c>
      <c r="L4" s="36">
        <f>50*95</f>
        <v>4750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1983</v>
      </c>
      <c r="C5" s="8" t="str">
        <f t="shared" si="1"/>
        <v>PremiumSS5</v>
      </c>
      <c r="E5" s="6">
        <v>495</v>
      </c>
      <c r="F5" s="8" t="str">
        <f>VLOOKUP(E5,[1]characters!$A:$C,3,FALSE)</f>
        <v>鼠災呼ぶ笛音 ハーメルン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technical</v>
      </c>
      <c r="K5" s="8" t="str">
        <f>VLOOKUP(E5,[1]characters!$A:$M,13,FALSE)</f>
        <v>human</v>
      </c>
      <c r="L5" s="36">
        <f>50*5</f>
        <v>250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57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7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198</v>
      </c>
    </row>
    <row r="5" spans="1:8">
      <c r="A5" s="42" t="s">
        <v>82</v>
      </c>
      <c r="B5" s="43" t="str">
        <f>$A$3 &amp; "1"</f>
        <v>1981</v>
      </c>
      <c r="C5" s="62"/>
      <c r="D5" s="42" t="s">
        <v>85</v>
      </c>
      <c r="E5" s="43" t="str">
        <f>$A$3 &amp; "0"</f>
        <v>1980</v>
      </c>
      <c r="F5" s="62"/>
      <c r="G5" s="42" t="s">
        <v>86</v>
      </c>
      <c r="H5" s="43" t="str">
        <f>$A$3 &amp; "3"</f>
        <v>1983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93</v>
      </c>
      <c r="B12" s="45"/>
      <c r="C12" s="62"/>
      <c r="D12" s="44" t="s">
        <v>93</v>
      </c>
      <c r="E12" s="45"/>
      <c r="F12" s="62"/>
      <c r="G12" s="44" t="s">
        <v>93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91</v>
      </c>
      <c r="B15" s="45"/>
      <c r="C15" s="62"/>
      <c r="D15" s="44" t="s">
        <v>92</v>
      </c>
      <c r="E15" s="45"/>
      <c r="F15" s="62"/>
      <c r="G15" s="44" t="s">
        <v>92</v>
      </c>
      <c r="H15" s="45"/>
    </row>
    <row r="16" spans="1:8">
      <c r="A16" s="48">
        <f>COUNTIF(gacha_select_tables!$B:$B,B5)</f>
        <v>234</v>
      </c>
      <c r="B16" s="46"/>
      <c r="C16" s="62"/>
      <c r="D16" s="48">
        <f>COUNTIF(gacha_select_tables!$B:$B,E5)</f>
        <v>164</v>
      </c>
      <c r="E16" s="46"/>
      <c r="F16" s="62"/>
      <c r="G16" s="48">
        <f>COUNTIF(gacha_settle_tables!B:B,H5)</f>
        <v>4</v>
      </c>
      <c r="H16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gacha_198_base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2016-02-25T04:02:53Z</dcterms:modified>
</cp:coreProperties>
</file>