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580" windowWidth="27700" windowHeight="161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 r:id="rId19"/>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6" i="57" l="1"/>
  <c r="E6" i="57"/>
  <c r="B6" i="57"/>
  <c r="F5" i="57"/>
  <c r="E5" i="57"/>
  <c r="B5" i="57"/>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G8" i="58"/>
  <c r="U8" i="58"/>
  <c r="S3" i="58"/>
  <c r="S6" i="58"/>
  <c r="S8" i="58"/>
  <c r="T8" i="58"/>
  <c r="R8" i="58"/>
  <c r="P8" i="58"/>
  <c r="O8" i="58"/>
  <c r="N8" i="58"/>
  <c r="M8" i="58"/>
  <c r="L8" i="58"/>
  <c r="J8" i="58"/>
  <c r="K8" i="58"/>
  <c r="I8" i="58"/>
  <c r="H8" i="58"/>
  <c r="F8" i="58"/>
  <c r="E8" i="58"/>
  <c r="D8" i="58"/>
  <c r="C8" i="58"/>
  <c r="B8" i="58"/>
  <c r="G7" i="58"/>
  <c r="U7" i="58"/>
  <c r="S2" i="58"/>
  <c r="S7" i="58"/>
  <c r="T7" i="58"/>
  <c r="R7" i="58"/>
  <c r="P7" i="58"/>
  <c r="O7" i="58"/>
  <c r="N7" i="58"/>
  <c r="M7" i="58"/>
  <c r="L7" i="58"/>
  <c r="J7" i="58"/>
  <c r="K7" i="58"/>
  <c r="I7" i="58"/>
  <c r="H7" i="58"/>
  <c r="F7" i="58"/>
  <c r="E7" i="58"/>
  <c r="D7" i="58"/>
  <c r="C7" i="58"/>
  <c r="B7" i="58"/>
  <c r="G6" i="58"/>
  <c r="U6" i="58"/>
  <c r="T6" i="58"/>
  <c r="R6" i="58"/>
  <c r="P6" i="58"/>
  <c r="O6" i="58"/>
  <c r="N6" i="58"/>
  <c r="M6" i="58"/>
  <c r="L6" i="58"/>
  <c r="J6" i="58"/>
  <c r="K6" i="58"/>
  <c r="I6" i="58"/>
  <c r="H6" i="58"/>
  <c r="F6" i="58"/>
  <c r="E6" i="58"/>
  <c r="D6" i="58"/>
  <c r="C6" i="58"/>
  <c r="B6" i="58"/>
  <c r="E20" i="54"/>
  <c r="D20" i="54"/>
  <c r="B20" i="54"/>
  <c r="E19" i="54"/>
  <c r="D19" i="54"/>
  <c r="B19" i="54"/>
  <c r="E18" i="54"/>
  <c r="D18" i="54"/>
  <c r="B18" i="54"/>
  <c r="E17" i="54"/>
  <c r="D17" i="54"/>
  <c r="B17" i="54"/>
  <c r="E16" i="54"/>
  <c r="D16" i="54"/>
  <c r="B16" i="54"/>
  <c r="H5" i="53"/>
  <c r="G5" i="53"/>
  <c r="E5" i="53"/>
  <c r="K5" i="52"/>
  <c r="J5" i="52"/>
  <c r="H5" i="52"/>
  <c r="E5" i="52"/>
  <c r="H5" i="23"/>
  <c r="G5" i="23"/>
  <c r="BC5" i="23"/>
  <c r="BD5" i="23"/>
  <c r="Q5" i="23"/>
  <c r="V5" i="23"/>
  <c r="W5" i="23"/>
  <c r="AD5" i="23"/>
  <c r="I5" i="23"/>
  <c r="M5" i="23"/>
  <c r="BN5" i="23"/>
  <c r="U5" i="23"/>
  <c r="AC5" i="23"/>
  <c r="L5" i="23"/>
  <c r="BM5" i="23"/>
  <c r="T5" i="23"/>
  <c r="AB5" i="23"/>
  <c r="K5" i="23"/>
  <c r="BL5" i="23"/>
  <c r="S5" i="23"/>
  <c r="AA5" i="23"/>
  <c r="J5" i="23"/>
  <c r="BK5" i="23"/>
  <c r="H3" i="23"/>
  <c r="G3" i="23"/>
  <c r="BC3" i="23"/>
  <c r="BE5" i="23"/>
  <c r="BJ5" i="23"/>
  <c r="BI5" i="23"/>
  <c r="BH5" i="23"/>
  <c r="BG5" i="23"/>
  <c r="I3" i="23"/>
  <c r="J3" i="23"/>
  <c r="BF5" i="23"/>
  <c r="AX5" i="23"/>
  <c r="AW5" i="23"/>
  <c r="AV5" i="23"/>
  <c r="AU5" i="23"/>
  <c r="AS5" i="23"/>
  <c r="AR5" i="23"/>
  <c r="AQ5" i="23"/>
  <c r="AN5" i="23"/>
  <c r="AM5" i="23"/>
  <c r="AL5" i="23"/>
  <c r="AK5" i="23"/>
  <c r="AI5" i="23"/>
  <c r="AH5" i="23"/>
  <c r="AF5" i="23"/>
  <c r="Y5" i="23"/>
  <c r="Z5" i="23"/>
  <c r="X5" i="23"/>
  <c r="R5" i="23"/>
  <c r="P5" i="23"/>
  <c r="O5" i="23"/>
  <c r="G8" i="13"/>
  <c r="N5" i="23"/>
  <c r="F5" i="23"/>
  <c r="E5" i="23"/>
  <c r="D5" i="23"/>
  <c r="C5" i="23"/>
  <c r="B5" i="23"/>
  <c r="C11" i="3"/>
  <c r="D11" i="3"/>
  <c r="E2" i="57"/>
  <c r="F2" i="57"/>
  <c r="I2" i="56"/>
  <c r="B2" i="57"/>
  <c r="J6" i="3"/>
  <c r="J9" i="3"/>
  <c r="F4" i="57"/>
  <c r="E4" i="57"/>
  <c r="B4" i="57"/>
  <c r="F3" i="57"/>
  <c r="E3" i="57"/>
  <c r="B3" i="57"/>
  <c r="J13" i="3"/>
  <c r="H13" i="3"/>
  <c r="C13" i="3"/>
  <c r="F13" i="3"/>
  <c r="E13" i="3"/>
  <c r="D13" i="3"/>
  <c r="A13" i="3"/>
  <c r="J12" i="3"/>
  <c r="H12" i="3"/>
  <c r="C12" i="3"/>
  <c r="F12" i="3"/>
  <c r="E12" i="3"/>
  <c r="D12" i="3"/>
  <c r="A12" i="3"/>
  <c r="J11" i="3"/>
  <c r="H11" i="3"/>
  <c r="F11" i="3"/>
  <c r="E11" i="3"/>
  <c r="A11" i="3"/>
  <c r="J10" i="3"/>
  <c r="H10" i="3"/>
  <c r="C10" i="3"/>
  <c r="F10" i="3"/>
  <c r="E10" i="3"/>
  <c r="D10" i="3"/>
  <c r="A10" i="3"/>
  <c r="H9" i="3"/>
  <c r="C9" i="3"/>
  <c r="F9" i="3"/>
  <c r="E9" i="3"/>
  <c r="D9" i="3"/>
  <c r="A9" i="3"/>
  <c r="J8" i="3"/>
  <c r="H8" i="3"/>
  <c r="C8" i="3"/>
  <c r="F8" i="3"/>
  <c r="E8" i="3"/>
  <c r="D8" i="3"/>
  <c r="A8" i="3"/>
  <c r="J7" i="3"/>
  <c r="H7" i="3"/>
  <c r="C7" i="3"/>
  <c r="F7" i="3"/>
  <c r="E7" i="3"/>
  <c r="D7" i="3"/>
  <c r="A7" i="3"/>
  <c r="H6" i="3"/>
  <c r="C6" i="3"/>
  <c r="F6" i="3"/>
  <c r="E6" i="3"/>
  <c r="D6" i="3"/>
  <c r="A6" i="3"/>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G3" i="58"/>
  <c r="U3" i="58"/>
  <c r="T3" i="58"/>
  <c r="R3" i="58"/>
  <c r="P3" i="58"/>
  <c r="O3" i="58"/>
  <c r="N3" i="58"/>
  <c r="M3" i="58"/>
  <c r="L3" i="58"/>
  <c r="J3" i="58"/>
  <c r="K3" i="58"/>
  <c r="I3" i="58"/>
  <c r="H3" i="58"/>
  <c r="F3" i="58"/>
  <c r="E3" i="58"/>
  <c r="D3" i="58"/>
  <c r="C3" i="58"/>
  <c r="B3" i="58"/>
  <c r="E15" i="54"/>
  <c r="D15" i="54"/>
  <c r="B15" i="54"/>
  <c r="E14" i="54"/>
  <c r="D14" i="54"/>
  <c r="B14" i="54"/>
  <c r="E13" i="54"/>
  <c r="D13" i="54"/>
  <c r="B13" i="54"/>
  <c r="E12" i="54"/>
  <c r="D12" i="54"/>
  <c r="B12" i="54"/>
  <c r="E11" i="54"/>
  <c r="D11" i="54"/>
  <c r="B11" i="54"/>
  <c r="H4" i="53"/>
  <c r="G4" i="53"/>
  <c r="E4" i="53"/>
  <c r="K4" i="52"/>
  <c r="J4" i="52"/>
  <c r="H4" i="52"/>
  <c r="E4" i="52"/>
  <c r="H4" i="23"/>
  <c r="G4" i="23"/>
  <c r="BC4" i="23"/>
  <c r="BD4" i="23"/>
  <c r="Q4" i="23"/>
  <c r="V4" i="23"/>
  <c r="W4" i="23"/>
  <c r="AD4" i="23"/>
  <c r="I4" i="23"/>
  <c r="M4" i="23"/>
  <c r="BN4" i="23"/>
  <c r="U4" i="23"/>
  <c r="AC4" i="23"/>
  <c r="L4" i="23"/>
  <c r="BM4" i="23"/>
  <c r="T4" i="23"/>
  <c r="AB4" i="23"/>
  <c r="K4" i="23"/>
  <c r="BL4" i="23"/>
  <c r="S4" i="23"/>
  <c r="AA4" i="23"/>
  <c r="J4" i="23"/>
  <c r="BK4" i="23"/>
  <c r="H2" i="23"/>
  <c r="G2" i="23"/>
  <c r="BC2" i="23"/>
  <c r="BE4" i="23"/>
  <c r="BJ4" i="23"/>
  <c r="BI4" i="23"/>
  <c r="BH4" i="23"/>
  <c r="BG4" i="23"/>
  <c r="I2" i="23"/>
  <c r="J2" i="23"/>
  <c r="BF4" i="23"/>
  <c r="AX4" i="23"/>
  <c r="AW4" i="23"/>
  <c r="AV4" i="23"/>
  <c r="AU4" i="23"/>
  <c r="AS4" i="23"/>
  <c r="AR4" i="23"/>
  <c r="AQ4" i="23"/>
  <c r="AN4" i="23"/>
  <c r="AM4" i="23"/>
  <c r="AL4" i="23"/>
  <c r="AK4" i="23"/>
  <c r="AI4" i="23"/>
  <c r="AH4" i="23"/>
  <c r="AF4" i="23"/>
  <c r="Y4" i="23"/>
  <c r="Z4" i="23"/>
  <c r="X4" i="23"/>
  <c r="R4" i="23"/>
  <c r="P4" i="23"/>
  <c r="O4" i="23"/>
  <c r="G10" i="13"/>
  <c r="N4" i="23"/>
  <c r="F4" i="23"/>
  <c r="E4" i="23"/>
  <c r="D4" i="23"/>
  <c r="C4" i="23"/>
  <c r="B4" i="23"/>
  <c r="E3" i="54"/>
  <c r="E4" i="54"/>
  <c r="E5" i="54"/>
  <c r="E6" i="54"/>
  <c r="E7" i="54"/>
  <c r="E8" i="54"/>
  <c r="E9" i="54"/>
  <c r="E10" i="54"/>
  <c r="E2" i="54"/>
  <c r="D10" i="54"/>
  <c r="B10" i="54"/>
  <c r="B4" i="54"/>
  <c r="D9" i="54"/>
  <c r="B9" i="54"/>
  <c r="D8" i="54"/>
  <c r="B8" i="54"/>
  <c r="D7" i="54"/>
  <c r="B7" i="54"/>
  <c r="D6" i="54"/>
  <c r="B6" i="54"/>
  <c r="D5" i="54"/>
  <c r="D4" i="54"/>
  <c r="D3" i="54"/>
  <c r="B3" i="54"/>
  <c r="G2" i="58"/>
  <c r="U2" i="58"/>
  <c r="BD2" i="23"/>
  <c r="Q2" i="23"/>
  <c r="S2" i="23"/>
  <c r="W2" i="23"/>
  <c r="AA2" i="23"/>
  <c r="BK2" i="23"/>
  <c r="BD3" i="23"/>
  <c r="Q3" i="23"/>
  <c r="S3" i="23"/>
  <c r="W3" i="23"/>
  <c r="AA3" i="23"/>
  <c r="BK3" i="23"/>
  <c r="J4" i="3"/>
  <c r="J3" i="3"/>
  <c r="J5" i="3"/>
  <c r="J2" i="3"/>
  <c r="H5" i="3"/>
  <c r="C5" i="3"/>
  <c r="F5" i="3"/>
  <c r="E5" i="3"/>
  <c r="D5" i="3"/>
  <c r="A5" i="3"/>
  <c r="H4" i="3"/>
  <c r="C4" i="3"/>
  <c r="F4" i="3"/>
  <c r="E4" i="3"/>
  <c r="D4" i="3"/>
  <c r="A4" i="3"/>
  <c r="H3" i="3"/>
  <c r="C3" i="3"/>
  <c r="F3" i="3"/>
  <c r="E3" i="3"/>
  <c r="D3" i="3"/>
  <c r="A3" i="3"/>
  <c r="C2" i="3"/>
  <c r="D2" i="3"/>
  <c r="T3" i="23"/>
  <c r="AB3" i="23"/>
  <c r="K3" i="23"/>
  <c r="BL3" i="23"/>
  <c r="T2" i="23"/>
  <c r="AB2" i="23"/>
  <c r="K2" i="23"/>
  <c r="BL2" i="23"/>
  <c r="V3" i="23"/>
  <c r="AD3" i="23"/>
  <c r="M3" i="23"/>
  <c r="BN3" i="23"/>
  <c r="V2" i="23"/>
  <c r="AD2" i="23"/>
  <c r="M2" i="23"/>
  <c r="BN2" i="23"/>
  <c r="AL3" i="23"/>
  <c r="H2" i="3"/>
  <c r="T2" i="58"/>
  <c r="R2" i="58"/>
  <c r="B2" i="58"/>
  <c r="D2" i="54"/>
  <c r="B2" i="54"/>
  <c r="G2" i="53"/>
  <c r="AH3" i="23"/>
  <c r="AH2" i="2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<sst xmlns="http://schemas.openxmlformats.org/spreadsheetml/2006/main" count="954" uniqueCount="367">
  <si>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</si>
  <si>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</si>
  <si>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</si>
  <si>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</si>
  <si>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</si>
  <si>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</si>
  <si>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</si>
  <si>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</si>
  <si>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</si>
  <si>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</si>
  <si>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</si>
  <si>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</si>
  <si>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</si>
  <si>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</si>
  <si>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</si>
  <si>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</si>
  <si>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</si>
  <si>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</si>
  <si>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</si>
  <si>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</si>
  <si>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</si>
  <si>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</si>
  <si>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</si>
  <si>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</si>
  <si>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</si>
  <si>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</si>
  <si>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</si>
  <si>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</si>
  <si>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</si>
  <si>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</si>
  <si>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</si>
  <si>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</si>
  <si>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</si>
  <si>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</si>
  <si>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</si>
  <si>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</si>
  <si>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</si>
  <si>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</si>
  <si>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</si>
  <si>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</si>
  <si>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</si>
  <si>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</si>
  <si>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</si>
  <si>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</si>
  <si>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</si>
  <si>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</si>
  <si>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</si>
  <si>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</si>
  <si>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</si>
  <si>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</si>
  <si>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</si>
  <si>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</si>
  <si>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</si>
  <si>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</si>
  <si>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</si>
  <si>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</si>
  <si>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</si>
  <si>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</si>
  <si>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</si>
  <si>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</si>
  <si>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</si>
  <si>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</si>
  <si>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</si>
  <si>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</si>
  <si>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</si>
  <si>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</si>
  <si>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</si>
  <si>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</si>
  <si>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</si>
  <si>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</si>
  <si>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</si>
  <si>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</si>
  <si>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</si>
  <si>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</si>
  <si>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</si>
  <si>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</si>
  <si>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</si>
  <si>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</si>
  <si>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</si>
  <si>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</si>
  <si>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</si>
  <si>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</si>
  <si>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</si>
  <si>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</si>
  <si>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</si>
  <si>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</si>
  <si>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</si>
  <si>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</si>
  <si>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</si>
  <si>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</si>
  <si>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</si>
  <si>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</si>
  <si>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</si>
  <si>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</si>
  <si>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</si>
  <si>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</si>
  <si>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</si>
  <si>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</si>
  <si>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</si>
  <si>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</si>
  <si>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</si>
  <si>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</si>
  <si>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</si>
  <si>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</si>
  <si>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</si>
  <si>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</si>
  <si>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</si>
  <si>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</si>
  <si>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</si>
  <si>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</si>
  <si>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</si>
  <si>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</si>
  <si>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</si>
  <si>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</si>
  <si>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</si>
  <si>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</si>
  <si>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</si>
  <si>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</si>
  <si>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</si>
  <si>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</si>
  <si>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</si>
  <si>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</si>
  <si>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</si>
  <si>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</si>
  <si>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</si>
  <si>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</si>
  <si>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</si>
  <si>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</si>
  <si>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</si>
  <si>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</si>
  <si>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</si>
  <si>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</si>
  <si>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</si>
  <si>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</si>
  <si>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</si>
  <si>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</si>
  <si>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</si>
  <si>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</si>
  <si>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</si>
  <si>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</si>
  <si>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</si>
  <si>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</si>
  <si>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</si>
  <si>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</si>
  <si>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</si>
  <si>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</si>
  <si>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</si>
  <si>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</si>
  <si>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</si>
  <si>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</si>
  <si>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</si>
  <si>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</si>
  <si>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</si>
  <si>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</si>
  <si>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</si>
  <si>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</si>
  <si>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</si>
  <si>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</si>
  <si>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</si>
  <si>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</si>
  <si>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</si>
  <si>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</si>
  <si>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</si>
  <si>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</si>
  <si>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</si>
  <si>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</si>
  <si>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</si>
  <si>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</si>
  <si>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</si>
  <si>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</si>
  <si>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</si>
  <si>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</si>
  <si>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</si>
  <si>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</si>
  <si>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</si>
  <si>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</si>
  <si>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</si>
  <si>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</si>
  <si>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</si>
  <si>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</si>
  <si>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</si>
  <si>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</si>
  <si>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</si>
  <si>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</si>
  <si>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</si>
  <si>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</si>
  <si>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</si>
  <si>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</si>
  <si>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</si>
  <si>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</si>
  <si>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</si>
  <si>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</si>
  <si>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</si>
  <si>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</si>
  <si>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</si>
  <si>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</si>
  <si>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</si>
  <si>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</si>
  <si>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</si>
  <si>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</si>
  <si>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</si>
  <si>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</si>
  <si>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</si>
  <si>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</si>
  <si>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</si>
  <si>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</si>
  <si>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</si>
  <si>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</si>
  <si>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</si>
  <si>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</si>
  <si>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</si>
  <si>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</si>
  <si>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</si>
  <si>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</si>
  <si>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</si>
  <si>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</si>
  <si>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</si>
  <si>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</si>
  <si>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</si>
  <si>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</si>
  <si>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</si>
  <si>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</si>
  <si>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</si>
  <si>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</si>
  <si>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</si>
  <si>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</si>
  <si>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</si>
  <si>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</si>
  <si>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</si>
  <si>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</si>
  <si>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</si>
  <si>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</si>
  <si>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</si>
  <si>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</si>
  <si>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</si>
  <si>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</si>
  <si>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</si>
  <si>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</si>
  <si>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</si>
  <si>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</si>
  <si>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</si>
  <si>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</si>
  <si>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</si>
  <si>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</si>
  <si>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</si>
  <si>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</si>
  <si>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</si>
  <si>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</si>
  <si>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</si>
  <si>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</si>
  <si>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</si>
  <si>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</si>
  <si>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</si>
  <si>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</si>
  <si>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</si>
  <si>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</si>
  <si>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</si>
  <si>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</si>
  <si>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</si>
  <si>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</si>
  <si>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</si>
  <si>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</si>
  <si>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</si>
  <si>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</si>
  <si>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</si>
  <si>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</si>
  <si>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</si>
  <si>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</si>
  <si>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</si>
  <si>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</si>
  <si>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</si>
  <si>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</si>
  <si>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</si>
  <si>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</si>
  <si>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</si>
  <si>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</si>
  <si>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</si>
  <si>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</si>
  <si>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</si>
  <si>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</si>
  <si>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</si>
  <si>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</si>
  <si>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</si>
  <si>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</si>
  <si>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</si>
  <si>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</si>
  <si>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</si>
  <si>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</si>
  <si>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</si>
  <si>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</si>
  <si>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</si>
  <si>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</si>
  <si>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</si>
  <si>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</si>
  <si>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</si>
  <si>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</si>
  <si>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</si>
  <si>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</si>
  <si>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</si>
  <si>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</si>
  <si>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</si>
  <si>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</si>
  <si>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</si>
  <si>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</si>
  <si>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</si>
  <si>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</si>
  <si>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</si>
  <si>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</si>
  <si>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</si>
  <si>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</si>
  <si>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</si>
  <si>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</si>
  <si>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</si>
  <si>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</si>
  <si>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challengeunit02</t>
    <phoneticPr fontId="22"/>
  </si>
  <si>
    <t>1</t>
    <phoneticPr fontId="22"/>
  </si>
  <si>
    <t>old</t>
    <phoneticPr fontId="22"/>
  </si>
  <si>
    <t>[effect:damage_anti_tribe, target:enemy_one, tribe:unknown, val1:3.75, val2:1.5, animation:damage_one_yellow04]</t>
    <phoneticPr fontId="22"/>
  </si>
  <si>
    <t>ja</t>
    <phoneticPr fontId="22"/>
  </si>
  <si>
    <t>1.7.0</t>
    <phoneticPr fontId="22"/>
  </si>
  <si>
    <t>0</t>
    <phoneticPr fontId="22"/>
  </si>
  <si>
    <t>ヘンペルチャレンジ ダメージ究極UP</t>
    <phoneticPr fontId="22"/>
  </si>
  <si>
    <t>abilities_tmp_</t>
    <phoneticPr fontId="22"/>
  </si>
  <si>
    <t>sell_ghosts</t>
    <phoneticPr fontId="22"/>
  </si>
  <si>
    <t>sell_ghosts</t>
    <phoneticPr fontId="10"/>
  </si>
  <si>
    <t>[effect:damage_up, target:myself, turn:1, val:2.9, type01:all, type02:counter, option:killer]</t>
    <phoneticPr fontId="22"/>
  </si>
  <si>
    <t>1体に特大ダメージ
種族Unknownに効果超大</t>
    <phoneticPr fontId="22"/>
  </si>
  <si>
    <t>[effect:force_change_block, new_block:crash, target:block_all, ignore01:crash, ignore02:crack_bomb, ignore03:color_break, count:3, val:24, animation:change_block],[effect:enhance_unit, target:unit_yellow, turn:2, status:attack, val:0.175, calc:mul, animation:enhance_unit_all_attack03_unit01],[effect:change_panel_ratio, turn:1, block_type:blue, val:0, animation:block_incidence04]</t>
    <phoneticPr fontId="22"/>
  </si>
  <si>
    <t>アンセム・テーゼ</t>
    <phoneticPr fontId="22"/>
  </si>
  <si>
    <t>アンセム・テーゼ・リプライズ</t>
    <phoneticPr fontId="22"/>
  </si>
  <si>
    <t>アンセム・テーゼ・アンコール</t>
    <phoneticPr fontId="22"/>
  </si>
  <si>
    <t>ディーバ・アトラクション</t>
    <phoneticPr fontId="22"/>
  </si>
  <si>
    <t>ディーバ・アブストラクション</t>
    <phoneticPr fontId="22"/>
  </si>
  <si>
    <t>人生を彩る歌ですよ</t>
    <phoneticPr fontId="22"/>
  </si>
  <si>
    <t>理論は人を惹きつけます</t>
    <phoneticPr fontId="22"/>
  </si>
  <si>
    <t>私の心を聴いてみますか</t>
    <phoneticPr fontId="22"/>
  </si>
  <si>
    <t>後世まで響かせます…！</t>
    <phoneticPr fontId="22"/>
  </si>
  <si>
    <t>giza</t>
  </si>
  <si>
    <t>答えに耳を澄ませてください</t>
    <phoneticPr fontId="22"/>
  </si>
  <si>
    <t>さぁ…私に身を委ねて</t>
    <phoneticPr fontId="22"/>
  </si>
  <si>
    <t>私の魂よ…響き続けて…！</t>
    <phoneticPr fontId="22"/>
  </si>
  <si>
    <t>今…形を脱ぎ捨てる時！</t>
    <phoneticPr fontId="22"/>
  </si>
  <si>
    <t>パネルをランダムで3つSCパネル(威力大)に変換+2ターン黄属性の攻撃力を大UPし、1ターン青パネルが出現しない</t>
    <phoneticPr fontId="22"/>
  </si>
  <si>
    <t>ヘンペルチャレンジ内で自身の全ての攻撃+カウンターの威力を究極UP</t>
    <phoneticPr fontId="22"/>
  </si>
  <si>
    <t>敵1体の残りHPを20%減らす+2ターンの間、大カウンター</t>
    <phoneticPr fontId="22"/>
  </si>
  <si>
    <t>1体に大ダメージ</t>
    <phoneticPr fontId="22"/>
  </si>
  <si>
    <t>1体に大ダメージ</t>
    <phoneticPr fontId="22"/>
  </si>
  <si>
    <t>[effect:damage, target:enemy_one, color:yellow, val:2, animation:damage_one_yellow03]</t>
    <phoneticPr fontId="22"/>
  </si>
  <si>
    <t>[effect:damage, target:enemy_one, color:yellow, val:2, animation:damage_one_yellow03]</t>
    <phoneticPr fontId="22"/>
  </si>
  <si>
    <t>[effect:damage_gravity, target:enemy_one, val:0.2, animation:damage_gravity_one05],[effect:counter_new, target:unit_all, invoke_condition:enemy_all,counter_target:attacker, turn:2, val:2, animation:counter_buff04]</t>
    <phoneticPr fontId="22"/>
  </si>
  <si>
    <t>[effect:break_enchance_unit, target:unit_all, val:0.005, lowest_val:0.2, count :-1, status:attack, turn:3, block01:block_blue, calc:mul, animation:enhance_unit_all_attack02_unit01],[effect:counter_new, target:unit_all, invoke_condition:enemy_all,counter_target:attacker, turn:3, val:2, animation:counter_buff04],[effect:damage_gravity, target:enemy_one, val:0.3, animation:damage_gravity_one05]</t>
    <phoneticPr fontId="22"/>
  </si>
  <si>
    <t>敵1体の残りHPを30%減らす+3ターンの間、味方全体の攻撃力UP(青パネルを吸収し効果UP)、大カウンター</t>
    <phoneticPr fontId="22"/>
  </si>
  <si>
    <t>画竜点醒・フラクタル</t>
    <phoneticPr fontId="22"/>
  </si>
  <si>
    <t>プロミネンス・スクリーン</t>
    <phoneticPr fontId="22"/>
  </si>
  <si>
    <t>全レイヤー展開！完成…！</t>
  </si>
  <si>
    <t>kumo</t>
  </si>
  <si>
    <t>このペン先に懸けて…！！</t>
  </si>
  <si>
    <t>火傷しちゃうかも…？</t>
  </si>
  <si>
    <t>効果ON！燃えてー！</t>
  </si>
  <si>
    <t>ペンだけが頼りだね…</t>
  </si>
  <si>
    <t>1体に超大ダメージ+
HP回復</t>
    <phoneticPr fontId="22"/>
  </si>
  <si>
    <t>[effect:damage, target:enemy_one, color:red, val:2, animation:damage_one_red04],[effect:heal_ratio, val:0.18, animation:heal02_unit01]</t>
    <phoneticPr fontId="22"/>
  </si>
  <si>
    <t>時限式パネルをSCPに、青パネルをハートボムに変換+3ターン全ユニットの回復力UP(ダメージ・黄パネルを吸収し効果UP)</t>
    <phoneticPr fontId="22"/>
  </si>
  <si>
    <t>[effect:force_change_block, new_block:crash, target:time_bomb, count:0, val:12, animation:change_block],[effect:force_change_block, new_block:crack_bomb, target:block_blue, color:heal, count:0, val:12, animation:change_block],[effect:break_enchance_unit, target:unit_all, val:40, lowest_val:750, count :-1, status:heal, turn:3, block01:damage, block02:block_yellow, calc:add, animation:enhance_unit_all_heal01]</t>
    <phoneticPr fontId="22"/>
  </si>
  <si>
    <t>category</t>
    <phoneticPr fontId="22"/>
  </si>
  <si>
    <t>クエスト特攻</t>
    <phoneticPr fontId="22"/>
  </si>
  <si>
    <t>[condition:enclose,[condition:quest_id,quest:60031],[condition:unit_attack_target],logic:and]</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</si>
</sst>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0" fillId="25" borderId="4" xfId="0" applyFill="1" applyBorder="1" applyAlignment="1">
      <alignment horizontal="center"/>
    </xf>
  </cellXfs>
  <cellStyles count="458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赤字強調" xfId="4"/>
    <cellStyle name="青字強調" xfId="3"/>
  </cellStyles>
  <dxfs count="3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C16" sqref="C16"/>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316</v>
      </c>
      <c r="B2" s="105" t="s">
        <v>129</v>
      </c>
      <c r="C2" s="162" t="s">
        <v>314</v>
      </c>
      <c r="D2" s="105" t="s">
        <v>128</v>
      </c>
      <c r="E2" s="104" t="str">
        <f>B2&amp;C2&amp;D2</f>
        <v>units_challengeunit02.tmp</v>
      </c>
      <c r="F2" s="105" t="s">
        <v>124</v>
      </c>
      <c r="G2" s="59" t="s">
        <v>17</v>
      </c>
      <c r="H2" s="60" t="s">
        <v>96</v>
      </c>
      <c r="I2" s="60" t="s">
        <v>1</v>
      </c>
      <c r="J2" s="60" t="s">
        <v>3</v>
      </c>
      <c r="K2" s="60" t="s">
        <v>2</v>
      </c>
      <c r="L2" s="60" t="s">
        <v>98</v>
      </c>
      <c r="M2" s="60" t="s">
        <v>20</v>
      </c>
      <c r="N2" s="60" t="s">
        <v>103</v>
      </c>
      <c r="O2" s="60" t="s">
        <v>101</v>
      </c>
      <c r="P2" s="60" t="s">
        <v>39</v>
      </c>
      <c r="Q2" s="60" t="s">
        <v>57</v>
      </c>
      <c r="R2" s="105" t="s">
        <v>323</v>
      </c>
      <c r="S2" s="105"/>
      <c r="T2" s="105"/>
      <c r="U2" s="105"/>
      <c r="V2" s="105"/>
      <c r="W2" s="105"/>
    </row>
    <row r="3" spans="1:29" x14ac:dyDescent="0.15">
      <c r="A3" s="105" t="s">
        <v>316</v>
      </c>
      <c r="B3" s="105" t="s">
        <v>292</v>
      </c>
      <c r="C3" s="162" t="s">
        <v>314</v>
      </c>
      <c r="D3" s="105" t="s">
        <v>128</v>
      </c>
      <c r="E3" s="104" t="str">
        <f>B3&amp;C3&amp;D3</f>
        <v>fork_awake_units_challengeunit02.tmp</v>
      </c>
      <c r="F3" s="105" t="s">
        <v>293</v>
      </c>
      <c r="G3" s="59" t="s">
        <v>17</v>
      </c>
      <c r="H3" s="60" t="s">
        <v>294</v>
      </c>
      <c r="I3" s="60" t="s">
        <v>295</v>
      </c>
      <c r="J3" s="60" t="s">
        <v>296</v>
      </c>
      <c r="K3" s="108"/>
      <c r="L3" s="108"/>
      <c r="M3" s="108"/>
      <c r="N3" s="108"/>
      <c r="O3" s="108"/>
      <c r="P3" s="108"/>
      <c r="Q3" s="108"/>
      <c r="R3" s="108"/>
      <c r="S3" s="108"/>
      <c r="T3" s="108"/>
      <c r="U3" s="108"/>
      <c r="V3" s="108"/>
      <c r="W3" s="108"/>
    </row>
    <row r="4" spans="1:29" x14ac:dyDescent="0.15">
      <c r="A4" s="105" t="s">
        <v>316</v>
      </c>
      <c r="B4" s="105" t="s">
        <v>130</v>
      </c>
      <c r="C4" s="162" t="s">
        <v>314</v>
      </c>
      <c r="D4" s="105" t="s">
        <v>128</v>
      </c>
      <c r="E4" s="104" t="str">
        <f>B4&amp;C4&amp;D4</f>
        <v>awake_materials_challengeunit02.tmp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316</v>
      </c>
      <c r="B5" s="105" t="s">
        <v>291</v>
      </c>
      <c r="C5" s="162" t="s">
        <v>314</v>
      </c>
      <c r="D5" s="105" t="s">
        <v>128</v>
      </c>
      <c r="E5" s="104" t="str">
        <f>B5&amp;C5&amp;D5</f>
        <v>fork_awake_materials_challengeunit02.tmp</v>
      </c>
      <c r="F5" s="105" t="s">
        <v>123</v>
      </c>
      <c r="G5" s="181" t="s">
        <v>297</v>
      </c>
      <c r="H5" s="181" t="s">
        <v>298</v>
      </c>
      <c r="I5" s="181" t="s">
        <v>36</v>
      </c>
      <c r="J5" s="181" t="s">
        <v>37</v>
      </c>
      <c r="K5" s="181" t="s">
        <v>299</v>
      </c>
      <c r="L5" s="181" t="s">
        <v>300</v>
      </c>
      <c r="M5" s="108"/>
      <c r="N5" s="108"/>
      <c r="O5" s="108"/>
      <c r="P5" s="108"/>
      <c r="Q5" s="108"/>
      <c r="R5" s="108"/>
      <c r="S5" s="108"/>
      <c r="T5" s="108"/>
      <c r="U5" s="108"/>
      <c r="V5" s="108"/>
      <c r="W5" s="108"/>
    </row>
    <row r="6" spans="1:29" x14ac:dyDescent="0.15">
      <c r="A6" s="105" t="s">
        <v>316</v>
      </c>
      <c r="B6" s="105" t="s">
        <v>131</v>
      </c>
      <c r="C6" s="162" t="s">
        <v>314</v>
      </c>
      <c r="D6" s="105" t="s">
        <v>132</v>
      </c>
      <c r="E6" s="104" t="str">
        <f t="shared" ref="E6" si="0">B6&amp;C6&amp;D6</f>
        <v>unit_levels_calc_challengeunit02.tmp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316</v>
      </c>
      <c r="B7" s="105" t="s">
        <v>143</v>
      </c>
      <c r="C7" s="162" t="s">
        <v>314</v>
      </c>
      <c r="D7" s="105" t="s">
        <v>144</v>
      </c>
      <c r="E7" s="104" t="str">
        <f>B7&amp;C7&amp;D7</f>
        <v>unit_skills_data_challengeunit02.tmp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316</v>
      </c>
      <c r="B8" s="105" t="s">
        <v>149</v>
      </c>
      <c r="C8" s="162" t="s">
        <v>314</v>
      </c>
      <c r="D8" s="105" t="s">
        <v>128</v>
      </c>
      <c r="E8" s="104" t="str">
        <f>B8&amp;C8&amp;D8</f>
        <v>unit_skills_i18n_challengeunit02.tmp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316</v>
      </c>
      <c r="B9" s="105" t="s">
        <v>153</v>
      </c>
      <c r="C9" s="162" t="s">
        <v>314</v>
      </c>
      <c r="D9" s="105" t="s">
        <v>154</v>
      </c>
      <c r="E9" s="104" t="str">
        <f>B9&amp;C9&amp;D9</f>
        <v>crash_skills_data_challengeunit02.tmp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316</v>
      </c>
      <c r="B10" s="105" t="s">
        <v>157</v>
      </c>
      <c r="C10" s="162" t="s">
        <v>314</v>
      </c>
      <c r="D10" s="105" t="s">
        <v>158</v>
      </c>
      <c r="E10" s="104" t="str">
        <f t="shared" ref="E10" si="1">B10&amp;C10&amp;D10</f>
        <v>crash_skills_i18n_challengeunit02.tmp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316</v>
      </c>
      <c r="B11" s="108" t="s">
        <v>135</v>
      </c>
      <c r="C11" s="162" t="s">
        <v>314</v>
      </c>
      <c r="D11" s="105" t="s">
        <v>158</v>
      </c>
      <c r="E11" s="104" t="str">
        <f t="shared" ref="E11:E12" si="2">B11&amp;C11&amp;D11</f>
        <v>unit_serifs_data_challengeunit02.tmp</v>
      </c>
      <c r="F11" s="108" t="s">
        <v>137</v>
      </c>
      <c r="G11" s="111" t="s">
        <v>138</v>
      </c>
      <c r="H11" s="112" t="s">
        <v>139</v>
      </c>
      <c r="I11" s="112" t="s">
        <v>133</v>
      </c>
      <c r="J11" s="110" t="s">
        <v>189</v>
      </c>
      <c r="K11" s="105"/>
      <c r="L11" s="105"/>
      <c r="M11" s="105"/>
      <c r="N11" s="105"/>
      <c r="O11" s="105"/>
      <c r="P11" s="105"/>
      <c r="Q11" s="105"/>
      <c r="R11" s="105"/>
      <c r="S11" s="105"/>
      <c r="T11" s="105"/>
      <c r="U11" s="105"/>
      <c r="V11" s="105"/>
      <c r="W11" s="105"/>
    </row>
    <row r="12" spans="1:29" x14ac:dyDescent="0.15">
      <c r="A12" s="105" t="s">
        <v>316</v>
      </c>
      <c r="B12" s="108" t="s">
        <v>136</v>
      </c>
      <c r="C12" s="162" t="s">
        <v>314</v>
      </c>
      <c r="D12" s="105" t="s">
        <v>158</v>
      </c>
      <c r="E12" s="104" t="str">
        <f t="shared" si="2"/>
        <v>unit_serifs_i18n_challengeunit02.tmp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316</v>
      </c>
      <c r="B13" s="105" t="s">
        <v>322</v>
      </c>
      <c r="C13" s="162" t="s">
        <v>314</v>
      </c>
      <c r="D13" s="105" t="s">
        <v>252</v>
      </c>
      <c r="E13" s="104" t="str">
        <f>B13&amp;C13&amp;D13</f>
        <v>abilities_tmp_challengeunit02.tmp</v>
      </c>
      <c r="F13" s="105" t="s">
        <v>253</v>
      </c>
      <c r="G13" s="163" t="s">
        <v>254</v>
      </c>
      <c r="H13" s="163" t="s">
        <v>255</v>
      </c>
      <c r="I13" s="163" t="s">
        <v>256</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316</v>
      </c>
      <c r="B14" s="105" t="s">
        <v>257</v>
      </c>
      <c r="C14" s="162" t="s">
        <v>314</v>
      </c>
      <c r="D14" s="105" t="s">
        <v>128</v>
      </c>
      <c r="E14" s="104" t="str">
        <f>B14&amp;C14&amp;D14</f>
        <v>abilities_i18n_challengeunit02.tmp</v>
      </c>
      <c r="F14" s="105" t="s">
        <v>258</v>
      </c>
      <c r="G14" s="163" t="s">
        <v>254</v>
      </c>
      <c r="H14" s="163" t="s">
        <v>141</v>
      </c>
      <c r="I14" s="163" t="s">
        <v>259</v>
      </c>
      <c r="J14" s="163" t="s">
        <v>152</v>
      </c>
      <c r="K14" s="203" t="s">
        <v>364</v>
      </c>
      <c r="L14" s="105"/>
      <c r="M14" s="105"/>
      <c r="N14" s="105"/>
      <c r="O14" s="105"/>
      <c r="P14" s="105"/>
      <c r="Q14" s="105"/>
      <c r="R14" s="105"/>
      <c r="S14" s="105"/>
      <c r="T14" s="105"/>
      <c r="U14" s="105"/>
      <c r="V14" s="105"/>
      <c r="W14" s="105"/>
      <c r="X14" s="105"/>
      <c r="Y14" s="105"/>
      <c r="Z14" s="105"/>
      <c r="AA14" s="105"/>
      <c r="AB14" s="105"/>
      <c r="AC14" s="105"/>
    </row>
    <row r="15" spans="1:29" x14ac:dyDescent="0.15">
      <c r="A15" s="105" t="s">
        <v>316</v>
      </c>
      <c r="B15" s="105" t="s">
        <v>260</v>
      </c>
      <c r="C15" s="162" t="s">
        <v>314</v>
      </c>
      <c r="D15" s="105" t="s">
        <v>128</v>
      </c>
      <c r="E15" s="104" t="str">
        <f>B15&amp;C15&amp;D15</f>
        <v>unit_abilities_challengeunit02.tmp</v>
      </c>
      <c r="F15" s="105" t="s">
        <v>261</v>
      </c>
      <c r="G15" s="163" t="s">
        <v>138</v>
      </c>
      <c r="H15" s="165" t="s">
        <v>262</v>
      </c>
      <c r="I15" s="165" t="s">
        <v>263</v>
      </c>
      <c r="J15" s="166" t="s">
        <v>264</v>
      </c>
      <c r="K15" s="163" t="s">
        <v>265</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5"/>
  <sheetViews>
    <sheetView showGridLines="0" zoomScale="93" zoomScaleNormal="93" zoomScalePageLayoutView="93" workbookViewId="0">
      <pane xSplit="9" ySplit="1" topLeftCell="AY2" activePane="bottomRight" state="frozen"/>
      <selection pane="topRight" activeCell="J1" sqref="J1"/>
      <selection pane="bottomLeft" activeCell="A3" sqref="A3"/>
      <selection pane="bottomRight" activeCell="A5" sqref="A5:XFD5"/>
    </sheetView>
  </sheetViews>
  <sheetFormatPr baseColWidth="12" defaultColWidth="8.83203125" defaultRowHeight="21" customHeight="1" outlineLevelCol="1" x14ac:dyDescent="0.15"/>
  <cols>
    <col min="1" max="1" width="12.83203125" style="11" customWidth="1"/>
    <col min="2" max="2" width="21.5" style="12" bestFit="1" customWidth="1"/>
    <col min="3" max="3" width="23.6640625" style="12" customWidth="1" outlineLevel="1"/>
    <col min="4" max="4" width="8.6640625" style="12" customWidth="1" outlineLevel="1"/>
    <col min="5" max="5" width="8" style="12" customWidth="1" outlineLevel="1"/>
    <col min="6" max="6" width="7.1640625" style="12" customWidth="1" outlineLevel="1"/>
    <col min="7" max="7" width="9.6640625" style="12" bestFit="1" customWidth="1"/>
    <col min="8" max="8" width="13.6640625" style="12" bestFit="1" customWidth="1"/>
    <col min="9" max="9" width="10.5" style="12" bestFit="1" customWidth="1"/>
    <col min="10" max="10" width="59.5" style="12" customWidth="1" outlineLevel="1"/>
    <col min="11" max="13" width="13.6640625" style="12"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11" t="s">
        <v>324</v>
      </c>
    </row>
    <row r="2" spans="1:70" ht="26" customHeight="1" x14ac:dyDescent="0.15">
      <c r="A2" s="186">
        <v>1161</v>
      </c>
      <c r="B2" s="53" t="str">
        <f ca="1">VLOOKUP($A2,OFFSET([1]characters!$A$1,0,0,COUNTA([1]characters!$A:$A),MATCH(B$1,[1]characters!$1:$1,0)-MATCH($A$1,[1]characters!$1:$1,0)+1),MATCH(B$1,[1]characters!$1:$1,0)-MATCH($A$1,[1]characters!$1:$1,0)+1,FALSE)</f>
        <v>ヒルベルト</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unknown</v>
      </c>
      <c r="Z2" s="5" t="str">
        <f ca="1">VLOOKUP(Y2,[1]character_tribe_i18n!$A:$H,3,FALSE)</f>
        <v>Unknown</v>
      </c>
      <c r="AA2" s="10">
        <f ca="1">VLOOKUP(W2,[1]character_tribe_i18n!$A:$H,4,FALSE)</f>
        <v>1</v>
      </c>
      <c r="AB2" s="10">
        <f ca="1">VLOOKUP(W2,[1]character_tribe_i18n!$A:$H,5,FALSE)</f>
        <v>1</v>
      </c>
      <c r="AC2" s="10">
        <f ca="1">VLOOKUP(W2,[1]character_tribe_i18n!$A:$H,6,FALSE)</f>
        <v>1</v>
      </c>
      <c r="AD2" s="10">
        <f ca="1">VLOOKUP(W2,[1]character_tribe_i18n!$A:$H,7,FALSE)</f>
        <v>1</v>
      </c>
      <c r="AE2" s="187">
        <v>1162</v>
      </c>
      <c r="AF2" s="58" t="str">
        <f ca="1">IF(AE2="NULL","",VLOOKUP($AE2,OFFSET([1]characters!$A$1,0,0,COUNTA([1]characters!$A:$A),MATCH(AF$1,[1]characters!$1:$1,0)-MATCH($A$1,[1]characters!$1:$1,0)+1),MATCH(AF$1,[1]characters!$1:$1,0)-MATCH($A$1,[1]characters!$1:$1,0)+1,FALSE))</f>
        <v>夢験次元の抽唱 ヒルベルト</v>
      </c>
      <c r="AG2" s="187">
        <v>1161</v>
      </c>
      <c r="AH2" s="58" t="str">
        <f ca="1">VLOOKUP($AG2,OFFSET([1]characters!$A$1,0,0,COUNTA([1]characters!$A:$A),MATCH(AH$1,[1]characters!$1:$1,0)-MATCH($A$1,[1]characters!$1:$1,0)+1),MATCH(AH$1,[1]characters!$1:$1,0)-MATCH($A$1,[1]characters!$1:$1,0)+1,FALSE)</f>
        <v>ヒルベルト</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1161</v>
      </c>
      <c r="AQ2" s="53" t="str">
        <f ca="1">VLOOKUP($AP2,OFFSET(unit_skills!$A$1,0,0,COUNTA(unit_skills!$A:$A),MATCH(AQ$1,unit_skills!$1:$1,0)-MATCH($AP$1,unit_skills!$1:$1,0)+1),MATCH(AQ$1,unit_skills!$1:$1,0)-MATCH($AP$1,unit_skills!$1:$1,0)+1,FALSE)</f>
        <v>アンセム・テーゼ</v>
      </c>
      <c r="AR2" s="53" t="str">
        <f ca="1">VLOOKUP($AP2,OFFSET(unit_skills!$A$1,0,0,COUNTA(unit_skills!$A:$A),MATCH(AR$1,unit_skills!$1:$1,0)-MATCH($AP$1,unit_skills!$1:$1,0)+1),MATCH(AR$1,unit_skills!$1:$1,0)-MATCH($AP$1,unit_skills!$1:$1,0)+1,FALSE)</f>
        <v>敵1体の残りHPを20%減らす+2ターンの間、大カウンター</v>
      </c>
      <c r="AS2" s="53">
        <f ca="1">VLOOKUP($AP2,OFFSET(unit_skills!$A$1,0,0,COUNTA(unit_skills!$A:$A),MATCH(AS$1,unit_skills!$1:$1,0)-MATCH($AP$1,unit_skills!$1:$1,0)+1),MATCH(AS$1,unit_skills!$1:$1,0)-MATCH($AP$1,unit_skills!$1:$1,0)+1,FALSE)</f>
        <v>0</v>
      </c>
      <c r="AT2" s="63">
        <v>1161</v>
      </c>
      <c r="AU2" s="53" t="str">
        <f ca="1">VLOOKUP($AT2,OFFSET(crash_skills!$A$1,0,0,COUNTA(crash_skills!$A:$A),MATCH(AU$1,crash_skills!$1:$1,0)-MATCH($AT$1,crash_skills!$1:$1,0)+1),MATCH(AU$1,crash_skills!$1:$1,0)-MATCH($AT$1,crash_skills!$1:$1,0)+1,FALSE)</f>
        <v>ディーバ・アトラクション</v>
      </c>
      <c r="AV2" s="53" t="str">
        <f ca="1">VLOOKUP($AT2,OFFSET(crash_skills!$A$1,0,0,COUNTA(crash_skills!$A:$A),MATCH(AV$1,crash_skills!$1:$1,0)-MATCH($AT$1,crash_skills!$1:$1,0)+1),MATCH(AV$1,crash_skills!$1:$1,0)-MATCH($AT$1,crash_skills!$1:$1,0)+1,FALSE)</f>
        <v>1体に大ダメージ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0.94</v>
      </c>
      <c r="AZ2" s="64">
        <v>0.82</v>
      </c>
      <c r="BA2" s="64">
        <v>0</v>
      </c>
      <c r="BB2" s="64">
        <v>1.03</v>
      </c>
      <c r="BC2" s="10">
        <f ca="1">INDEX('RC6SV'!$A$1:$G$21,MATCH(H2,'RC6SV'!$A$1:$A$21,FALSE),MATCH(G2,'RC6SV'!$A$1:$G$1,FALSE))</f>
        <v>10000</v>
      </c>
      <c r="BD2" s="44">
        <f t="shared" ref="BD2" ca="1" si="2">ROUND(BC2*IF(AJ2=1,0.95,IF(AJ2=2,1,IF(AJ2,1.05,0))),0)</f>
        <v>10000</v>
      </c>
      <c r="BE2" s="10">
        <f ca="1">ROUND(IFERROR(INDIRECT(ADDRESS(MATCH($A2,$AE:$AE,0),MATCH($BC$1,$1:$1,0))),0),0)</f>
        <v>0</v>
      </c>
      <c r="BF2" s="10">
        <f ca="1">ROUND(IFERROR(INDIRECT(ADDRESS(MATCH($A2,$AE:$AE,0),10)),INDIRECT(ADDRESS(MATCH($A2,$A:$A,0),10))),0)</f>
        <v>1</v>
      </c>
      <c r="BG2" s="15">
        <f ca="1">IF($BE2&lt;=0,ROUND(BK2*0.5,0), ROUND($BE2*S2*AA2*J2*AY2*0.8*[1]ステータス!$B$2,0))</f>
        <v>2303</v>
      </c>
      <c r="BH2" s="15">
        <f ca="1">IF($BE2&lt;=0,ROUND(BL2*0.5,0), ROUND($BE2*T2*AB2*K2*AZ2*0.8*[1]ステータス!$C$2,0))</f>
        <v>1653</v>
      </c>
      <c r="BI2" s="15">
        <f ca="1">IF($BE2&lt;=0,ROUND(BM2*0.5,0), ROUND($BE2*U2*AC2*L2*BA2*0.8*[1]ステータス!$D$2,0))</f>
        <v>0</v>
      </c>
      <c r="BJ2" s="15">
        <f ca="1">IF($BE2&lt;=0,ROUND(BN2*0.5,0), ROUND($BE2*V2*AD2*M2*BB2*0.8*[1]ステータス!$E$2,0))</f>
        <v>872</v>
      </c>
      <c r="BK2" s="10">
        <f ca="1">ROUND(BD2*S2*AA2*J2*AY2*[1]ステータス!$B$2,0)</f>
        <v>4606</v>
      </c>
      <c r="BL2" s="10">
        <f ca="1">ROUND(BD2*T2*AB2*K2*AZ2*[1]ステータス!$C$2,0)</f>
        <v>3305</v>
      </c>
      <c r="BM2" s="10">
        <f ca="1">ROUND(BD2*U2*AC2*L2*BA2*[1]ステータス!$D$2,0)</f>
        <v>0</v>
      </c>
      <c r="BN2" s="10">
        <f ca="1">ROUND(BD2*V2*AD2*M2*BB2*[1]ステータス!$E$2,0)</f>
        <v>1743</v>
      </c>
      <c r="BO2" s="9">
        <v>0</v>
      </c>
      <c r="BP2" s="9">
        <v>1</v>
      </c>
      <c r="BQ2" s="36" t="s">
        <v>47</v>
      </c>
      <c r="BR2" s="11">
        <v>5500</v>
      </c>
    </row>
    <row r="3" spans="1:70" ht="26" customHeight="1" x14ac:dyDescent="0.15">
      <c r="A3" s="186">
        <v>1162</v>
      </c>
      <c r="B3" s="53" t="str">
        <f ca="1">VLOOKUP($A3,OFFSET([1]characters!$A$1,0,0,COUNTA([1]characters!$A:$A),MATCH(B$1,[1]characters!$1:$1,0)-MATCH($A$1,[1]characters!$1:$1,0)+1),MATCH(B$1,[1]characters!$1:$1,0)-MATCH($A$1,[1]characters!$1:$1,0)+1,FALSE)</f>
        <v>夢験次元の抽唱 ヒルベルト</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academia</v>
      </c>
      <c r="X3" s="5" t="str">
        <f ca="1">VLOOKUP(W3,[1]character_tribe_i18n!$A:$H,3,FALSE)</f>
        <v>アカデミア</v>
      </c>
      <c r="Y3" s="53" t="str">
        <f ca="1">VLOOKUP($A3,OFFSET([1]characters!$A$1,0,0,COUNTA([1]characters!$A:$A),MATCH(Y$1,[1]characters!$1:$1,0)-MATCH($A$1,[1]characters!$1:$1,0)+1),MATCH(Y$1,[1]characters!$1:$1,0)-MATCH($A$1,[1]characters!$1:$1,0)+1,FALSE)</f>
        <v>unknown</v>
      </c>
      <c r="Z3" s="5" t="str">
        <f ca="1">VLOOKUP(Y3,[1]character_tribe_i18n!$A:$H,3,FALSE)</f>
        <v>Unknown</v>
      </c>
      <c r="AA3" s="10">
        <f ca="1">VLOOKUP(W3,[1]character_tribe_i18n!$A:$H,4,FALSE)</f>
        <v>1</v>
      </c>
      <c r="AB3" s="10">
        <f ca="1">VLOOKUP(W3,[1]character_tribe_i18n!$A:$H,5,FALSE)</f>
        <v>1</v>
      </c>
      <c r="AC3" s="10">
        <f ca="1">VLOOKUP(W3,[1]character_tribe_i18n!$A:$H,6,FALSE)</f>
        <v>1</v>
      </c>
      <c r="AD3" s="10">
        <f ca="1">VLOOKUP(W3,[1]character_tribe_i18n!$A:$H,7,FALSE)</f>
        <v>1</v>
      </c>
      <c r="AE3" s="187">
        <v>1163</v>
      </c>
      <c r="AF3" s="58" t="str">
        <f ca="1">IF(AE3="NULL","",VLOOKUP($AE3,OFFSET([1]characters!$A$1,0,0,COUNTA([1]characters!$A:$A),MATCH(AF$1,[1]characters!$1:$1,0)-MATCH($A$1,[1]characters!$1:$1,0)+1),MATCH(AF$1,[1]characters!$1:$1,0)-MATCH($A$1,[1]characters!$1:$1,0)+1,FALSE))</f>
        <v>命題唱鳴計画 ヒルベルト</v>
      </c>
      <c r="AG3" s="187">
        <v>1161</v>
      </c>
      <c r="AH3" s="58" t="str">
        <f ca="1">VLOOKUP($AG3,OFFSET([1]characters!$A$1,0,0,COUNTA([1]characters!$A:$A),MATCH(AH$1,[1]characters!$1:$1,0)-MATCH($A$1,[1]characters!$1:$1,0)+1),MATCH(AH$1,[1]characters!$1:$1,0)-MATCH($A$1,[1]characters!$1:$1,0)+1,FALSE)</f>
        <v>ヒルベルト</v>
      </c>
      <c r="AI3" s="10">
        <f ca="1">IF(AE3="NULL","NULL",VLOOKUP(G3,ビット!$A$2:$B$7,2))</f>
        <v>200000</v>
      </c>
      <c r="AJ3" s="6">
        <v>2</v>
      </c>
      <c r="AK3" s="7" t="str">
        <f t="shared" ref="AK3" si="3">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1162</v>
      </c>
      <c r="AQ3" s="53" t="str">
        <f ca="1">VLOOKUP($AP3,OFFSET(unit_skills!$A$1,0,0,COUNTA(unit_skills!$A:$A),MATCH(AQ$1,unit_skills!$1:$1,0)-MATCH($AP$1,unit_skills!$1:$1,0)+1),MATCH(AQ$1,unit_skills!$1:$1,0)-MATCH($AP$1,unit_skills!$1:$1,0)+1,FALSE)</f>
        <v>アンセム・テーゼ・リプライズ</v>
      </c>
      <c r="AR3" s="53" t="str">
        <f ca="1">VLOOKUP($AP3,OFFSET(unit_skills!$A$1,0,0,COUNTA(unit_skills!$A:$A),MATCH(AR$1,unit_skills!$1:$1,0)-MATCH($AP$1,unit_skills!$1:$1,0)+1),MATCH(AR$1,unit_skills!$1:$1,0)-MATCH($AP$1,unit_skills!$1:$1,0)+1,FALSE)</f>
        <v>敵1体の残りHPを30%減らす+3ターンの間、味方全体の攻撃力UP(青パネルを吸収し効果UP)、大カウンター</v>
      </c>
      <c r="AS3" s="53">
        <f ca="1">VLOOKUP($AP3,OFFSET(unit_skills!$A$1,0,0,COUNTA(unit_skills!$A:$A),MATCH(AS$1,unit_skills!$1:$1,0)-MATCH($AP$1,unit_skills!$1:$1,0)+1),MATCH(AS$1,unit_skills!$1:$1,0)-MATCH($AP$1,unit_skills!$1:$1,0)+1,FALSE)</f>
        <v>0</v>
      </c>
      <c r="AT3" s="63">
        <v>1162</v>
      </c>
      <c r="AU3" s="53" t="str">
        <f ca="1">VLOOKUP($AT3,OFFSET(crash_skills!$A$1,0,0,COUNTA(crash_skills!$A:$A),MATCH(AU$1,crash_skills!$1:$1,0)-MATCH($AT$1,crash_skills!$1:$1,0)+1),MATCH(AU$1,crash_skills!$1:$1,0)-MATCH($AT$1,crash_skills!$1:$1,0)+1,FALSE)</f>
        <v>ディーバ・アトラクション</v>
      </c>
      <c r="AV3" s="53" t="str">
        <f ca="1">VLOOKUP($AT3,OFFSET(crash_skills!$A$1,0,0,COUNTA(crash_skills!$A:$A),MATCH(AV$1,crash_skills!$1:$1,0)-MATCH($AT$1,crash_skills!$1:$1,0)+1),MATCH(AV$1,crash_skills!$1:$1,0)-MATCH($AT$1,crash_skills!$1:$1,0)+1,FALSE)</f>
        <v>1体に大ダメージ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0.94</v>
      </c>
      <c r="AZ3" s="64">
        <v>0.82</v>
      </c>
      <c r="BA3" s="64">
        <v>0</v>
      </c>
      <c r="BB3" s="64">
        <v>1.03</v>
      </c>
      <c r="BC3" s="10">
        <f ca="1">INDEX('RC6SV'!$A$1:$G$21,MATCH(H3,'RC6SV'!$A$1:$A$21,FALSE),MATCH(G3,'RC6SV'!$A$1:$G$1,FALSE))</f>
        <v>14000</v>
      </c>
      <c r="BD3" s="44">
        <f t="shared" ref="BD3" ca="1" si="4">ROUND(BC3*IF(AJ3=1,0.95,IF(AJ3=2,1,IF(AJ3,1.05,0))),0)</f>
        <v>14000</v>
      </c>
      <c r="BE3" s="10">
        <f ca="1">ROUND(IFERROR(INDIRECT(ADDRESS(MATCH($A3,$AE:$AE,0),MATCH($BC$1,$1:$1,0))),0),0)</f>
        <v>10000</v>
      </c>
      <c r="BF3" s="10">
        <f ca="1">ROUND(IFERROR(INDIRECT(ADDRESS(MATCH($A3,$AE:$AE,0),10)),INDIRECT(ADDRESS(MATCH($A3,$A:$A,0),10))),0)</f>
        <v>1</v>
      </c>
      <c r="BG3" s="15">
        <f ca="1">IF($BE3&lt;=0,ROUND(BK3*0.5,0), ROUND($BE3*S3*AA3*J3*AY3*0.8*[1]ステータス!$B$2,0))</f>
        <v>3685</v>
      </c>
      <c r="BH3" s="15">
        <f ca="1">IF($BE3&lt;=0,ROUND(BL3*0.5,0), ROUND($BE3*T3*AB3*K3*AZ3*0.8*[1]ステータス!$C$2,0))</f>
        <v>2644</v>
      </c>
      <c r="BI3" s="15">
        <f ca="1">IF($BE3&lt;=0,ROUND(BM3*0.5,0), ROUND($BE3*U3*AC3*L3*BA3*0.8*[1]ステータス!$D$2,0))</f>
        <v>0</v>
      </c>
      <c r="BJ3" s="15">
        <f ca="1">IF($BE3&lt;=0,ROUND(BN3*0.5,0), ROUND($BE3*V3*AD3*M3*BB3*0.8*[1]ステータス!$E$2,0))</f>
        <v>1394</v>
      </c>
      <c r="BK3" s="10">
        <f ca="1">ROUND(BD3*S3*AA3*J3*AY3*[1]ステータス!$B$2,0)</f>
        <v>6448</v>
      </c>
      <c r="BL3" s="10">
        <f ca="1">ROUND(BD3*T3*AB3*K3*AZ3*[1]ステータス!$C$2,0)</f>
        <v>4626</v>
      </c>
      <c r="BM3" s="10">
        <f ca="1">ROUND(BD3*U3*AC3*L3*BA3*[1]ステータス!$D$2,0)</f>
        <v>0</v>
      </c>
      <c r="BN3" s="10">
        <f ca="1">ROUND(BD3*V3*AD3*M3*BB3*[1]ステータス!$E$2,0)</f>
        <v>2440</v>
      </c>
      <c r="BO3" s="9">
        <v>0</v>
      </c>
      <c r="BP3" s="9">
        <v>1</v>
      </c>
      <c r="BQ3" s="9" t="s">
        <v>47</v>
      </c>
      <c r="BR3" s="11">
        <v>5500</v>
      </c>
    </row>
    <row r="4" spans="1:70" ht="26" customHeight="1" x14ac:dyDescent="0.15">
      <c r="A4" s="186">
        <v>1163</v>
      </c>
      <c r="B4" s="53" t="str">
        <f ca="1">VLOOKUP($A4,OFFSET([1]characters!$A$1,0,0,COUNTA([1]characters!$A:$A),MATCH(B$1,[1]characters!$1:$1,0)-MATCH($A$1,[1]characters!$1:$1,0)+1),MATCH(B$1,[1]characters!$1:$1,0)-MATCH($A$1,[1]characters!$1:$1,0)+1,FALSE)</f>
        <v>命題唱鳴計画 ヒルベルト</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yellow</v>
      </c>
      <c r="J4" s="10">
        <f ca="1">VLOOKUP(I4,[1]属性!$A:$E,2,FALSE)</f>
        <v>0.98</v>
      </c>
      <c r="K4" s="10">
        <f ca="1">VLOOKUP(I4,[1]属性!$A:$E,3,FALSE)</f>
        <v>1.01</v>
      </c>
      <c r="L4" s="10">
        <f ca="1">VLOOKUP(I4,[1]属性!$A:$E,4,FALSE)</f>
        <v>1</v>
      </c>
      <c r="M4" s="10">
        <f ca="1">VLOOKUP(I4,[1]属性!$A:$E,5,FALSE)</f>
        <v>1.01</v>
      </c>
      <c r="N4" s="10">
        <f ca="1">INDEX(コスト!$A$1:$I$21,MATCH(H4,コスト!$A$1:$A$21,FALSE),MATCH(G4,コスト!$A$1:$I$1,FALSE))</f>
        <v>55</v>
      </c>
      <c r="O4" s="10">
        <f ca="1">INDEX(レベル!$A$1:$I$22,MATCH(H4,レベル!$A$1:$A$22,FALSE),MATCH(G4,レベル!$A$1:$I$1,FALSE))</f>
        <v>99</v>
      </c>
      <c r="P4" s="44">
        <f t="shared" ref="P4" ca="1" si="5">IF(G4 &gt;= 6, 99,G4*15)</f>
        <v>99</v>
      </c>
      <c r="Q4" s="53" t="str">
        <f ca="1">VLOOKUP($A4,OFFSET([1]characters!$A$1,0,0,COUNTA([1]characters!$A:$A),MATCH(Q$1,[1]characters!$1:$1,0)-MATCH($A$1,[1]characters!$1:$1,0)+1),MATCH(Q$1,[1]characters!$1:$1,0)-MATCH($A$1,[1]characters!$1:$1,0)+1,FALSE)</f>
        <v>attack</v>
      </c>
      <c r="R4" s="5" t="str">
        <f ca="1">VLOOKUP(Q4,[1]character_type_i18n!$A:$H,3,FALSE)</f>
        <v>攻撃タイプ</v>
      </c>
      <c r="S4" s="10">
        <f ca="1">VLOOKUP(Q4,[1]character_type_i18n!$A:$H,4,FALSE)</f>
        <v>1</v>
      </c>
      <c r="T4" s="10">
        <f ca="1">VLOOKUP(Q4,[1]character_type_i18n!$A:$H,5,FALSE)</f>
        <v>1.33</v>
      </c>
      <c r="U4" s="10">
        <f ca="1">VLOOKUP(Q4,[1]character_type_i18n!$A:$H,6,FALSE)</f>
        <v>1</v>
      </c>
      <c r="V4" s="10">
        <f ca="1">VLOOKUP(Q4,[1]character_type_i18n!$A:$H,7,FALSE)</f>
        <v>0.67</v>
      </c>
      <c r="W4" s="53" t="str">
        <f ca="1">VLOOKUP($A4,OFFSET([1]characters!$A$1,0,0,COUNTA([1]characters!$A:$A),MATCH(W$1,[1]characters!$1:$1,0)-MATCH($A$1,[1]characters!$1:$1,0)+1),MATCH(W$1,[1]characters!$1:$1,0)-MATCH($A$1,[1]characters!$1:$1,0)+1,FALSE)</f>
        <v>academia</v>
      </c>
      <c r="X4" s="5" t="str">
        <f ca="1">VLOOKUP(W4,[1]character_tribe_i18n!$A:$H,3,FALSE)</f>
        <v>アカデミア</v>
      </c>
      <c r="Y4" s="53" t="str">
        <f ca="1">VLOOKUP($A4,OFFSET([1]characters!$A$1,0,0,COUNTA([1]characters!$A:$A),MATCH(Y$1,[1]characters!$1:$1,0)-MATCH($A$1,[1]characters!$1:$1,0)+1),MATCH(Y$1,[1]characters!$1:$1,0)-MATCH($A$1,[1]characters!$1:$1,0)+1,FALSE)</f>
        <v>unknown</v>
      </c>
      <c r="Z4" s="5" t="str">
        <f ca="1">VLOOKUP(Y4,[1]character_tribe_i18n!$A:$H,3,FALSE)</f>
        <v>Unknown</v>
      </c>
      <c r="AA4" s="10">
        <f ca="1">VLOOKUP(W4,[1]character_tribe_i18n!$A:$H,4,FALSE)</f>
        <v>1</v>
      </c>
      <c r="AB4" s="10">
        <f ca="1">VLOOKUP(W4,[1]character_tribe_i18n!$A:$H,5,FALSE)</f>
        <v>1</v>
      </c>
      <c r="AC4" s="10">
        <f ca="1">VLOOKUP(W4,[1]character_tribe_i18n!$A:$H,6,FALSE)</f>
        <v>1</v>
      </c>
      <c r="AD4" s="10">
        <f ca="1">VLOOKUP(W4,[1]character_tribe_i18n!$A:$H,7,FALSE)</f>
        <v>1</v>
      </c>
      <c r="AE4" s="187">
        <v>1162</v>
      </c>
      <c r="AF4" s="58" t="str">
        <f ca="1">IF(AE4="NULL","",VLOOKUP($AE4,OFFSET([1]characters!$A$1,0,0,COUNTA([1]characters!$A:$A),MATCH(AF$1,[1]characters!$1:$1,0)-MATCH($A$1,[1]characters!$1:$1,0)+1),MATCH(AF$1,[1]characters!$1:$1,0)-MATCH($A$1,[1]characters!$1:$1,0)+1,FALSE))</f>
        <v>夢験次元の抽唱 ヒルベルト</v>
      </c>
      <c r="AG4" s="187">
        <v>1161</v>
      </c>
      <c r="AH4" s="58" t="str">
        <f ca="1">VLOOKUP($AG4,OFFSET([1]characters!$A$1,0,0,COUNTA([1]characters!$A:$A),MATCH(AH$1,[1]characters!$1:$1,0)-MATCH($A$1,[1]characters!$1:$1,0)+1),MATCH(AH$1,[1]characters!$1:$1,0)-MATCH($A$1,[1]characters!$1:$1,0)+1,FALSE)</f>
        <v>ヒルベルト</v>
      </c>
      <c r="AI4" s="10">
        <f ca="1">IF(AE4="NULL","NULL",VLOOKUP(G4,ビット!$A$2:$B$7,2))</f>
        <v>200000</v>
      </c>
      <c r="AJ4" s="6">
        <v>2</v>
      </c>
      <c r="AK4" s="7" t="str">
        <f t="shared" ref="AK4" si="6">IF(AJ4=1,"早熟",IF(AJ4=2,"普通",IF(AJ4=3,"晩成","")))</f>
        <v>普通</v>
      </c>
      <c r="AL4" s="10" t="str">
        <f ca="1">INDEX(経験値!$A$1:$I$21,MATCH(H4,経験値!$A$1:$A$21,FALSE),MATCH(G4,経験値!$A$1:$I$1,FALSE))</f>
        <v>required_exp_300</v>
      </c>
      <c r="AM4" s="8">
        <f ca="1">VLOOKUP(G4,経験値!$A$28:$B$32,2)</f>
        <v>6400</v>
      </c>
      <c r="AN4" s="16">
        <f ca="1">VLOOKUP(G4,ビット!$G$2:$H$7,2)</f>
        <v>900</v>
      </c>
      <c r="AO4" s="41"/>
      <c r="AP4" s="63">
        <v>1163</v>
      </c>
      <c r="AQ4" s="53" t="str">
        <f ca="1">VLOOKUP($AP4,OFFSET(unit_skills!$A$1,0,0,COUNTA(unit_skills!$A:$A),MATCH(AQ$1,unit_skills!$1:$1,0)-MATCH($AP$1,unit_skills!$1:$1,0)+1),MATCH(AQ$1,unit_skills!$1:$1,0)-MATCH($AP$1,unit_skills!$1:$1,0)+1,FALSE)</f>
        <v>アンセム・テーゼ・アンコール</v>
      </c>
      <c r="AR4" s="53" t="str">
        <f ca="1">VLOOKUP($AP4,OFFSET(unit_skills!$A$1,0,0,COUNTA(unit_skills!$A:$A),MATCH(AR$1,unit_skills!$1:$1,0)-MATCH($AP$1,unit_skills!$1:$1,0)+1),MATCH(AR$1,unit_skills!$1:$1,0)-MATCH($AP$1,unit_skills!$1:$1,0)+1,FALSE)</f>
        <v>パネルをランダムで3つSCパネル(威力大)に変換+2ターン黄属性の攻撃力を大UPし、1ターン青パネルが出現しない</v>
      </c>
      <c r="AS4" s="53">
        <f ca="1">VLOOKUP($AP4,OFFSET(unit_skills!$A$1,0,0,COUNTA(unit_skills!$A:$A),MATCH(AS$1,unit_skills!$1:$1,0)-MATCH($AP$1,unit_skills!$1:$1,0)+1),MATCH(AS$1,unit_skills!$1:$1,0)-MATCH($AP$1,unit_skills!$1:$1,0)+1,FALSE)</f>
        <v>0</v>
      </c>
      <c r="AT4" s="63">
        <v>1163</v>
      </c>
      <c r="AU4" s="53" t="str">
        <f ca="1">VLOOKUP($AT4,OFFSET(crash_skills!$A$1,0,0,COUNTA(crash_skills!$A:$A),MATCH(AU$1,crash_skills!$1:$1,0)-MATCH($AT$1,crash_skills!$1:$1,0)+1),MATCH(AU$1,crash_skills!$1:$1,0)-MATCH($AT$1,crash_skills!$1:$1,0)+1,FALSE)</f>
        <v>ディーバ・アブストラクション</v>
      </c>
      <c r="AV4" s="53" t="str">
        <f ca="1">VLOOKUP($AT4,OFFSET(crash_skills!$A$1,0,0,COUNTA(crash_skills!$A:$A),MATCH(AV$1,crash_skills!$1:$1,0)-MATCH($AT$1,crash_skills!$1:$1,0)+1),MATCH(AV$1,crash_skills!$1:$1,0)-MATCH($AT$1,crash_skills!$1:$1,0)+1,FALSE)</f>
        <v>1体に特大ダメージ_x000D_種族Unknownに効果超大</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1.05</v>
      </c>
      <c r="AZ4" s="64">
        <v>0.93</v>
      </c>
      <c r="BA4" s="64">
        <v>0</v>
      </c>
      <c r="BB4" s="64">
        <v>1.02</v>
      </c>
      <c r="BC4" s="10">
        <f ca="1">INDEX('RC6SV'!$A$1:$G$21,MATCH(H4,'RC6SV'!$A$1:$A$21,FALSE),MATCH(G4,'RC6SV'!$A$1:$G$1,FALSE))</f>
        <v>14000</v>
      </c>
      <c r="BD4" s="44">
        <f t="shared" ref="BD4" ca="1" si="7">ROUND(BC4*IF(AJ4=1,0.95,IF(AJ4=2,1,IF(AJ4,1.05,0))),0)</f>
        <v>14000</v>
      </c>
      <c r="BE4" s="10">
        <f ca="1">ROUND(IFERROR(INDIRECT(ADDRESS(MATCH($A4,$AE:$AE,0),MATCH($BC$1,$1:$1,0))),0),0)</f>
        <v>14000</v>
      </c>
      <c r="BF4" s="10">
        <f ca="1">ROUND(IFERROR(INDIRECT(ADDRESS(MATCH($A4,$AE:$AE,0),10)),INDIRECT(ADDRESS(MATCH($A4,$A:$A,0),10))),0)</f>
        <v>1</v>
      </c>
      <c r="BG4" s="15">
        <f ca="1">IF($BE4&lt;=0,ROUND(BK4*0.5,0), ROUND($BE4*S4*AA4*J4*AY4*0.8*[1]ステータス!$B$2,0))</f>
        <v>5762</v>
      </c>
      <c r="BH4" s="15">
        <f ca="1">IF($BE4&lt;=0,ROUND(BL4*0.5,0), ROUND($BE4*T4*AB4*K4*AZ4*0.8*[1]ステータス!$C$2,0))</f>
        <v>4198</v>
      </c>
      <c r="BI4" s="15">
        <f ca="1">IF($BE4&lt;=0,ROUND(BM4*0.5,0), ROUND($BE4*U4*AC4*L4*BA4*0.8*[1]ステータス!$D$2,0))</f>
        <v>0</v>
      </c>
      <c r="BJ4" s="15">
        <f ca="1">IF($BE4&lt;=0,ROUND(BN4*0.5,0), ROUND($BE4*V4*AD4*M4*BB4*0.8*[1]ステータス!$E$2,0))</f>
        <v>1933</v>
      </c>
      <c r="BK4" s="10">
        <f ca="1">ROUND(BD4*S4*AA4*J4*AY4*[1]ステータス!$B$2,0)</f>
        <v>7203</v>
      </c>
      <c r="BL4" s="10">
        <f ca="1">ROUND(BD4*T4*AB4*K4*AZ4*[1]ステータス!$C$2,0)</f>
        <v>5247</v>
      </c>
      <c r="BM4" s="10">
        <f ca="1">ROUND(BD4*U4*AC4*L4*BA4*[1]ステータス!$D$2,0)</f>
        <v>0</v>
      </c>
      <c r="BN4" s="10">
        <f ca="1">ROUND(BD4*V4*AD4*M4*BB4*[1]ステータス!$E$2,0)</f>
        <v>2416</v>
      </c>
      <c r="BO4" s="9">
        <v>0</v>
      </c>
      <c r="BP4" s="9">
        <v>1</v>
      </c>
      <c r="BQ4" s="9" t="s">
        <v>47</v>
      </c>
      <c r="BR4" s="11">
        <v>5500</v>
      </c>
    </row>
    <row r="5" spans="1:70" ht="26" customHeight="1" x14ac:dyDescent="0.15">
      <c r="A5" s="186">
        <v>1170</v>
      </c>
      <c r="B5" s="53" t="str">
        <f ca="1">VLOOKUP($A5,OFFSET([1]characters!$A$1,0,0,COUNTA([1]characters!$A:$A),MATCH(B$1,[1]characters!$1:$1,0)-MATCH($A$1,[1]characters!$1:$1,0)+1),MATCH(B$1,[1]characters!$1:$1,0)-MATCH($A$1,[1]characters!$1:$1,0)+1,FALSE)</f>
        <v>極彩龍筆 ヘイウェイ</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red</v>
      </c>
      <c r="J5" s="10">
        <f ca="1">VLOOKUP(I5,[1]属性!$A:$E,2,FALSE)</f>
        <v>1</v>
      </c>
      <c r="K5" s="10">
        <f ca="1">VLOOKUP(I5,[1]属性!$A:$E,3,FALSE)</f>
        <v>1.02</v>
      </c>
      <c r="L5" s="10">
        <f ca="1">VLOOKUP(I5,[1]属性!$A:$E,4,FALSE)</f>
        <v>1</v>
      </c>
      <c r="M5" s="10">
        <f ca="1">VLOOKUP(I5,[1]属性!$A:$E,5,FALSE)</f>
        <v>0.98</v>
      </c>
      <c r="N5" s="10">
        <f ca="1">INDEX(コスト!$A$1:$I$21,MATCH(H5,コスト!$A$1:$A$21,FALSE),MATCH(G5,コスト!$A$1:$I$1,FALSE))</f>
        <v>55</v>
      </c>
      <c r="O5" s="10">
        <f ca="1">INDEX(レベル!$A$1:$I$22,MATCH(H5,レベル!$A$1:$A$22,FALSE),MATCH(G5,レベル!$A$1:$I$1,FALSE))</f>
        <v>99</v>
      </c>
      <c r="P5" s="44">
        <f t="shared" ref="P5" ca="1" si="8">IF(G5 &gt;= 6, 99,G5*15)</f>
        <v>99</v>
      </c>
      <c r="Q5" s="53" t="str">
        <f ca="1">VLOOKUP($A5,OFFSET([1]characters!$A$1,0,0,COUNTA([1]characters!$A:$A),MATCH(Q$1,[1]characters!$1:$1,0)-MATCH($A$1,[1]characters!$1:$1,0)+1),MATCH(Q$1,[1]characters!$1:$1,0)-MATCH($A$1,[1]characters!$1:$1,0)+1,FALSE)</f>
        <v>technical</v>
      </c>
      <c r="R5" s="5" t="str">
        <f ca="1">VLOOKUP(Q5,[1]character_type_i18n!$A:$H,3,FALSE)</f>
        <v>テクニカルタイプ</v>
      </c>
      <c r="S5" s="10">
        <f ca="1">VLOOKUP(Q5,[1]character_type_i18n!$A:$H,4,FALSE)</f>
        <v>0.9</v>
      </c>
      <c r="T5" s="10">
        <f ca="1">VLOOKUP(Q5,[1]character_type_i18n!$A:$H,5,FALSE)</f>
        <v>0.9</v>
      </c>
      <c r="U5" s="10">
        <f ca="1">VLOOKUP(Q5,[1]character_type_i18n!$A:$H,6,FALSE)</f>
        <v>1</v>
      </c>
      <c r="V5" s="10">
        <f ca="1">VLOOKUP(Q5,[1]character_type_i18n!$A:$H,7,FALSE)</f>
        <v>0.9</v>
      </c>
      <c r="W5" s="53" t="str">
        <f ca="1">VLOOKUP($A5,OFFSET([1]characters!$A$1,0,0,COUNTA([1]characters!$A:$A),MATCH(W$1,[1]characters!$1:$1,0)-MATCH($A$1,[1]characters!$1:$1,0)+1),MATCH(W$1,[1]characters!$1:$1,0)-MATCH($A$1,[1]characters!$1:$1,0)+1,FALSE)</f>
        <v>dragon</v>
      </c>
      <c r="X5" s="5" t="str">
        <f ca="1">VLOOKUP(W5,[1]character_tribe_i18n!$A:$H,3,FALSE)</f>
        <v>ドラゴン</v>
      </c>
      <c r="Y5" s="53" t="str">
        <f ca="1">VLOOKUP($A5,OFFSET([1]characters!$A$1,0,0,COUNTA([1]characters!$A:$A),MATCH(Y$1,[1]characters!$1:$1,0)-MATCH($A$1,[1]characters!$1:$1,0)+1),MATCH(Y$1,[1]characters!$1:$1,0)-MATCH($A$1,[1]characters!$1:$1,0)+1,FALSE)</f>
        <v>unknown</v>
      </c>
      <c r="Z5" s="5" t="str">
        <f ca="1">VLOOKUP(Y5,[1]character_tribe_i18n!$A:$H,3,FALSE)</f>
        <v>Unknown</v>
      </c>
      <c r="AA5" s="10">
        <f ca="1">VLOOKUP(W5,[1]character_tribe_i18n!$A:$H,4,FALSE)</f>
        <v>1.1499999999999999</v>
      </c>
      <c r="AB5" s="10">
        <f ca="1">VLOOKUP(W5,[1]character_tribe_i18n!$A:$H,5,FALSE)</f>
        <v>1.1000000000000001</v>
      </c>
      <c r="AC5" s="10">
        <f ca="1">VLOOKUP(W5,[1]character_tribe_i18n!$A:$H,6,FALSE)</f>
        <v>1</v>
      </c>
      <c r="AD5" s="10">
        <f ca="1">VLOOKUP(W5,[1]character_tribe_i18n!$A:$H,7,FALSE)</f>
        <v>0.75</v>
      </c>
      <c r="AE5" s="187">
        <v>787</v>
      </c>
      <c r="AF5" s="58" t="str">
        <f ca="1">IF(AE5="NULL","",VLOOKUP($AE5,OFFSET([1]characters!$A$1,0,0,COUNTA([1]characters!$A:$A),MATCH(AF$1,[1]characters!$1:$1,0)-MATCH($A$1,[1]characters!$1:$1,0)+1),MATCH(AF$1,[1]characters!$1:$1,0)-MATCH($A$1,[1]characters!$1:$1,0)+1,FALSE))</f>
        <v>極閃描牙 ヘイウェイ</v>
      </c>
      <c r="AG5" s="187">
        <v>786</v>
      </c>
      <c r="AH5" s="58" t="str">
        <f ca="1">VLOOKUP($AG5,OFFSET([1]characters!$A$1,0,0,COUNTA([1]characters!$A:$A),MATCH(AH$1,[1]characters!$1:$1,0)-MATCH($A$1,[1]characters!$1:$1,0)+1),MATCH(AH$1,[1]characters!$1:$1,0)-MATCH($A$1,[1]characters!$1:$1,0)+1,FALSE)</f>
        <v>ヘイウェイ</v>
      </c>
      <c r="AI5" s="10">
        <f ca="1">IF(AE5="NULL","NULL",VLOOKUP(G5,ビット!$A$2:$B$7,2))</f>
        <v>200000</v>
      </c>
      <c r="AJ5" s="6">
        <v>2</v>
      </c>
      <c r="AK5" s="7" t="str">
        <f t="shared" ref="AK5" si="9">IF(AJ5=1,"早熟",IF(AJ5=2,"普通",IF(AJ5=3,"晩成","")))</f>
        <v>普通</v>
      </c>
      <c r="AL5" s="10" t="str">
        <f ca="1">INDEX(経験値!$A$1:$I$21,MATCH(H5,経験値!$A$1:$A$21,FALSE),MATCH(G5,経験値!$A$1:$I$1,FALSE))</f>
        <v>required_exp_300</v>
      </c>
      <c r="AM5" s="8">
        <f ca="1">VLOOKUP(G5,経験値!$A$28:$B$32,2)</f>
        <v>6400</v>
      </c>
      <c r="AN5" s="16">
        <f ca="1">VLOOKUP(G5,ビット!$G$2:$H$7,2)</f>
        <v>900</v>
      </c>
      <c r="AO5" s="41"/>
      <c r="AP5" s="63">
        <v>1170</v>
      </c>
      <c r="AQ5" s="53" t="str">
        <f ca="1">VLOOKUP($AP5,OFFSET(unit_skills!$A$1,0,0,COUNTA(unit_skills!$A:$A),MATCH(AQ$1,unit_skills!$1:$1,0)-MATCH($AP$1,unit_skills!$1:$1,0)+1),MATCH(AQ$1,unit_skills!$1:$1,0)-MATCH($AP$1,unit_skills!$1:$1,0)+1,FALSE)</f>
        <v>画竜点醒・フラクタル</v>
      </c>
      <c r="AR5" s="53" t="str">
        <f ca="1">VLOOKUP($AP5,OFFSET(unit_skills!$A$1,0,0,COUNTA(unit_skills!$A:$A),MATCH(AR$1,unit_skills!$1:$1,0)-MATCH($AP$1,unit_skills!$1:$1,0)+1),MATCH(AR$1,unit_skills!$1:$1,0)-MATCH($AP$1,unit_skills!$1:$1,0)+1,FALSE)</f>
        <v>時限式パネルをSCPに、青パネルをハートボムに変換+3ターン全ユニットの回復力UP(ダメージ・黄パネルを吸収し効果UP)</v>
      </c>
      <c r="AS5" s="53">
        <f ca="1">VLOOKUP($AP5,OFFSET(unit_skills!$A$1,0,0,COUNTA(unit_skills!$A:$A),MATCH(AS$1,unit_skills!$1:$1,0)-MATCH($AP$1,unit_skills!$1:$1,0)+1),MATCH(AS$1,unit_skills!$1:$1,0)-MATCH($AP$1,unit_skills!$1:$1,0)+1,FALSE)</f>
        <v>0</v>
      </c>
      <c r="AT5" s="63">
        <v>1170</v>
      </c>
      <c r="AU5" s="53" t="str">
        <f ca="1">VLOOKUP($AT5,OFFSET(crash_skills!$A$1,0,0,COUNTA(crash_skills!$A:$A),MATCH(AU$1,crash_skills!$1:$1,0)-MATCH($AT$1,crash_skills!$1:$1,0)+1),MATCH(AU$1,crash_skills!$1:$1,0)-MATCH($AT$1,crash_skills!$1:$1,0)+1,FALSE)</f>
        <v>プロミネンス・スクリーン</v>
      </c>
      <c r="AV5" s="53" t="str">
        <f ca="1">VLOOKUP($AT5,OFFSET(crash_skills!$A$1,0,0,COUNTA(crash_skills!$A:$A),MATCH(AV$1,crash_skills!$1:$1,0)-MATCH($AT$1,crash_skills!$1:$1,0)+1),MATCH(AV$1,crash_skills!$1:$1,0)-MATCH($AT$1,crash_skills!$1:$1,0)+1,FALSE)</f>
        <v>1体に超大ダメージ+_x000D_HP回復</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0.877</v>
      </c>
      <c r="AZ5" s="64">
        <v>1.1080000000000001</v>
      </c>
      <c r="BA5" s="64">
        <v>0</v>
      </c>
      <c r="BB5" s="64">
        <v>1.5329999999999999</v>
      </c>
      <c r="BC5" s="10">
        <f ca="1">INDEX('RC6SV'!$A$1:$G$21,MATCH(H5,'RC6SV'!$A$1:$A$21,FALSE),MATCH(G5,'RC6SV'!$A$1:$G$1,FALSE))</f>
        <v>14000</v>
      </c>
      <c r="BD5" s="44">
        <f t="shared" ref="BD5" ca="1" si="10">ROUND(BC5*IF(AJ5=1,0.95,IF(AJ5=2,1,IF(AJ5,1.05,0))),0)</f>
        <v>14000</v>
      </c>
      <c r="BE5" s="10">
        <f ca="1">ROUND(IFERROR(INDIRECT(ADDRESS(MATCH($A5,$AE:$AE,0),MATCH($BC$1,$1:$1,0))),0),0)</f>
        <v>0</v>
      </c>
      <c r="BF5" s="10">
        <f ca="1">ROUND(IFERROR(INDIRECT(ADDRESS(MATCH($A5,$AE:$AE,0),10)),INDIRECT(ADDRESS(MATCH($A5,$A:$A,0),10))),0)</f>
        <v>1</v>
      </c>
      <c r="BG5" s="15">
        <f ca="1">IF($BE5&lt;=0,ROUND(BK5*0.5,0), ROUND($BE5*S5*AA5*J5*AY5*0.8*[1]ステータス!$B$2,0))</f>
        <v>3177</v>
      </c>
      <c r="BH5" s="15">
        <f ca="1">IF($BE5&lt;=0,ROUND(BL5*0.5,0), ROUND($BE5*T5*AB5*K5*AZ5*0.8*[1]ステータス!$C$2,0))</f>
        <v>2350</v>
      </c>
      <c r="BI5" s="15">
        <f ca="1">IF($BE5&lt;=0,ROUND(BM5*0.5,0), ROUND($BE5*U5*AC5*L5*BA5*0.8*[1]ステータス!$D$2,0))</f>
        <v>0</v>
      </c>
      <c r="BJ5" s="15">
        <f ca="1">IF($BE5&lt;=0,ROUND(BN5*0.5,0), ROUND($BE5*V5*AD5*M5*BB5*0.8*[1]ステータス!$E$2,0))</f>
        <v>1775</v>
      </c>
      <c r="BK5" s="10">
        <f ca="1">ROUND(BD5*S5*AA5*J5*AY5*[1]ステータス!$B$2,0)</f>
        <v>6354</v>
      </c>
      <c r="BL5" s="10">
        <f ca="1">ROUND(BD5*T5*AB5*K5*AZ5*[1]ステータス!$C$2,0)</f>
        <v>4699</v>
      </c>
      <c r="BM5" s="10">
        <f ca="1">ROUND(BD5*U5*AC5*L5*BA5*[1]ステータス!$D$2,0)</f>
        <v>0</v>
      </c>
      <c r="BN5" s="10">
        <f ca="1">ROUND(BD5*V5*AD5*M5*BB5*[1]ステータス!$E$2,0)</f>
        <v>3549</v>
      </c>
      <c r="BO5" s="9">
        <v>0</v>
      </c>
      <c r="BP5" s="9">
        <v>1</v>
      </c>
      <c r="BQ5" s="9" t="s">
        <v>47</v>
      </c>
      <c r="BR5" s="11">
        <v>5500</v>
      </c>
    </row>
  </sheetData>
  <autoFilter ref="A1:BQ1"/>
  <phoneticPr fontId="10"/>
  <conditionalFormatting sqref="BO1">
    <cfRule type="cellIs" dxfId="38" priority="120" stopIfTrue="1" operator="equal">
      <formula>1</formula>
    </cfRule>
  </conditionalFormatting>
  <conditionalFormatting sqref="BQ1">
    <cfRule type="cellIs" dxfId="3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5"/>
  <sheetViews>
    <sheetView showGridLines="0" zoomScale="115" workbookViewId="0">
      <pane xSplit="4" ySplit="1" topLeftCell="E2" activePane="bottomRight" state="frozen"/>
      <selection pane="topRight" activeCell="D1" sqref="D1"/>
      <selection pane="bottomLeft" activeCell="A2" sqref="A2"/>
      <selection pane="bottomRight" activeCell="H11" sqref="H11"/>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183</v>
      </c>
      <c r="K1" s="118" t="s">
        <v>4</v>
      </c>
      <c r="L1" s="120" t="s">
        <v>167</v>
      </c>
      <c r="M1" s="121" t="s">
        <v>168</v>
      </c>
      <c r="N1" s="121" t="s">
        <v>169</v>
      </c>
      <c r="O1" s="121" t="s">
        <v>170</v>
      </c>
      <c r="P1" s="121" t="s">
        <v>171</v>
      </c>
      <c r="Q1" s="122" t="s">
        <v>172</v>
      </c>
      <c r="R1" s="123" t="s">
        <v>173</v>
      </c>
      <c r="S1" s="124" t="s">
        <v>174</v>
      </c>
    </row>
    <row r="2" spans="1:19" ht="21" customHeight="1" x14ac:dyDescent="0.15">
      <c r="A2" s="186">
        <v>1161</v>
      </c>
      <c r="B2" s="129" t="s">
        <v>184</v>
      </c>
      <c r="C2" s="188" t="s">
        <v>328</v>
      </c>
      <c r="D2" s="188" t="s">
        <v>344</v>
      </c>
      <c r="E2" s="131">
        <f t="shared" ref="E2" si="0">LEN(D2)</f>
        <v>29</v>
      </c>
      <c r="F2" s="63">
        <v>15</v>
      </c>
      <c r="G2" s="113">
        <v>7</v>
      </c>
      <c r="H2" s="132">
        <f>2001</f>
        <v>2001</v>
      </c>
      <c r="I2" s="189" t="s">
        <v>349</v>
      </c>
      <c r="J2" s="53" t="str">
        <f ca="1">VLOOKUP($A2,OFFSET([1]characters!$A$1,0,0,COUNTA([1]characters!$A:$A),MATCH("name",[1]characters!$1:$1,0)-MATCH("character_id",[1]characters!$1:$1,0)+1),MATCH("name",[1]characters!$1:$1,0)-MATCH("character_id",[1]characters!$1:$1,0)+1,FALSE)</f>
        <v>ヒルベルト</v>
      </c>
      <c r="K2" s="133">
        <f>IFERROR(VLOOKUP(A2,[1]characters!$A:$R,18),0)</f>
        <v>3</v>
      </c>
      <c r="L2" s="134"/>
      <c r="M2" s="135"/>
      <c r="N2" s="135"/>
      <c r="O2" s="135"/>
      <c r="P2" s="135"/>
      <c r="Q2" s="135"/>
      <c r="R2" s="130"/>
      <c r="S2" s="136"/>
    </row>
    <row r="3" spans="1:19" ht="21" customHeight="1" x14ac:dyDescent="0.15">
      <c r="A3" s="186">
        <v>1162</v>
      </c>
      <c r="B3" s="129" t="s">
        <v>184</v>
      </c>
      <c r="C3" s="188" t="s">
        <v>329</v>
      </c>
      <c r="D3" s="188" t="s">
        <v>351</v>
      </c>
      <c r="E3" s="131">
        <f t="shared" ref="E3" si="1">LEN(D3)</f>
        <v>54</v>
      </c>
      <c r="F3" s="63">
        <v>14</v>
      </c>
      <c r="G3" s="113">
        <v>7</v>
      </c>
      <c r="H3" s="132">
        <f>2001</f>
        <v>2001</v>
      </c>
      <c r="I3" s="189" t="s">
        <v>350</v>
      </c>
      <c r="J3" s="53" t="str">
        <f ca="1">VLOOKUP($A3,OFFSET([1]characters!$A$1,0,0,COUNTA([1]characters!$A:$A),MATCH("name",[1]characters!$1:$1,0)-MATCH("character_id",[1]characters!$1:$1,0)+1),MATCH("name",[1]characters!$1:$1,0)-MATCH("character_id",[1]characters!$1:$1,0)+1,FALSE)</f>
        <v>夢験次元の抽唱 ヒルベルト</v>
      </c>
      <c r="K3" s="133">
        <f>IFERROR(VLOOKUP(A3,[1]characters!$A:$R,18),0)</f>
        <v>3</v>
      </c>
      <c r="L3" s="134"/>
      <c r="M3" s="135"/>
      <c r="N3" s="135"/>
      <c r="O3" s="135"/>
      <c r="P3" s="135"/>
      <c r="Q3" s="135"/>
      <c r="R3" s="130"/>
      <c r="S3" s="136"/>
    </row>
    <row r="4" spans="1:19" ht="21" customHeight="1" x14ac:dyDescent="0.15">
      <c r="A4" s="186">
        <v>1163</v>
      </c>
      <c r="B4" s="129" t="s">
        <v>184</v>
      </c>
      <c r="C4" s="188" t="s">
        <v>330</v>
      </c>
      <c r="D4" s="188" t="s">
        <v>342</v>
      </c>
      <c r="E4" s="131">
        <f t="shared" ref="E4" si="2">LEN(D4)</f>
        <v>56</v>
      </c>
      <c r="F4" s="63">
        <v>13</v>
      </c>
      <c r="G4" s="113">
        <v>7</v>
      </c>
      <c r="H4" s="132">
        <f>2001</f>
        <v>2001</v>
      </c>
      <c r="I4" s="189" t="s">
        <v>327</v>
      </c>
      <c r="J4" s="53" t="str">
        <f ca="1">VLOOKUP($A4,OFFSET([1]characters!$A$1,0,0,COUNTA([1]characters!$A:$A),MATCH("name",[1]characters!$1:$1,0)-MATCH("character_id",[1]characters!$1:$1,0)+1),MATCH("name",[1]characters!$1:$1,0)-MATCH("character_id",[1]characters!$1:$1,0)+1,FALSE)</f>
        <v>命題唱鳴計画 ヒルベルト</v>
      </c>
      <c r="K4" s="133">
        <f>IFERROR(VLOOKUP(A4,[1]characters!$A:$R,18),0)</f>
        <v>3</v>
      </c>
      <c r="L4" s="134"/>
      <c r="M4" s="135"/>
      <c r="N4" s="135"/>
      <c r="O4" s="135"/>
      <c r="P4" s="135"/>
      <c r="Q4" s="135"/>
      <c r="R4" s="130"/>
      <c r="S4" s="136"/>
    </row>
    <row r="5" spans="1:19" ht="21" customHeight="1" x14ac:dyDescent="0.15">
      <c r="A5" s="186">
        <v>1170</v>
      </c>
      <c r="B5" s="129" t="s">
        <v>184</v>
      </c>
      <c r="C5" s="188" t="s">
        <v>352</v>
      </c>
      <c r="D5" s="188" t="s">
        <v>362</v>
      </c>
      <c r="E5" s="131">
        <f t="shared" ref="E5" si="3">LEN(D5)</f>
        <v>60</v>
      </c>
      <c r="F5" s="63">
        <v>14</v>
      </c>
      <c r="G5" s="113">
        <v>7</v>
      </c>
      <c r="H5" s="132">
        <f>2001</f>
        <v>2001</v>
      </c>
      <c r="I5" s="189" t="s">
        <v>363</v>
      </c>
      <c r="J5" s="53" t="str">
        <f ca="1">VLOOKUP($A5,OFFSET([1]characters!$A$1,0,0,COUNTA([1]characters!$A:$A),MATCH("name",[1]characters!$1:$1,0)-MATCH("character_id",[1]characters!$1:$1,0)+1),MATCH("name",[1]characters!$1:$1,0)-MATCH("character_id",[1]characters!$1:$1,0)+1,FALSE)</f>
        <v>極彩龍筆 ヘイウェイ</v>
      </c>
      <c r="K5" s="133">
        <f>IFERROR(VLOOKUP(A5,[1]characters!$A:$R,18),0)</f>
        <v>3</v>
      </c>
      <c r="L5" s="134"/>
      <c r="M5" s="135"/>
      <c r="N5" s="135"/>
      <c r="O5" s="135"/>
      <c r="P5" s="135"/>
      <c r="Q5" s="135"/>
      <c r="R5" s="130"/>
      <c r="S5" s="136"/>
    </row>
  </sheetData>
  <sheetProtection selectLockedCells="1" selectUnlockedCells="1"/>
  <autoFilter ref="A1:S1">
    <sortState ref="A2:T432">
      <sortCondition ref="A1:A432"/>
    </sortState>
  </autoFilter>
  <phoneticPr fontId="22"/>
  <conditionalFormatting sqref="E1 E6:E1048576">
    <cfRule type="cellIs" dxfId="36" priority="26" operator="greaterThan">
      <formula>41</formula>
    </cfRule>
  </conditionalFormatting>
  <conditionalFormatting sqref="E2">
    <cfRule type="cellIs" dxfId="35" priority="20" operator="greaterThan">
      <formula>41</formula>
    </cfRule>
  </conditionalFormatting>
  <conditionalFormatting sqref="E3">
    <cfRule type="cellIs" dxfId="34" priority="19" operator="greaterThan">
      <formula>41</formula>
    </cfRule>
  </conditionalFormatting>
  <conditionalFormatting sqref="E4">
    <cfRule type="cellIs" dxfId="33" priority="2" operator="greaterThan">
      <formula>41</formula>
    </cfRule>
  </conditionalFormatting>
  <conditionalFormatting sqref="E5">
    <cfRule type="cellIs" dxfId="32"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5"/>
  <sheetViews>
    <sheetView showGridLines="0" workbookViewId="0">
      <pane xSplit="4" ySplit="1" topLeftCell="E2" activePane="bottomRight" state="frozen"/>
      <selection pane="topRight" activeCell="D1" sqref="D1"/>
      <selection pane="bottomLeft" activeCell="A3" sqref="A3"/>
      <selection pane="bottomRight" activeCell="F6" sqref="F6"/>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183</v>
      </c>
      <c r="H1" s="118" t="s">
        <v>176</v>
      </c>
      <c r="I1" s="119" t="s">
        <v>175</v>
      </c>
      <c r="J1" s="123" t="s">
        <v>174</v>
      </c>
    </row>
    <row r="2" spans="1:19" ht="21" customHeight="1" x14ac:dyDescent="0.15">
      <c r="A2" s="186">
        <v>1161</v>
      </c>
      <c r="B2" s="129" t="s">
        <v>185</v>
      </c>
      <c r="C2" s="188" t="s">
        <v>331</v>
      </c>
      <c r="D2" s="188" t="s">
        <v>346</v>
      </c>
      <c r="E2" s="131">
        <f t="shared" ref="E2" si="0">LEN(D2)</f>
        <v>8</v>
      </c>
      <c r="F2" s="190" t="s">
        <v>348</v>
      </c>
      <c r="G2" s="53" t="str">
        <f ca="1">VLOOKUP($A2,OFFSET([1]characters!$A$1,0,0,COUNTA([1]characters!$A:$A),MATCH("name",[1]characters!$1:$1,0)-MATCH("character_id",[1]characters!$1:$1,0)+1),MATCH("name",[1]characters!$1:$1,0)-MATCH("character_id",[1]characters!$1:$1,0)+1,FALSE)</f>
        <v>ヒルベルト</v>
      </c>
      <c r="H2" s="132">
        <f>IFERROR(VLOOKUP(A2,[1]characters!$A:$R,18),0)</f>
        <v>3</v>
      </c>
      <c r="I2" s="132"/>
      <c r="J2" s="137"/>
      <c r="K2" s="133">
        <v>1</v>
      </c>
      <c r="L2" s="134"/>
      <c r="M2" s="135"/>
      <c r="N2" s="135"/>
      <c r="O2" s="135"/>
      <c r="P2" s="135"/>
      <c r="Q2" s="135"/>
      <c r="R2" s="130"/>
      <c r="S2" s="136"/>
    </row>
    <row r="3" spans="1:19" ht="21" customHeight="1" x14ac:dyDescent="0.15">
      <c r="A3" s="186">
        <v>1162</v>
      </c>
      <c r="B3" s="129" t="s">
        <v>185</v>
      </c>
      <c r="C3" s="188" t="s">
        <v>331</v>
      </c>
      <c r="D3" s="188" t="s">
        <v>345</v>
      </c>
      <c r="E3" s="131">
        <f t="shared" ref="E3" si="1">LEN(D3)</f>
        <v>8</v>
      </c>
      <c r="F3" s="190" t="s">
        <v>347</v>
      </c>
      <c r="G3" s="53" t="str">
        <f ca="1">VLOOKUP($A3,OFFSET([1]characters!$A$1,0,0,COUNTA([1]characters!$A:$A),MATCH("name",[1]characters!$1:$1,0)-MATCH("character_id",[1]characters!$1:$1,0)+1),MATCH("name",[1]characters!$1:$1,0)-MATCH("character_id",[1]characters!$1:$1,0)+1,FALSE)</f>
        <v>夢験次元の抽唱 ヒルベルト</v>
      </c>
      <c r="H3" s="132">
        <f>IFERROR(VLOOKUP(A3,[1]characters!$A:$R,18),0)</f>
        <v>3</v>
      </c>
      <c r="I3" s="132"/>
      <c r="J3" s="137"/>
      <c r="K3" s="133">
        <v>1</v>
      </c>
      <c r="L3" s="134"/>
      <c r="M3" s="135"/>
      <c r="N3" s="135"/>
      <c r="O3" s="135"/>
      <c r="P3" s="135"/>
      <c r="Q3" s="135"/>
      <c r="R3" s="130"/>
      <c r="S3" s="136"/>
    </row>
    <row r="4" spans="1:19" ht="21" customHeight="1" x14ac:dyDescent="0.15">
      <c r="A4" s="186">
        <v>1163</v>
      </c>
      <c r="B4" s="129" t="s">
        <v>184</v>
      </c>
      <c r="C4" s="188" t="s">
        <v>332</v>
      </c>
      <c r="D4" s="188" t="s">
        <v>326</v>
      </c>
      <c r="E4" s="131">
        <f t="shared" ref="E4" si="2">LEN(D4)</f>
        <v>24</v>
      </c>
      <c r="F4" s="190" t="s">
        <v>317</v>
      </c>
      <c r="G4" s="53" t="str">
        <f ca="1">VLOOKUP($A4,OFFSET([1]characters!$A$1,0,0,COUNTA([1]characters!$A:$A),MATCH("name",[1]characters!$1:$1,0)-MATCH("character_id",[1]characters!$1:$1,0)+1),MATCH("name",[1]characters!$1:$1,0)-MATCH("character_id",[1]characters!$1:$1,0)+1,FALSE)</f>
        <v>命題唱鳴計画 ヒルベルト</v>
      </c>
      <c r="H4" s="132">
        <f>IFERROR(VLOOKUP(A4,[1]characters!$A:$R,18),0)</f>
        <v>3</v>
      </c>
      <c r="I4" s="132"/>
      <c r="J4" s="137"/>
      <c r="K4" s="133">
        <v>1</v>
      </c>
      <c r="L4" s="134"/>
      <c r="M4" s="135"/>
      <c r="N4" s="135"/>
      <c r="O4" s="135"/>
      <c r="P4" s="135"/>
      <c r="Q4" s="135"/>
      <c r="R4" s="130"/>
      <c r="S4" s="136"/>
    </row>
    <row r="5" spans="1:19" ht="21" customHeight="1" x14ac:dyDescent="0.15">
      <c r="A5" s="186">
        <v>1170</v>
      </c>
      <c r="B5" s="129" t="s">
        <v>184</v>
      </c>
      <c r="C5" s="188" t="s">
        <v>353</v>
      </c>
      <c r="D5" s="188" t="s">
        <v>360</v>
      </c>
      <c r="E5" s="131">
        <f t="shared" ref="E5" si="3">LEN(D5)</f>
        <v>15</v>
      </c>
      <c r="F5" s="190" t="s">
        <v>361</v>
      </c>
      <c r="G5" s="53" t="str">
        <f ca="1">VLOOKUP($A5,OFFSET([1]characters!$A$1,0,0,COUNTA([1]characters!$A:$A),MATCH("name",[1]characters!$1:$1,0)-MATCH("character_id",[1]characters!$1:$1,0)+1),MATCH("name",[1]characters!$1:$1,0)-MATCH("character_id",[1]characters!$1:$1,0)+1,FALSE)</f>
        <v>極彩龍筆 ヘイウェイ</v>
      </c>
      <c r="H5" s="132">
        <f>IFERROR(VLOOKUP(A5,[1]characters!$A:$R,18),0)</f>
        <v>3</v>
      </c>
      <c r="I5" s="132"/>
      <c r="J5" s="137"/>
      <c r="K5" s="133">
        <v>1</v>
      </c>
      <c r="L5" s="134"/>
      <c r="M5" s="135"/>
      <c r="N5" s="135"/>
      <c r="O5" s="135"/>
      <c r="P5" s="135"/>
      <c r="Q5" s="135"/>
      <c r="R5" s="130"/>
      <c r="S5" s="136"/>
    </row>
  </sheetData>
  <sheetProtection selectLockedCells="1" selectUnlockedCells="1"/>
  <autoFilter ref="A1:J1"/>
  <phoneticPr fontId="22"/>
  <conditionalFormatting sqref="E2">
    <cfRule type="cellIs" dxfId="31" priority="20" operator="greaterThan">
      <formula>41</formula>
    </cfRule>
  </conditionalFormatting>
  <conditionalFormatting sqref="E3">
    <cfRule type="cellIs" dxfId="30" priority="19" operator="greaterThan">
      <formula>41</formula>
    </cfRule>
  </conditionalFormatting>
  <conditionalFormatting sqref="E4">
    <cfRule type="cellIs" dxfId="29" priority="2" operator="greaterThan">
      <formula>41</formula>
    </cfRule>
  </conditionalFormatting>
  <conditionalFormatting sqref="E5">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0"/>
  <sheetViews>
    <sheetView zoomScale="110" workbookViewId="0">
      <selection activeCell="E31" sqref="E3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186</v>
      </c>
      <c r="B1" s="138" t="s">
        <v>187</v>
      </c>
      <c r="C1" s="110" t="s">
        <v>188</v>
      </c>
      <c r="D1" s="138" t="s">
        <v>190</v>
      </c>
      <c r="E1" s="138" t="s">
        <v>191</v>
      </c>
      <c r="F1" s="109" t="s">
        <v>192</v>
      </c>
      <c r="G1" s="110" t="s">
        <v>189</v>
      </c>
      <c r="H1" s="109" t="s">
        <v>193</v>
      </c>
    </row>
    <row r="2" spans="1:8" x14ac:dyDescent="0.15">
      <c r="A2" s="105">
        <v>1161</v>
      </c>
      <c r="B2" s="138" t="str">
        <f>VLOOKUP(A2,[1]characters!$A:$C,3,FALSE)</f>
        <v>ヒルベルト</v>
      </c>
      <c r="C2" s="105" t="s">
        <v>194</v>
      </c>
      <c r="D2" s="138" t="str">
        <f t="shared" ref="D2" si="0">A2&amp;C2</f>
        <v>1161skill</v>
      </c>
      <c r="E2" s="138" t="str">
        <f>A2&amp;+(COUNTIF(A2:A$34,A2)-1)</f>
        <v>11613</v>
      </c>
      <c r="F2" s="105" t="s">
        <v>196</v>
      </c>
      <c r="G2" s="162" t="s">
        <v>195</v>
      </c>
      <c r="H2" s="162" t="s">
        <v>333</v>
      </c>
    </row>
    <row r="3" spans="1:8" x14ac:dyDescent="0.15">
      <c r="A3" s="105">
        <v>1161</v>
      </c>
      <c r="B3" s="138" t="str">
        <f>VLOOKUP(A3,[1]characters!$A:$C,3,FALSE)</f>
        <v>ヒルベルト</v>
      </c>
      <c r="C3" s="105" t="s">
        <v>197</v>
      </c>
      <c r="D3" s="138" t="str">
        <f>A3&amp;C3</f>
        <v>1161cskill</v>
      </c>
      <c r="E3" s="138" t="str">
        <f>A3&amp;+(COUNTIF(A3:A$34,A3)-1)</f>
        <v>11612</v>
      </c>
      <c r="F3" s="105" t="s">
        <v>185</v>
      </c>
      <c r="G3" s="162" t="s">
        <v>195</v>
      </c>
      <c r="H3" s="162" t="s">
        <v>334</v>
      </c>
    </row>
    <row r="4" spans="1:8" x14ac:dyDescent="0.15">
      <c r="A4" s="105">
        <v>1161</v>
      </c>
      <c r="B4" s="138" t="str">
        <f>VLOOKUP(A4,[1]characters!$A:$C,3,FALSE)</f>
        <v>ヒルベルト</v>
      </c>
      <c r="C4" s="105" t="s">
        <v>197</v>
      </c>
      <c r="D4" s="138" t="str">
        <f>A4&amp;C4</f>
        <v>1161cskill</v>
      </c>
      <c r="E4" s="138" t="str">
        <f>A4&amp;+(COUNTIF(A4:A$34,A4)-1)</f>
        <v>11611</v>
      </c>
      <c r="F4" s="105" t="s">
        <v>185</v>
      </c>
      <c r="G4" s="162" t="s">
        <v>195</v>
      </c>
      <c r="H4" s="162" t="s">
        <v>335</v>
      </c>
    </row>
    <row r="5" spans="1:8" x14ac:dyDescent="0.15">
      <c r="A5" s="105">
        <v>1161</v>
      </c>
      <c r="B5" s="138" t="str">
        <f>VLOOKUP(A5,[1]characters!$A:$C,3,FALSE)</f>
        <v>ヒルベルト</v>
      </c>
      <c r="C5" s="105" t="s">
        <v>197</v>
      </c>
      <c r="D5" s="138" t="str">
        <f>A5&amp;C5</f>
        <v>1161cskill</v>
      </c>
      <c r="E5" s="138" t="str">
        <f>A5&amp;+(COUNTIF(A5:A$34,A5)-1)</f>
        <v>11610</v>
      </c>
      <c r="F5" s="105" t="s">
        <v>196</v>
      </c>
      <c r="G5" s="162" t="s">
        <v>337</v>
      </c>
      <c r="H5" s="162" t="s">
        <v>336</v>
      </c>
    </row>
    <row r="6" spans="1:8" x14ac:dyDescent="0.15">
      <c r="A6" s="105">
        <v>1162</v>
      </c>
      <c r="B6" s="138" t="str">
        <f>VLOOKUP(A6,[1]characters!$A:$C,3,FALSE)</f>
        <v>夢験次元の抽唱 ヒルベルト</v>
      </c>
      <c r="C6" s="105" t="s">
        <v>194</v>
      </c>
      <c r="D6" s="138" t="str">
        <f t="shared" ref="D6" si="1">A6&amp;C6</f>
        <v>1162skill</v>
      </c>
      <c r="E6" s="138" t="str">
        <f>A6&amp;+(COUNTIF(A6:A$34,A6)-1)</f>
        <v>11624</v>
      </c>
      <c r="F6" s="105" t="s">
        <v>185</v>
      </c>
      <c r="G6" s="162" t="s">
        <v>195</v>
      </c>
      <c r="H6" s="162" t="s">
        <v>338</v>
      </c>
    </row>
    <row r="7" spans="1:8" x14ac:dyDescent="0.15">
      <c r="A7" s="105">
        <v>1162</v>
      </c>
      <c r="B7" s="138" t="str">
        <f>VLOOKUP(A7,[1]characters!$A:$C,3,FALSE)</f>
        <v>夢験次元の抽唱 ヒルベルト</v>
      </c>
      <c r="C7" s="105" t="s">
        <v>197</v>
      </c>
      <c r="D7" s="138" t="str">
        <f>A7&amp;C7</f>
        <v>1162cskill</v>
      </c>
      <c r="E7" s="138" t="str">
        <f>A7&amp;+(COUNTIF(A7:A$34,A7)-1)</f>
        <v>11623</v>
      </c>
      <c r="F7" s="105" t="s">
        <v>185</v>
      </c>
      <c r="G7" s="162" t="s">
        <v>195</v>
      </c>
      <c r="H7" s="162" t="s">
        <v>334</v>
      </c>
    </row>
    <row r="8" spans="1:8" x14ac:dyDescent="0.15">
      <c r="A8" s="105">
        <v>1162</v>
      </c>
      <c r="B8" s="138" t="str">
        <f>VLOOKUP(A8,[1]characters!$A:$C,3,FALSE)</f>
        <v>夢験次元の抽唱 ヒルベルト</v>
      </c>
      <c r="C8" s="105" t="s">
        <v>197</v>
      </c>
      <c r="D8" s="138" t="str">
        <f>A8&amp;C8</f>
        <v>1162cskill</v>
      </c>
      <c r="E8" s="138" t="str">
        <f>A8&amp;+(COUNTIF(A8:A$34,A8)-1)</f>
        <v>11622</v>
      </c>
      <c r="F8" s="105" t="s">
        <v>185</v>
      </c>
      <c r="G8" s="162" t="s">
        <v>195</v>
      </c>
      <c r="H8" s="162" t="s">
        <v>335</v>
      </c>
    </row>
    <row r="9" spans="1:8" x14ac:dyDescent="0.15">
      <c r="A9" s="105">
        <v>1162</v>
      </c>
      <c r="B9" s="138" t="str">
        <f>VLOOKUP(A9,[1]characters!$A:$C,3,FALSE)</f>
        <v>夢験次元の抽唱 ヒルベルト</v>
      </c>
      <c r="C9" s="105" t="s">
        <v>197</v>
      </c>
      <c r="D9" s="138" t="str">
        <f>A9&amp;C9</f>
        <v>1162cskill</v>
      </c>
      <c r="E9" s="138" t="str">
        <f>A9&amp;+(COUNTIF(A9:A$34,A9)-1)</f>
        <v>11621</v>
      </c>
      <c r="F9" s="105" t="s">
        <v>185</v>
      </c>
      <c r="G9" s="162" t="s">
        <v>337</v>
      </c>
      <c r="H9" s="162" t="s">
        <v>336</v>
      </c>
    </row>
    <row r="10" spans="1:8" x14ac:dyDescent="0.15">
      <c r="A10" s="105">
        <v>1162</v>
      </c>
      <c r="B10" s="138" t="str">
        <f>VLOOKUP(A10,[1]characters!$A:$C,3,FALSE)</f>
        <v>夢験次元の抽唱 ヒルベルト</v>
      </c>
      <c r="C10" s="105" t="s">
        <v>197</v>
      </c>
      <c r="D10" s="138" t="str">
        <f>A10&amp;C10</f>
        <v>1162cskill</v>
      </c>
      <c r="E10" s="138" t="str">
        <f>A10&amp;+(COUNTIF(A10:A$34,A10)-1)</f>
        <v>11620</v>
      </c>
      <c r="F10" s="105" t="s">
        <v>185</v>
      </c>
      <c r="G10" s="162" t="s">
        <v>195</v>
      </c>
      <c r="H10" s="162" t="s">
        <v>339</v>
      </c>
    </row>
    <row r="11" spans="1:8" x14ac:dyDescent="0.15">
      <c r="A11" s="105">
        <v>1163</v>
      </c>
      <c r="B11" s="138" t="str">
        <f>VLOOKUP(A11,[1]characters!$A:$C,3,FALSE)</f>
        <v>命題唱鳴計画 ヒルベルト</v>
      </c>
      <c r="C11" s="105" t="s">
        <v>194</v>
      </c>
      <c r="D11" s="138" t="str">
        <f t="shared" ref="D11" si="2">A11&amp;C11</f>
        <v>1163skill</v>
      </c>
      <c r="E11" s="138" t="str">
        <f>A11&amp;+(COUNTIF(A11:A$34,A11)-1)</f>
        <v>11634</v>
      </c>
      <c r="F11" s="105" t="s">
        <v>184</v>
      </c>
      <c r="G11" s="162" t="s">
        <v>337</v>
      </c>
      <c r="H11" s="162" t="s">
        <v>340</v>
      </c>
    </row>
    <row r="12" spans="1:8" x14ac:dyDescent="0.15">
      <c r="A12" s="105">
        <v>1163</v>
      </c>
      <c r="B12" s="138" t="str">
        <f>VLOOKUP(A12,[1]characters!$A:$C,3,FALSE)</f>
        <v>命題唱鳴計画 ヒルベルト</v>
      </c>
      <c r="C12" s="105" t="s">
        <v>197</v>
      </c>
      <c r="D12" s="138" t="str">
        <f>A12&amp;C12</f>
        <v>1163cskill</v>
      </c>
      <c r="E12" s="138" t="str">
        <f>A12&amp;+(COUNTIF(A12:A$34,A12)-1)</f>
        <v>11633</v>
      </c>
      <c r="F12" s="105" t="s">
        <v>184</v>
      </c>
      <c r="G12" s="162" t="s">
        <v>195</v>
      </c>
      <c r="H12" s="162" t="s">
        <v>334</v>
      </c>
    </row>
    <row r="13" spans="1:8" x14ac:dyDescent="0.15">
      <c r="A13" s="105">
        <v>1163</v>
      </c>
      <c r="B13" s="138" t="str">
        <f>VLOOKUP(A13,[1]characters!$A:$C,3,FALSE)</f>
        <v>命題唱鳴計画 ヒルベルト</v>
      </c>
      <c r="C13" s="105" t="s">
        <v>197</v>
      </c>
      <c r="D13" s="138" t="str">
        <f>A13&amp;C13</f>
        <v>1163cskill</v>
      </c>
      <c r="E13" s="138" t="str">
        <f>A13&amp;+(COUNTIF(A13:A$34,A13)-1)</f>
        <v>11632</v>
      </c>
      <c r="F13" s="105" t="s">
        <v>184</v>
      </c>
      <c r="G13" s="162" t="s">
        <v>195</v>
      </c>
      <c r="H13" s="162" t="s">
        <v>335</v>
      </c>
    </row>
    <row r="14" spans="1:8" x14ac:dyDescent="0.15">
      <c r="A14" s="105">
        <v>1163</v>
      </c>
      <c r="B14" s="138" t="str">
        <f>VLOOKUP(A14,[1]characters!$A:$C,3,FALSE)</f>
        <v>命題唱鳴計画 ヒルベルト</v>
      </c>
      <c r="C14" s="105" t="s">
        <v>197</v>
      </c>
      <c r="D14" s="138" t="str">
        <f>A14&amp;C14</f>
        <v>1163cskill</v>
      </c>
      <c r="E14" s="138" t="str">
        <f>A14&amp;+(COUNTIF(A14:A$34,A14)-1)</f>
        <v>11631</v>
      </c>
      <c r="F14" s="105" t="s">
        <v>184</v>
      </c>
      <c r="G14" s="162" t="s">
        <v>337</v>
      </c>
      <c r="H14" s="162" t="s">
        <v>336</v>
      </c>
    </row>
    <row r="15" spans="1:8" x14ac:dyDescent="0.15">
      <c r="A15" s="105">
        <v>1163</v>
      </c>
      <c r="B15" s="138" t="str">
        <f>VLOOKUP(A15,[1]characters!$A:$C,3,FALSE)</f>
        <v>命題唱鳴計画 ヒルベルト</v>
      </c>
      <c r="C15" s="105" t="s">
        <v>197</v>
      </c>
      <c r="D15" s="138" t="str">
        <f>A15&amp;C15</f>
        <v>1163cskill</v>
      </c>
      <c r="E15" s="138" t="str">
        <f>A15&amp;+(COUNTIF(A15:A$34,A15)-1)</f>
        <v>11630</v>
      </c>
      <c r="F15" s="105" t="s">
        <v>184</v>
      </c>
      <c r="G15" s="162" t="s">
        <v>337</v>
      </c>
      <c r="H15" s="162" t="s">
        <v>341</v>
      </c>
    </row>
    <row r="16" spans="1:8" x14ac:dyDescent="0.15">
      <c r="A16" s="105">
        <v>1170</v>
      </c>
      <c r="B16" s="138" t="str">
        <f>VLOOKUP(A16,[1]characters!$A:$C,3,FALSE)</f>
        <v>極彩龍筆 ヘイウェイ</v>
      </c>
      <c r="C16" s="105" t="s">
        <v>194</v>
      </c>
      <c r="D16" s="138" t="str">
        <f t="shared" ref="D16" si="3">A16&amp;C16</f>
        <v>1170skill</v>
      </c>
      <c r="E16" s="138" t="str">
        <f>A16&amp;+(COUNTIF(A16:A$34,A16)-1)</f>
        <v>11704</v>
      </c>
      <c r="F16" s="105" t="s">
        <v>184</v>
      </c>
      <c r="G16" s="162" t="s">
        <v>195</v>
      </c>
      <c r="H16" s="162" t="s">
        <v>354</v>
      </c>
    </row>
    <row r="17" spans="1:8" x14ac:dyDescent="0.15">
      <c r="A17" s="105">
        <v>1170</v>
      </c>
      <c r="B17" s="138" t="str">
        <f>VLOOKUP(A17,[1]characters!$A:$C,3,FALSE)</f>
        <v>極彩龍筆 ヘイウェイ</v>
      </c>
      <c r="C17" s="105" t="s">
        <v>197</v>
      </c>
      <c r="D17" s="138" t="str">
        <f>A17&amp;C17</f>
        <v>1170cskill</v>
      </c>
      <c r="E17" s="138" t="str">
        <f>A17&amp;+(COUNTIF(A17:A$34,A17)-1)</f>
        <v>11703</v>
      </c>
      <c r="F17" s="105" t="s">
        <v>184</v>
      </c>
      <c r="G17" s="162" t="s">
        <v>195</v>
      </c>
      <c r="H17" s="162" t="s">
        <v>357</v>
      </c>
    </row>
    <row r="18" spans="1:8" x14ac:dyDescent="0.15">
      <c r="A18" s="105">
        <v>1170</v>
      </c>
      <c r="B18" s="138" t="str">
        <f>VLOOKUP(A18,[1]characters!$A:$C,3,FALSE)</f>
        <v>極彩龍筆 ヘイウェイ</v>
      </c>
      <c r="C18" s="105" t="s">
        <v>197</v>
      </c>
      <c r="D18" s="138" t="str">
        <f>A18&amp;C18</f>
        <v>1170cskill</v>
      </c>
      <c r="E18" s="138" t="str">
        <f>A18&amp;+(COUNTIF(A18:A$34,A18)-1)</f>
        <v>11702</v>
      </c>
      <c r="F18" s="105" t="s">
        <v>184</v>
      </c>
      <c r="G18" s="162" t="s">
        <v>337</v>
      </c>
      <c r="H18" s="162" t="s">
        <v>358</v>
      </c>
    </row>
    <row r="19" spans="1:8" x14ac:dyDescent="0.15">
      <c r="A19" s="105">
        <v>1170</v>
      </c>
      <c r="B19" s="138" t="str">
        <f>VLOOKUP(A19,[1]characters!$A:$C,3,FALSE)</f>
        <v>極彩龍筆 ヘイウェイ</v>
      </c>
      <c r="C19" s="105" t="s">
        <v>197</v>
      </c>
      <c r="D19" s="138" t="str">
        <f>A19&amp;C19</f>
        <v>1170cskill</v>
      </c>
      <c r="E19" s="138" t="str">
        <f>A19&amp;+(COUNTIF(A19:A$34,A19)-1)</f>
        <v>11701</v>
      </c>
      <c r="F19" s="105" t="s">
        <v>184</v>
      </c>
      <c r="G19" s="162" t="s">
        <v>355</v>
      </c>
      <c r="H19" s="162" t="s">
        <v>359</v>
      </c>
    </row>
    <row r="20" spans="1:8" x14ac:dyDescent="0.15">
      <c r="A20" s="105">
        <v>1170</v>
      </c>
      <c r="B20" s="138" t="str">
        <f>VLOOKUP(A20,[1]characters!$A:$C,3,FALSE)</f>
        <v>極彩龍筆 ヘイウェイ</v>
      </c>
      <c r="C20" s="105" t="s">
        <v>197</v>
      </c>
      <c r="D20" s="138" t="str">
        <f>A20&amp;C20</f>
        <v>1170cskill</v>
      </c>
      <c r="E20" s="138" t="str">
        <f>A20&amp;+(COUNTIF(A20:A$34,A20)-1)</f>
        <v>11700</v>
      </c>
      <c r="F20" s="105" t="s">
        <v>184</v>
      </c>
      <c r="G20" s="162" t="s">
        <v>355</v>
      </c>
      <c r="H20" s="162" t="s">
        <v>356</v>
      </c>
    </row>
  </sheetData>
  <phoneticPr fontId="22"/>
  <dataValidations count="2">
    <dataValidation type="list" allowBlank="1" showInputMessage="1" showErrorMessage="1" sqref="G2:G20">
      <formula1>"maru,giza,kumo"</formula1>
    </dataValidation>
    <dataValidation type="list" allowBlank="1" showInputMessage="1" showErrorMessage="1" sqref="C2:C2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8"/>
  <sheetViews>
    <sheetView showGridLines="0" workbookViewId="0">
      <pane xSplit="9" ySplit="1" topLeftCell="P2" activePane="bottomRight" state="frozen"/>
      <selection pane="topRight" activeCell="J1" sqref="J1"/>
      <selection pane="bottomLeft" activeCell="A3" sqref="A3"/>
      <selection pane="bottomRight" activeCell="Q9" sqref="Q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274</v>
      </c>
      <c r="B1" s="91" t="s">
        <v>275</v>
      </c>
      <c r="C1" s="82" t="s">
        <v>276</v>
      </c>
      <c r="D1" s="82" t="s">
        <v>277</v>
      </c>
      <c r="E1" s="82" t="s">
        <v>278</v>
      </c>
      <c r="F1" s="82" t="s">
        <v>279</v>
      </c>
      <c r="G1" s="82" t="s">
        <v>1</v>
      </c>
      <c r="H1" s="175" t="s">
        <v>19</v>
      </c>
      <c r="I1" s="82" t="s">
        <v>0</v>
      </c>
      <c r="J1" s="81" t="s">
        <v>280</v>
      </c>
      <c r="K1" s="82" t="s">
        <v>275</v>
      </c>
      <c r="L1" s="83" t="s">
        <v>49</v>
      </c>
      <c r="M1" s="83" t="s">
        <v>48</v>
      </c>
      <c r="N1" s="83" t="s">
        <v>281</v>
      </c>
      <c r="O1" s="83" t="s">
        <v>282</v>
      </c>
      <c r="P1" s="88" t="s">
        <v>283</v>
      </c>
      <c r="Q1" s="87" t="s">
        <v>284</v>
      </c>
      <c r="R1" s="76" t="s">
        <v>275</v>
      </c>
      <c r="S1" s="88" t="s">
        <v>285</v>
      </c>
      <c r="T1" s="76" t="s">
        <v>275</v>
      </c>
      <c r="U1" s="88" t="s">
        <v>286</v>
      </c>
    </row>
    <row r="2" spans="1:21" ht="21" customHeight="1" x14ac:dyDescent="0.15">
      <c r="A2" s="191">
        <v>1161</v>
      </c>
      <c r="B2" s="53" t="str">
        <f ca="1">VLOOKUP($A2,OFFSET([1]characters!$A$1,0,0,COUNTA([1]characters!$A:$A),MATCH(B$1,[1]characters!$1:$1,0)-MATCH($A$1,[1]characters!$1:$1,0)+1),MATCH(B$1,[1]characters!$1:$1,0)-MATCH($A$1,[1]characters!$1:$1,0)+1,FALSE)</f>
        <v>ヒルベルト</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unknown</v>
      </c>
      <c r="K2" s="5" t="str">
        <f ca="1">VLOOKUP(J2,[1]character_tribe_i18n!$A:$H,3,FALSE)</f>
        <v>Unknown</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1162</v>
      </c>
      <c r="R2" s="58" t="str">
        <f ca="1">IF(Q2="NULL","",VLOOKUP($Q2,OFFSET([1]characters!$A$1,0,0,COUNTA([1]characters!$A:$A),MATCH(R$1,[1]characters!$1:$1,0)-MATCH($A$1,[1]characters!$1:$1,0)+1),MATCH(R$1,[1]characters!$1:$1,0)-MATCH($A$1,[1]characters!$1:$1,0)+1,FALSE))</f>
        <v>夢験次元の抽唱 ヒルベルト</v>
      </c>
      <c r="S2" s="5">
        <f t="shared" ref="S2:S8" ca="1" si="0">IF(ISNA(MATCH(A2,Q:Q,0)),A2,INDIRECT(ADDRESS(MATCH(A2,Q:Q,0),COLUMN())))</f>
        <v>1161</v>
      </c>
      <c r="T2" s="58" t="str">
        <f ca="1">VLOOKUP($S2,OFFSET([1]characters!$A$1,0,0,COUNTA([1]characters!$A:$A),MATCH(T$1,[1]characters!$1:$1,0)-MATCH($A$1,[1]characters!$1:$1,0)+1),MATCH(T$1,[1]characters!$1:$1,0)-MATCH($A$1,[1]characters!$1:$1,0)+1,FALSE)</f>
        <v>ヒルベルト</v>
      </c>
      <c r="U2" s="10">
        <f ca="1">IF(Q2="NULL","NULL",VLOOKUP(G2,[2]ビット!$A$2:$B$7,2))</f>
        <v>200000</v>
      </c>
    </row>
    <row r="3" spans="1:21" ht="21" customHeight="1" x14ac:dyDescent="0.15">
      <c r="A3" s="191">
        <v>1161</v>
      </c>
      <c r="B3" s="53" t="str">
        <f ca="1">VLOOKUP($A3,OFFSET([1]characters!$A$1,0,0,COUNTA([1]characters!$A:$A),MATCH(B$1,[1]characters!$1:$1,0)-MATCH($A$1,[1]characters!$1:$1,0)+1),MATCH(B$1,[1]characters!$1:$1,0)-MATCH($A$1,[1]characters!$1:$1,0)+1,FALSE)</f>
        <v>ヒルベルト</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yellow</v>
      </c>
      <c r="J3" s="53" t="str">
        <f ca="1">VLOOKUP($A3,OFFSET([1]characters!$A$1,0,0,COUNTA([1]characters!$A:$A),MATCH(J$1,[1]characters!$1:$1,0)-MATCH($A$1,[1]characters!$1:$1,0)+1),MATCH(J$1,[1]characters!$1:$1,0)-MATCH($A$1,[1]characters!$1:$1,0)+1,FALSE)</f>
        <v>unknown</v>
      </c>
      <c r="K3" s="5" t="str">
        <f ca="1">VLOOKUP(J3,[1]character_tribe_i18n!$A:$H,3,FALSE)</f>
        <v>Unknown</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super</v>
      </c>
      <c r="Q3" s="187">
        <v>1163</v>
      </c>
      <c r="R3" s="58" t="str">
        <f ca="1">IF(Q3="NULL","",VLOOKUP($Q3,OFFSET([1]characters!$A$1,0,0,COUNTA([1]characters!$A:$A),MATCH(R$1,[1]characters!$1:$1,0)-MATCH($A$1,[1]characters!$1:$1,0)+1),MATCH(R$1,[1]characters!$1:$1,0)-MATCH($A$1,[1]characters!$1:$1,0)+1,FALSE))</f>
        <v>命題唱鳴計画 ヒルベルト</v>
      </c>
      <c r="S3" s="5">
        <f t="shared" ca="1" si="0"/>
        <v>1161</v>
      </c>
      <c r="T3" s="58" t="str">
        <f ca="1">VLOOKUP($S3,OFFSET([1]characters!$A$1,0,0,COUNTA([1]characters!$A:$A),MATCH(T$1,[1]characters!$1:$1,0)-MATCH($A$1,[1]characters!$1:$1,0)+1),MATCH(T$1,[1]characters!$1:$1,0)-MATCH($A$1,[1]characters!$1:$1,0)+1,FALSE)</f>
        <v>ヒルベルト</v>
      </c>
      <c r="U3" s="10">
        <f ca="1">IF(Q3="NULL","NULL",VLOOKUP(G3,[2]ビット!$A$2:$B$7,2))</f>
        <v>200000</v>
      </c>
    </row>
    <row r="4" spans="1:21" ht="21" customHeight="1" x14ac:dyDescent="0.15">
      <c r="A4" s="191">
        <v>1162</v>
      </c>
      <c r="B4" s="53" t="str">
        <f ca="1">VLOOKUP($A4,OFFSET([1]characters!$A$1,0,0,COUNTA([1]characters!$A:$A),MATCH(B$1,[1]characters!$1:$1,0)-MATCH($A$1,[1]characters!$1:$1,0)+1),MATCH(B$1,[1]characters!$1:$1,0)-MATCH($A$1,[1]characters!$1:$1,0)+1,FALSE)</f>
        <v>夢験次元の抽唱 ヒルベルト</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unknown</v>
      </c>
      <c r="K4" s="5" t="str">
        <f ca="1">VLOOKUP(J4,[1]character_tribe_i18n!$A:$H,3,FALSE)</f>
        <v>Unknown</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7">
        <v>1163</v>
      </c>
      <c r="R4" s="58" t="str">
        <f ca="1">IF(Q4="NULL","",VLOOKUP($Q4,OFFSET([1]characters!$A$1,0,0,COUNTA([1]characters!$A:$A),MATCH(R$1,[1]characters!$1:$1,0)-MATCH($A$1,[1]characters!$1:$1,0)+1),MATCH(R$1,[1]characters!$1:$1,0)-MATCH($A$1,[1]characters!$1:$1,0)+1,FALSE))</f>
        <v>命題唱鳴計画 ヒルベルト</v>
      </c>
      <c r="S4" s="5">
        <f t="shared" ca="1" si="0"/>
        <v>1161</v>
      </c>
      <c r="T4" s="58" t="str">
        <f ca="1">VLOOKUP($S4,OFFSET([1]characters!$A$1,0,0,COUNTA([1]characters!$A:$A),MATCH(T$1,[1]characters!$1:$1,0)-MATCH($A$1,[1]characters!$1:$1,0)+1),MATCH(T$1,[1]characters!$1:$1,0)-MATCH($A$1,[1]characters!$1:$1,0)+1,FALSE)</f>
        <v>ヒルベルト</v>
      </c>
      <c r="U4" s="10">
        <f ca="1">IF(Q4="NULL","NULL",VLOOKUP(G4,[2]ビット!$A$2:$B$7,2))</f>
        <v>200000</v>
      </c>
    </row>
    <row r="5" spans="1:21" ht="21" customHeight="1" x14ac:dyDescent="0.15">
      <c r="A5" s="191">
        <v>1163</v>
      </c>
      <c r="B5" s="53" t="str">
        <f ca="1">VLOOKUP($A5,OFFSET([1]characters!$A$1,0,0,COUNTA([1]characters!$A:$A),MATCH(B$1,[1]characters!$1:$1,0)-MATCH($A$1,[1]characters!$1:$1,0)+1),MATCH(B$1,[1]characters!$1:$1,0)-MATCH($A$1,[1]characters!$1:$1,0)+1,FALSE)</f>
        <v>命題唱鳴計画 ヒルベルト</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yellow</v>
      </c>
      <c r="J5" s="53" t="str">
        <f ca="1">VLOOKUP($A5,OFFSET([1]characters!$A$1,0,0,COUNTA([1]characters!$A:$A),MATCH(J$1,[1]characters!$1:$1,0)-MATCH($A$1,[1]characters!$1:$1,0)+1),MATCH(J$1,[1]characters!$1:$1,0)-MATCH($A$1,[1]characters!$1:$1,0)+1,FALSE)</f>
        <v>unknown</v>
      </c>
      <c r="K5" s="5" t="str">
        <f ca="1">VLOOKUP(J5,[1]character_tribe_i18n!$A:$H,3,FALSE)</f>
        <v>Unknown</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1162</v>
      </c>
      <c r="R5" s="58" t="str">
        <f ca="1">IF(Q5="NULL","",VLOOKUP($Q5,OFFSET([1]characters!$A$1,0,0,COUNTA([1]characters!$A:$A),MATCH(R$1,[1]characters!$1:$1,0)-MATCH($A$1,[1]characters!$1:$1,0)+1),MATCH(R$1,[1]characters!$1:$1,0)-MATCH($A$1,[1]characters!$1:$1,0)+1,FALSE))</f>
        <v>夢験次元の抽唱 ヒルベルト</v>
      </c>
      <c r="S5" s="5">
        <f t="shared" ca="1" si="0"/>
        <v>1161</v>
      </c>
      <c r="T5" s="58" t="str">
        <f ca="1">VLOOKUP($S5,OFFSET([1]characters!$A$1,0,0,COUNTA([1]characters!$A:$A),MATCH(T$1,[1]characters!$1:$1,0)-MATCH($A$1,[1]characters!$1:$1,0)+1),MATCH(T$1,[1]characters!$1:$1,0)-MATCH($A$1,[1]characters!$1:$1,0)+1,FALSE)</f>
        <v>ヒルベルト</v>
      </c>
      <c r="U5" s="10">
        <f ca="1">IF(Q5="NULL","NULL",VLOOKUP(G5,[2]ビット!$A$2:$B$7,2))</f>
        <v>200000</v>
      </c>
    </row>
    <row r="6" spans="1:21" ht="21" customHeight="1" x14ac:dyDescent="0.15">
      <c r="A6" s="191">
        <v>786</v>
      </c>
      <c r="B6" s="53" t="str">
        <f ca="1">VLOOKUP($A6,OFFSET([1]characters!$A$1,0,0,COUNTA([1]characters!$A:$A),MATCH(B$1,[1]characters!$1:$1,0)-MATCH($A$1,[1]characters!$1:$1,0)+1),MATCH(B$1,[1]characters!$1:$1,0)-MATCH($A$1,[1]characters!$1:$1,0)+1,FALSE)</f>
        <v>ヘイウェイ</v>
      </c>
      <c r="C6" s="53" t="str">
        <f ca="1">VLOOKUP($A6,OFFSET([1]characters!$A$1,0,0,COUNTA([1]characters!$A:$A),MATCH(C$1,[1]characters!$1:$1,0)-MATCH($A$1,[1]characters!$1:$1,0)+1),MATCH(C$1,[1]characters!$1:$1,0)-MATCH($A$1,[1]characters!$1:$1,0)+1,FALSE)</f>
        <v>ガチャ:赤フェス02</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男性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PremiumSSS</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human</v>
      </c>
      <c r="K6" s="5" t="str">
        <f ca="1">VLOOKUP(J6,[1]character_tribe_i18n!$A:$H,3,FALSE)</f>
        <v>ヒューマン</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super</v>
      </c>
      <c r="Q6" s="187">
        <v>1170</v>
      </c>
      <c r="R6" s="58" t="str">
        <f ca="1">IF(Q6="NULL","",VLOOKUP($Q6,OFFSET([1]characters!$A$1,0,0,COUNTA([1]characters!$A:$A),MATCH(R$1,[1]characters!$1:$1,0)-MATCH($A$1,[1]characters!$1:$1,0)+1),MATCH(R$1,[1]characters!$1:$1,0)-MATCH($A$1,[1]characters!$1:$1,0)+1,FALSE))</f>
        <v>極彩龍筆 ヘイウェイ</v>
      </c>
      <c r="S6" s="5">
        <f t="shared" ca="1" si="0"/>
        <v>786</v>
      </c>
      <c r="T6" s="58" t="str">
        <f ca="1">VLOOKUP($S6,OFFSET([1]characters!$A$1,0,0,COUNTA([1]characters!$A:$A),MATCH(T$1,[1]characters!$1:$1,0)-MATCH($A$1,[1]characters!$1:$1,0)+1),MATCH(T$1,[1]characters!$1:$1,0)-MATCH($A$1,[1]characters!$1:$1,0)+1,FALSE)</f>
        <v>ヘイウェイ</v>
      </c>
      <c r="U6" s="10">
        <f ca="1">IF(Q6="NULL","NULL",VLOOKUP(G6,[2]ビット!$A$2:$B$7,2))</f>
        <v>200000</v>
      </c>
    </row>
    <row r="7" spans="1:21" ht="21" customHeight="1" x14ac:dyDescent="0.15">
      <c r="A7" s="191">
        <v>787</v>
      </c>
      <c r="B7" s="53" t="str">
        <f ca="1">VLOOKUP($A7,OFFSET([1]characters!$A$1,0,0,COUNTA([1]characters!$A:$A),MATCH(B$1,[1]characters!$1:$1,0)-MATCH($A$1,[1]characters!$1:$1,0)+1),MATCH(B$1,[1]characters!$1:$1,0)-MATCH($A$1,[1]characters!$1:$1,0)+1,FALSE)</f>
        <v>極閃描牙 ヘイウェイ</v>
      </c>
      <c r="C7" s="53" t="str">
        <f ca="1">VLOOKUP($A7,OFFSET([1]characters!$A$1,0,0,COUNTA([1]characters!$A:$A),MATCH(C$1,[1]characters!$1:$1,0)-MATCH($A$1,[1]characters!$1:$1,0)+1),MATCH(C$1,[1]characters!$1:$1,0)-MATCH($A$1,[1]characters!$1:$1,0)+1,FALSE)</f>
        <v>ガチャ:赤フェス02</v>
      </c>
      <c r="D7" s="53" t="str">
        <f ca="1">VLOOKUP($A7,OFFSET([1]characters!$A$1,0,0,COUNTA([1]characters!$A:$A),MATCH(D$1,[1]characters!$1:$1,0)-MATCH($A$1,[1]characters!$1:$1,0)+1),MATCH(D$1,[1]characters!$1:$1,0)-MATCH($A$1,[1]characters!$1:$1,0)+1,FALSE)</f>
        <v>執行者</v>
      </c>
      <c r="E7" s="53" t="str">
        <f ca="1">VLOOKUP($A7,OFFSET([1]characters!$A$1,0,0,COUNTA([1]characters!$A:$A),MATCH(E$1,[1]characters!$1:$1,0)-MATCH($A$1,[1]characters!$1:$1,0)+1),MATCH(E$1,[1]characters!$1:$1,0)-MATCH($A$1,[1]characters!$1:$1,0)+1,FALSE)</f>
        <v>格好いい</v>
      </c>
      <c r="F7" s="53" t="str">
        <f ca="1">VLOOKUP($A7,OFFSET([1]characters!$A$1,0,0,COUNTA([1]characters!$A:$A),MATCH(F$1,[1]characters!$1:$1,0)-MATCH($A$1,[1]characters!$1:$1,0)+1),MATCH(F$1,[1]characters!$1:$1,0)-MATCH($A$1,[1]characters!$1:$1,0)+1,FALSE)</f>
        <v>男性</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PremiumSSS</v>
      </c>
      <c r="I7" s="53" t="str">
        <f ca="1">VLOOKUP($A7,OFFSET([1]characters!$A$1,0,0,COUNTA([1]characters!$A:$A),MATCH(I$1,[1]characters!$1:$1,0)-MATCH($A$1,[1]characters!$1:$1,0)+1),MATCH(I$1,[1]characters!$1:$1,0)-MATCH($A$1,[1]characters!$1:$1,0)+1,FALSE)</f>
        <v>red</v>
      </c>
      <c r="J7" s="53" t="str">
        <f ca="1">VLOOKUP($A7,OFFSET([1]characters!$A$1,0,0,COUNTA([1]characters!$A:$A),MATCH(J$1,[1]characters!$1:$1,0)-MATCH($A$1,[1]characters!$1:$1,0)+1),MATCH(J$1,[1]characters!$1:$1,0)-MATCH($A$1,[1]characters!$1:$1,0)+1,FALSE)</f>
        <v>human</v>
      </c>
      <c r="K7" s="5" t="str">
        <f ca="1">VLOOKUP(J7,[1]character_tribe_i18n!$A:$H,3,FALSE)</f>
        <v>ヒューマン</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super</v>
      </c>
      <c r="Q7" s="187">
        <v>1170</v>
      </c>
      <c r="R7" s="58" t="str">
        <f ca="1">IF(Q7="NULL","",VLOOKUP($Q7,OFFSET([1]characters!$A$1,0,0,COUNTA([1]characters!$A:$A),MATCH(R$1,[1]characters!$1:$1,0)-MATCH($A$1,[1]characters!$1:$1,0)+1),MATCH(R$1,[1]characters!$1:$1,0)-MATCH($A$1,[1]characters!$1:$1,0)+1,FALSE))</f>
        <v>極彩龍筆 ヘイウェイ</v>
      </c>
      <c r="S7" s="5">
        <f t="shared" ca="1" si="0"/>
        <v>786</v>
      </c>
      <c r="T7" s="58" t="str">
        <f ca="1">VLOOKUP($S7,OFFSET([1]characters!$A$1,0,0,COUNTA([1]characters!$A:$A),MATCH(T$1,[1]characters!$1:$1,0)-MATCH($A$1,[1]characters!$1:$1,0)+1),MATCH(T$1,[1]characters!$1:$1,0)-MATCH($A$1,[1]characters!$1:$1,0)+1,FALSE)</f>
        <v>ヘイウェイ</v>
      </c>
      <c r="U7" s="10">
        <f ca="1">IF(Q7="NULL","NULL",VLOOKUP(G7,[2]ビット!$A$2:$B$7,2))</f>
        <v>200000</v>
      </c>
    </row>
    <row r="8" spans="1:21" ht="21" customHeight="1" x14ac:dyDescent="0.15">
      <c r="A8" s="191">
        <v>1170</v>
      </c>
      <c r="B8" s="53" t="str">
        <f ca="1">VLOOKUP($A8,OFFSET([1]characters!$A$1,0,0,COUNTA([1]characters!$A:$A),MATCH(B$1,[1]characters!$1:$1,0)-MATCH($A$1,[1]characters!$1:$1,0)+1),MATCH(B$1,[1]characters!$1:$1,0)-MATCH($A$1,[1]characters!$1:$1,0)+1,FALSE)</f>
        <v>極彩龍筆 ヘイウェイ</v>
      </c>
      <c r="C8" s="53" t="str">
        <f ca="1">VLOOKUP($A8,OFFSET([1]characters!$A$1,0,0,COUNTA([1]characters!$A:$A),MATCH(C$1,[1]characters!$1:$1,0)-MATCH($A$1,[1]characters!$1:$1,0)+1),MATCH(C$1,[1]characters!$1:$1,0)-MATCH($A$1,[1]characters!$1:$1,0)+1,FALSE)</f>
        <v>未定</v>
      </c>
      <c r="D8" s="53" t="str">
        <f ca="1">VLOOKUP($A8,OFFSET([1]characters!$A$1,0,0,COUNTA([1]characters!$A:$A),MATCH(D$1,[1]characters!$1:$1,0)-MATCH($A$1,[1]characters!$1:$1,0)+1),MATCH(D$1,[1]characters!$1:$1,0)-MATCH($A$1,[1]characters!$1:$1,0)+1,FALSE)</f>
        <v>アリス</v>
      </c>
      <c r="E8" s="53" t="str">
        <f ca="1">VLOOKUP($A8,OFFSET([1]characters!$A$1,0,0,COUNTA([1]characters!$A:$A),MATCH(E$1,[1]characters!$1:$1,0)-MATCH($A$1,[1]characters!$1:$1,0)+1),MATCH(E$1,[1]characters!$1:$1,0)-MATCH($A$1,[1]characters!$1:$1,0)+1,FALSE)</f>
        <v>世界観</v>
      </c>
      <c r="F8" s="53" t="str">
        <f ca="1">VLOOKUP($A8,OFFSET([1]characters!$A$1,0,0,COUNTA([1]characters!$A:$A),MATCH(F$1,[1]characters!$1:$1,0)-MATCH($A$1,[1]characters!$1:$1,0)+1),MATCH(F$1,[1]characters!$1:$1,0)-MATCH($A$1,[1]characters!$1:$1,0)+1,FALSE)</f>
        <v>不明</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PremiumSSS</v>
      </c>
      <c r="I8" s="53" t="str">
        <f ca="1">VLOOKUP($A8,OFFSET([1]characters!$A$1,0,0,COUNTA([1]characters!$A:$A),MATCH(I$1,[1]characters!$1:$1,0)-MATCH($A$1,[1]characters!$1:$1,0)+1),MATCH(I$1,[1]characters!$1:$1,0)-MATCH($A$1,[1]characters!$1:$1,0)+1,FALSE)</f>
        <v>red</v>
      </c>
      <c r="J8" s="53" t="str">
        <f ca="1">VLOOKUP($A8,OFFSET([1]characters!$A$1,0,0,COUNTA([1]characters!$A:$A),MATCH(J$1,[1]characters!$1:$1,0)-MATCH($A$1,[1]characters!$1:$1,0)+1),MATCH(J$1,[1]characters!$1:$1,0)-MATCH($A$1,[1]characters!$1:$1,0)+1,FALSE)</f>
        <v>unknown</v>
      </c>
      <c r="K8" s="5" t="str">
        <f ca="1">VLOOKUP(J8,[1]character_tribe_i18n!$A:$H,3,FALSE)</f>
        <v>Unknown</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787</v>
      </c>
      <c r="R8" s="58" t="str">
        <f ca="1">IF(Q8="NULL","",VLOOKUP($Q8,OFFSET([1]characters!$A$1,0,0,COUNTA([1]characters!$A:$A),MATCH(R$1,[1]characters!$1:$1,0)-MATCH($A$1,[1]characters!$1:$1,0)+1),MATCH(R$1,[1]characters!$1:$1,0)-MATCH($A$1,[1]characters!$1:$1,0)+1,FALSE))</f>
        <v>極閃描牙 ヘイウェイ</v>
      </c>
      <c r="S8" s="5">
        <f t="shared" ca="1" si="0"/>
        <v>786</v>
      </c>
      <c r="T8" s="58" t="str">
        <f ca="1">VLOOKUP($S8,OFFSET([1]characters!$A$1,0,0,COUNTA([1]characters!$A:$A),MATCH(T$1,[1]characters!$1:$1,0)-MATCH($A$1,[1]characters!$1:$1,0)+1),MATCH(T$1,[1]characters!$1:$1,0)-MATCH($A$1,[1]characters!$1:$1,0)+1,FALSE)</f>
        <v>ヘイウェイ</v>
      </c>
      <c r="U8" s="10">
        <f ca="1">IF(Q8="NULL","NULL",VLOOKUP(G8,[2]ビット!$A$2:$B$7,2))</f>
        <v>200000</v>
      </c>
    </row>
  </sheetData>
  <autoFilter ref="A1:U2"/>
  <phoneticPr fontId="22"/>
  <conditionalFormatting sqref="W1:W4 W9:W1048576">
    <cfRule type="cellIs" dxfId="27" priority="9" operator="equal">
      <formula>"FALSE"</formula>
    </cfRule>
  </conditionalFormatting>
  <conditionalFormatting sqref="W5">
    <cfRule type="cellIs" dxfId="26" priority="3" operator="equal">
      <formula>"FALSE"</formula>
    </cfRule>
  </conditionalFormatting>
  <conditionalFormatting sqref="W6:W7">
    <cfRule type="cellIs" dxfId="25" priority="2" operator="equal">
      <formula>"FALSE"</formula>
    </cfRule>
  </conditionalFormatting>
  <conditionalFormatting sqref="W8">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1"/>
  <sheetViews>
    <sheetView showGridLines="0" topLeftCell="C1" workbookViewId="0">
      <pane ySplit="1" topLeftCell="A2" activePane="bottomLeft" state="frozen"/>
      <selection pane="bottomLeft" activeCell="J14" sqref="J14:M18"/>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287</v>
      </c>
      <c r="D1" s="18" t="s">
        <v>40</v>
      </c>
      <c r="E1" s="18" t="s">
        <v>42</v>
      </c>
      <c r="F1" s="18" t="s">
        <v>43</v>
      </c>
      <c r="G1" s="177" t="s">
        <v>288</v>
      </c>
      <c r="H1" s="18" t="s">
        <v>40</v>
      </c>
      <c r="I1" s="40" t="s">
        <v>36</v>
      </c>
      <c r="J1" s="18" t="s">
        <v>41</v>
      </c>
      <c r="K1" s="17" t="s">
        <v>37</v>
      </c>
      <c r="L1" s="179" t="s">
        <v>127</v>
      </c>
      <c r="M1" s="180" t="s">
        <v>290</v>
      </c>
    </row>
    <row r="2" spans="1:14" ht="21" customHeight="1" x14ac:dyDescent="0.15">
      <c r="A2" s="61" t="str">
        <f t="shared" ref="A2:A13" si="0">B2&amp;"_"&amp;I2</f>
        <v>1161_114</v>
      </c>
      <c r="B2" s="195">
        <v>1161</v>
      </c>
      <c r="C2" s="178">
        <f t="shared" ref="C2:C13" si="1">B2</f>
        <v>1161</v>
      </c>
      <c r="D2" s="53" t="str">
        <f ca="1">VLOOKUP($C2,OFFSET([1]characters!$A$1,0,0,COUNTA([1]characters!$A:$A),MATCH(D$1,[1]characters!$1:$1,0)-MATCH($C$1,[1]characters!$1:$1,0)+1),MATCH(D$1,[1]characters!$1:$1,0)-MATCH($C$1,[1]characters!$1:$1,0)+1,FALSE)</f>
        <v>ヒルベルト</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1162</v>
      </c>
      <c r="H2" s="53" t="str">
        <f ca="1">VLOOKUP($G2,OFFSET([1]characters!$A$1,0,0,COUNTA([1]characters!$A:$A),MATCH(H$1,[1]characters!$1:$1,0)-MATCH($C$1,[1]characters!$1:$1,0)+1),MATCH(H$1,[1]characters!$1:$1,0)-MATCH($C$1,[1]characters!$1:$1,0)+1,FALSE)</f>
        <v>夢験次元の抽唱 ヒルベルト</v>
      </c>
      <c r="I2" s="194">
        <v>114</v>
      </c>
      <c r="J2" s="53" t="str">
        <f ca="1">VLOOKUP($I2,OFFSET([1]characters!$A$1,0,0,COUNTA([1]characters!$A:$A),MATCH(J$1,[1]characters!$1:$1,0)-MATCH($C$1,[1]characters!$1:$1,0)+1),MATCH(J$1,[1]characters!$1:$1,0)-MATCH($C$1,[1]characters!$1:$1,0)+1,FALSE)</f>
        <v>イエローラビット</v>
      </c>
      <c r="K2" s="192">
        <v>1</v>
      </c>
      <c r="L2" s="193">
        <v>1</v>
      </c>
      <c r="M2" s="193">
        <v>10</v>
      </c>
      <c r="N2" s="2" t="s">
        <v>289</v>
      </c>
    </row>
    <row r="3" spans="1:14" ht="21" customHeight="1" x14ac:dyDescent="0.15">
      <c r="A3" s="61" t="str">
        <f t="shared" si="0"/>
        <v>1161_115</v>
      </c>
      <c r="B3" s="195">
        <v>1161</v>
      </c>
      <c r="C3" s="178">
        <f t="shared" si="1"/>
        <v>1161</v>
      </c>
      <c r="D3" s="53" t="str">
        <f ca="1">VLOOKUP($C3,OFFSET([1]characters!$A$1,0,0,COUNTA([1]characters!$A:$A),MATCH(D$1,[1]characters!$1:$1,0)-MATCH($C$1,[1]characters!$1:$1,0)+1),MATCH(D$1,[1]characters!$1:$1,0)-MATCH($C$1,[1]characters!$1:$1,0)+1,FALSE)</f>
        <v>ヒルベルト</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1162</v>
      </c>
      <c r="H3" s="53" t="str">
        <f ca="1">VLOOKUP($G3,OFFSET([1]characters!$A$1,0,0,COUNTA([1]characters!$A:$A),MATCH(H$1,[1]characters!$1:$1,0)-MATCH($C$1,[1]characters!$1:$1,0)+1),MATCH(H$1,[1]characters!$1:$1,0)-MATCH($C$1,[1]characters!$1:$1,0)+1,FALSE)</f>
        <v>夢験次元の抽唱 ヒルベルト</v>
      </c>
      <c r="I3" s="194">
        <v>115</v>
      </c>
      <c r="J3" s="53" t="str">
        <f ca="1">VLOOKUP($I3,OFFSET([1]characters!$A$1,0,0,COUNTA([1]characters!$A:$A),MATCH(J$1,[1]characters!$1:$1,0)-MATCH($C$1,[1]characters!$1:$1,0)+1),MATCH(J$1,[1]characters!$1:$1,0)-MATCH($C$1,[1]characters!$1:$1,0)+1,FALSE)</f>
        <v>イエローキャタップ</v>
      </c>
      <c r="K3" s="192">
        <v>1</v>
      </c>
      <c r="L3" s="193">
        <v>1</v>
      </c>
      <c r="M3" s="193">
        <v>10</v>
      </c>
      <c r="N3" s="2" t="s">
        <v>289</v>
      </c>
    </row>
    <row r="4" spans="1:14" ht="21" customHeight="1" x14ac:dyDescent="0.15">
      <c r="A4" s="61" t="str">
        <f t="shared" si="0"/>
        <v>1161_359</v>
      </c>
      <c r="B4" s="195">
        <v>1161</v>
      </c>
      <c r="C4" s="178">
        <f t="shared" si="1"/>
        <v>1161</v>
      </c>
      <c r="D4" s="53" t="str">
        <f ca="1">VLOOKUP($C4,OFFSET([1]characters!$A$1,0,0,COUNTA([1]characters!$A:$A),MATCH(D$1,[1]characters!$1:$1,0)-MATCH($C$1,[1]characters!$1:$1,0)+1),MATCH(D$1,[1]characters!$1:$1,0)-MATCH($C$1,[1]characters!$1:$1,0)+1,FALSE)</f>
        <v>ヒルベルト</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1162</v>
      </c>
      <c r="H4" s="53" t="str">
        <f ca="1">VLOOKUP($G4,OFFSET([1]characters!$A$1,0,0,COUNTA([1]characters!$A:$A),MATCH(H$1,[1]characters!$1:$1,0)-MATCH($C$1,[1]characters!$1:$1,0)+1),MATCH(H$1,[1]characters!$1:$1,0)-MATCH($C$1,[1]characters!$1:$1,0)+1,FALSE)</f>
        <v>夢験次元の抽唱 ヒルベルト</v>
      </c>
      <c r="I4" s="194">
        <v>359</v>
      </c>
      <c r="J4" s="53" t="str">
        <f ca="1">VLOOKUP($I4,OFFSET([1]characters!$A$1,0,0,COUNTA([1]characters!$A:$A),MATCH(J$1,[1]characters!$1:$1,0)-MATCH($C$1,[1]characters!$1:$1,0)+1),MATCH(J$1,[1]characters!$1:$1,0)-MATCH($C$1,[1]characters!$1:$1,0)+1,FALSE)</f>
        <v>醒電の眠りネズミ</v>
      </c>
      <c r="K4" s="192">
        <v>1</v>
      </c>
      <c r="L4" s="193">
        <v>1</v>
      </c>
      <c r="M4" s="193">
        <v>10</v>
      </c>
      <c r="N4" s="2" t="s">
        <v>289</v>
      </c>
    </row>
    <row r="5" spans="1:14" ht="21" customHeight="1" x14ac:dyDescent="0.15">
      <c r="A5" s="61" t="str">
        <f t="shared" si="0"/>
        <v>1161_837</v>
      </c>
      <c r="B5" s="195">
        <v>1161</v>
      </c>
      <c r="C5" s="178">
        <f t="shared" si="1"/>
        <v>1161</v>
      </c>
      <c r="D5" s="53" t="str">
        <f ca="1">VLOOKUP($C5,OFFSET([1]characters!$A$1,0,0,COUNTA([1]characters!$A:$A),MATCH(D$1,[1]characters!$1:$1,0)-MATCH($C$1,[1]characters!$1:$1,0)+1),MATCH(D$1,[1]characters!$1:$1,0)-MATCH($C$1,[1]characters!$1:$1,0)+1,FALSE)</f>
        <v>ヒルベルト</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1162</v>
      </c>
      <c r="H5" s="53" t="str">
        <f ca="1">VLOOKUP($G5,OFFSET([1]characters!$A$1,0,0,COUNTA([1]characters!$A:$A),MATCH(H$1,[1]characters!$1:$1,0)-MATCH($C$1,[1]characters!$1:$1,0)+1),MATCH(H$1,[1]characters!$1:$1,0)-MATCH($C$1,[1]characters!$1:$1,0)+1,FALSE)</f>
        <v>夢験次元の抽唱 ヒルベルト</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289</v>
      </c>
    </row>
    <row r="6" spans="1:14" ht="21" customHeight="1" x14ac:dyDescent="0.15">
      <c r="A6" s="61" t="str">
        <f t="shared" si="0"/>
        <v>1161_764</v>
      </c>
      <c r="B6" s="195">
        <v>1161</v>
      </c>
      <c r="C6" s="178">
        <f t="shared" si="1"/>
        <v>1161</v>
      </c>
      <c r="D6" s="53" t="str">
        <f ca="1">VLOOKUP($C6,OFFSET([1]characters!$A$1,0,0,COUNTA([1]characters!$A:$A),MATCH(D$1,[1]characters!$1:$1,0)-MATCH($C$1,[1]characters!$1:$1,0)+1),MATCH(D$1,[1]characters!$1:$1,0)-MATCH($C$1,[1]characters!$1:$1,0)+1,FALSE)</f>
        <v>ヒルベルト</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PremiumSSS</v>
      </c>
      <c r="G6" s="195">
        <v>1163</v>
      </c>
      <c r="H6" s="53" t="str">
        <f ca="1">VLOOKUP($G6,OFFSET([1]characters!$A$1,0,0,COUNTA([1]characters!$A:$A),MATCH(H$1,[1]characters!$1:$1,0)-MATCH($C$1,[1]characters!$1:$1,0)+1),MATCH(H$1,[1]characters!$1:$1,0)-MATCH($C$1,[1]characters!$1:$1,0)+1,FALSE)</f>
        <v>命題唱鳴計画 ヒルベルト</v>
      </c>
      <c r="I6" s="194">
        <v>764</v>
      </c>
      <c r="J6" s="53" t="str">
        <f ca="1">VLOOKUP($I6,OFFSET([1]characters!$A$1,0,0,COUNTA([1]characters!$A:$A),MATCH(J$1,[1]characters!$1:$1,0)-MATCH($C$1,[1]characters!$1:$1,0)+1),MATCH(J$1,[1]characters!$1:$1,0)-MATCH($C$1,[1]characters!$1:$1,0)+1,FALSE)</f>
        <v>ライオネル</v>
      </c>
      <c r="K6" s="192">
        <v>1</v>
      </c>
      <c r="L6" s="193">
        <v>3</v>
      </c>
      <c r="M6" s="193">
        <v>100</v>
      </c>
      <c r="N6" s="2" t="s">
        <v>289</v>
      </c>
    </row>
    <row r="7" spans="1:14" ht="21" customHeight="1" x14ac:dyDescent="0.15">
      <c r="A7" s="61" t="str">
        <f t="shared" si="0"/>
        <v>1161_581</v>
      </c>
      <c r="B7" s="195">
        <v>1161</v>
      </c>
      <c r="C7" s="178">
        <f t="shared" si="1"/>
        <v>1161</v>
      </c>
      <c r="D7" s="53" t="str">
        <f ca="1">VLOOKUP($C7,OFFSET([1]characters!$A$1,0,0,COUNTA([1]characters!$A:$A),MATCH(D$1,[1]characters!$1:$1,0)-MATCH($C$1,[1]characters!$1:$1,0)+1),MATCH(D$1,[1]characters!$1:$1,0)-MATCH($C$1,[1]characters!$1:$1,0)+1,FALSE)</f>
        <v>ヒルベルト</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PremiumSSS</v>
      </c>
      <c r="G7" s="195">
        <v>1163</v>
      </c>
      <c r="H7" s="53" t="str">
        <f ca="1">VLOOKUP($G7,OFFSET([1]characters!$A$1,0,0,COUNTA([1]characters!$A:$A),MATCH(H$1,[1]characters!$1:$1,0)-MATCH($C$1,[1]characters!$1:$1,0)+1),MATCH(H$1,[1]characters!$1:$1,0)-MATCH($C$1,[1]characters!$1:$1,0)+1,FALSE)</f>
        <v>命題唱鳴計画 ヒルベルト</v>
      </c>
      <c r="I7" s="194">
        <v>581</v>
      </c>
      <c r="J7" s="53" t="str">
        <f ca="1">VLOOKUP($I7,OFFSET([1]characters!$A$1,0,0,COUNTA([1]characters!$A:$A),MATCH(J$1,[1]characters!$1:$1,0)-MATCH($C$1,[1]characters!$1:$1,0)+1),MATCH(J$1,[1]characters!$1:$1,0)-MATCH($C$1,[1]characters!$1:$1,0)+1,FALSE)</f>
        <v>フギンとムニン</v>
      </c>
      <c r="K7" s="192">
        <v>1</v>
      </c>
      <c r="L7" s="193">
        <v>3</v>
      </c>
      <c r="M7" s="193">
        <v>100</v>
      </c>
      <c r="N7" s="2" t="s">
        <v>289</v>
      </c>
    </row>
    <row r="8" spans="1:14" ht="21" customHeight="1" x14ac:dyDescent="0.15">
      <c r="A8" s="61" t="str">
        <f t="shared" si="0"/>
        <v>1161_575</v>
      </c>
      <c r="B8" s="195">
        <v>1161</v>
      </c>
      <c r="C8" s="178">
        <f t="shared" si="1"/>
        <v>1161</v>
      </c>
      <c r="D8" s="53" t="str">
        <f ca="1">VLOOKUP($C8,OFFSET([1]characters!$A$1,0,0,COUNTA([1]characters!$A:$A),MATCH(D$1,[1]characters!$1:$1,0)-MATCH($C$1,[1]characters!$1:$1,0)+1),MATCH(D$1,[1]characters!$1:$1,0)-MATCH($C$1,[1]characters!$1:$1,0)+1,FALSE)</f>
        <v>ヒルベルト</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PremiumSSS</v>
      </c>
      <c r="G8" s="195">
        <v>1163</v>
      </c>
      <c r="H8" s="53" t="str">
        <f ca="1">VLOOKUP($G8,OFFSET([1]characters!$A$1,0,0,COUNTA([1]characters!$A:$A),MATCH(H$1,[1]characters!$1:$1,0)-MATCH($C$1,[1]characters!$1:$1,0)+1),MATCH(H$1,[1]characters!$1:$1,0)-MATCH($C$1,[1]characters!$1:$1,0)+1,FALSE)</f>
        <v>命題唱鳴計画 ヒルベルト</v>
      </c>
      <c r="I8" s="194">
        <v>575</v>
      </c>
      <c r="J8" s="53" t="str">
        <f ca="1">VLOOKUP($I8,OFFSET([1]characters!$A$1,0,0,COUNTA([1]characters!$A:$A),MATCH(J$1,[1]characters!$1:$1,0)-MATCH($C$1,[1]characters!$1:$1,0)+1),MATCH(J$1,[1]characters!$1:$1,0)-MATCH($C$1,[1]characters!$1:$1,0)+1,FALSE)</f>
        <v>フレイ</v>
      </c>
      <c r="K8" s="192">
        <v>1</v>
      </c>
      <c r="L8" s="193">
        <v>1</v>
      </c>
      <c r="M8" s="193">
        <v>100</v>
      </c>
      <c r="N8" s="2" t="s">
        <v>289</v>
      </c>
    </row>
    <row r="9" spans="1:14" ht="21" customHeight="1" x14ac:dyDescent="0.15">
      <c r="A9" s="61" t="str">
        <f t="shared" si="0"/>
        <v>1162_764</v>
      </c>
      <c r="B9" s="195">
        <v>1162</v>
      </c>
      <c r="C9" s="178">
        <f t="shared" si="1"/>
        <v>1162</v>
      </c>
      <c r="D9" s="53" t="str">
        <f ca="1">VLOOKUP($C9,OFFSET([1]characters!$A$1,0,0,COUNTA([1]characters!$A:$A),MATCH(D$1,[1]characters!$1:$1,0)-MATCH($C$1,[1]characters!$1:$1,0)+1),MATCH(D$1,[1]characters!$1:$1,0)-MATCH($C$1,[1]characters!$1:$1,0)+1,FALSE)</f>
        <v>夢験次元の抽唱 ヒルベルト</v>
      </c>
      <c r="E9" s="53">
        <f ca="1">VLOOKUP($C9,OFFSET([1]characters!$A$1,0,0,COUNTA([1]characters!$A:$A),MATCH(E$1,[1]characters!$1:$1,0)-MATCH($C$1,[1]characters!$1:$1,0)+1),MATCH(E$1,[1]characters!$1:$1,0)-MATCH($C$1,[1]characters!$1:$1,0)+1,FALSE)</f>
        <v>6</v>
      </c>
      <c r="F9" s="53" t="str">
        <f ca="1">VLOOKUP($C9,OFFSET([1]characters!$A$1,0,0,COUNTA([1]characters!$A:$A),MATCH(F$1,[1]characters!$1:$1,0)-MATCH($C$1,[1]characters!$1:$1,0)+1),MATCH(F$1,[1]characters!$1:$1,0)-MATCH($C$1,[1]characters!$1:$1,0)+1,FALSE)</f>
        <v>PremiumSSS</v>
      </c>
      <c r="G9" s="195">
        <v>1163</v>
      </c>
      <c r="H9" s="53" t="str">
        <f ca="1">VLOOKUP($G9,OFFSET([1]characters!$A$1,0,0,COUNTA([1]characters!$A:$A),MATCH(H$1,[1]characters!$1:$1,0)-MATCH($C$1,[1]characters!$1:$1,0)+1),MATCH(H$1,[1]characters!$1:$1,0)-MATCH($C$1,[1]characters!$1:$1,0)+1,FALSE)</f>
        <v>命題唱鳴計画 ヒルベルト</v>
      </c>
      <c r="I9" s="194">
        <v>764</v>
      </c>
      <c r="J9" s="53" t="str">
        <f ca="1">VLOOKUP($I9,OFFSET([1]characters!$A$1,0,0,COUNTA([1]characters!$A:$A),MATCH(J$1,[1]characters!$1:$1,0)-MATCH($C$1,[1]characters!$1:$1,0)+1),MATCH(J$1,[1]characters!$1:$1,0)-MATCH($C$1,[1]characters!$1:$1,0)+1,FALSE)</f>
        <v>ライオネル</v>
      </c>
      <c r="K9" s="192">
        <v>1</v>
      </c>
      <c r="L9" s="193">
        <v>2</v>
      </c>
      <c r="M9" s="193">
        <v>100</v>
      </c>
      <c r="N9" s="2" t="s">
        <v>289</v>
      </c>
    </row>
    <row r="10" spans="1:14" ht="21" customHeight="1" x14ac:dyDescent="0.15">
      <c r="A10" s="61" t="str">
        <f t="shared" si="0"/>
        <v>1162_581</v>
      </c>
      <c r="B10" s="195">
        <v>1162</v>
      </c>
      <c r="C10" s="178">
        <f t="shared" si="1"/>
        <v>1162</v>
      </c>
      <c r="D10" s="53" t="str">
        <f ca="1">VLOOKUP($C10,OFFSET([1]characters!$A$1,0,0,COUNTA([1]characters!$A:$A),MATCH(D$1,[1]characters!$1:$1,0)-MATCH($C$1,[1]characters!$1:$1,0)+1),MATCH(D$1,[1]characters!$1:$1,0)-MATCH($C$1,[1]characters!$1:$1,0)+1,FALSE)</f>
        <v>夢験次元の抽唱 ヒルベルト</v>
      </c>
      <c r="E10" s="53">
        <f ca="1">VLOOKUP($C10,OFFSET([1]characters!$A$1,0,0,COUNTA([1]characters!$A:$A),MATCH(E$1,[1]characters!$1:$1,0)-MATCH($C$1,[1]characters!$1:$1,0)+1),MATCH(E$1,[1]characters!$1:$1,0)-MATCH($C$1,[1]characters!$1:$1,0)+1,FALSE)</f>
        <v>6</v>
      </c>
      <c r="F10" s="53" t="str">
        <f ca="1">VLOOKUP($C10,OFFSET([1]characters!$A$1,0,0,COUNTA([1]characters!$A:$A),MATCH(F$1,[1]characters!$1:$1,0)-MATCH($C$1,[1]characters!$1:$1,0)+1),MATCH(F$1,[1]characters!$1:$1,0)-MATCH($C$1,[1]characters!$1:$1,0)+1,FALSE)</f>
        <v>PremiumSSS</v>
      </c>
      <c r="G10" s="195">
        <v>1163</v>
      </c>
      <c r="H10" s="53" t="str">
        <f ca="1">VLOOKUP($G10,OFFSET([1]characters!$A$1,0,0,COUNTA([1]characters!$A:$A),MATCH(H$1,[1]characters!$1:$1,0)-MATCH($C$1,[1]characters!$1:$1,0)+1),MATCH(H$1,[1]characters!$1:$1,0)-MATCH($C$1,[1]characters!$1:$1,0)+1,FALSE)</f>
        <v>命題唱鳴計画 ヒルベルト</v>
      </c>
      <c r="I10" s="194">
        <v>581</v>
      </c>
      <c r="J10" s="53" t="str">
        <f ca="1">VLOOKUP($I10,OFFSET([1]characters!$A$1,0,0,COUNTA([1]characters!$A:$A),MATCH(J$1,[1]characters!$1:$1,0)-MATCH($C$1,[1]characters!$1:$1,0)+1),MATCH(J$1,[1]characters!$1:$1,0)-MATCH($C$1,[1]characters!$1:$1,0)+1,FALSE)</f>
        <v>フギンとムニン</v>
      </c>
      <c r="K10" s="192">
        <v>1</v>
      </c>
      <c r="L10" s="193">
        <v>2</v>
      </c>
      <c r="M10" s="193">
        <v>100</v>
      </c>
      <c r="N10" s="2" t="s">
        <v>289</v>
      </c>
    </row>
    <row r="11" spans="1:14" ht="21" customHeight="1" x14ac:dyDescent="0.15">
      <c r="A11" s="61" t="str">
        <f t="shared" si="0"/>
        <v>1163_359</v>
      </c>
      <c r="B11" s="195">
        <v>1163</v>
      </c>
      <c r="C11" s="178">
        <f t="shared" si="1"/>
        <v>1163</v>
      </c>
      <c r="D11" s="53" t="str">
        <f ca="1">VLOOKUP($C11,OFFSET([1]characters!$A$1,0,0,COUNTA([1]characters!$A:$A),MATCH(D$1,[1]characters!$1:$1,0)-MATCH($C$1,[1]characters!$1:$1,0)+1),MATCH(D$1,[1]characters!$1:$1,0)-MATCH($C$1,[1]characters!$1:$1,0)+1,FALSE)</f>
        <v>命題唱鳴計画 ヒルベルト</v>
      </c>
      <c r="E11" s="53">
        <f ca="1">VLOOKUP($C11,OFFSET([1]characters!$A$1,0,0,COUNTA([1]characters!$A:$A),MATCH(E$1,[1]characters!$1:$1,0)-MATCH($C$1,[1]characters!$1:$1,0)+1),MATCH(E$1,[1]characters!$1:$1,0)-MATCH($C$1,[1]characters!$1:$1,0)+1,FALSE)</f>
        <v>6</v>
      </c>
      <c r="F11" s="53" t="str">
        <f ca="1">VLOOKUP($C11,OFFSET([1]characters!$A$1,0,0,COUNTA([1]characters!$A:$A),MATCH(F$1,[1]characters!$1:$1,0)-MATCH($C$1,[1]characters!$1:$1,0)+1),MATCH(F$1,[1]characters!$1:$1,0)-MATCH($C$1,[1]characters!$1:$1,0)+1,FALSE)</f>
        <v>PremiumSSS</v>
      </c>
      <c r="G11" s="195">
        <v>1162</v>
      </c>
      <c r="H11" s="53" t="str">
        <f ca="1">VLOOKUP($G11,OFFSET([1]characters!$A$1,0,0,COUNTA([1]characters!$A:$A),MATCH(H$1,[1]characters!$1:$1,0)-MATCH($C$1,[1]characters!$1:$1,0)+1),MATCH(H$1,[1]characters!$1:$1,0)-MATCH($C$1,[1]characters!$1:$1,0)+1,FALSE)</f>
        <v>夢験次元の抽唱 ヒルベルト</v>
      </c>
      <c r="I11" s="194">
        <v>359</v>
      </c>
      <c r="J11" s="53" t="str">
        <f ca="1">VLOOKUP($I11,OFFSET([1]characters!$A$1,0,0,COUNTA([1]characters!$A:$A),MATCH(J$1,[1]characters!$1:$1,0)-MATCH($C$1,[1]characters!$1:$1,0)+1),MATCH(J$1,[1]characters!$1:$1,0)-MATCH($C$1,[1]characters!$1:$1,0)+1,FALSE)</f>
        <v>醒電の眠りネズミ</v>
      </c>
      <c r="K11" s="192">
        <v>1</v>
      </c>
      <c r="L11" s="193">
        <v>1</v>
      </c>
      <c r="M11" s="193">
        <v>10</v>
      </c>
      <c r="N11" s="2" t="s">
        <v>289</v>
      </c>
    </row>
    <row r="12" spans="1:14" ht="21" customHeight="1" x14ac:dyDescent="0.15">
      <c r="A12" s="61" t="str">
        <f t="shared" si="0"/>
        <v>1163_115</v>
      </c>
      <c r="B12" s="195">
        <v>1163</v>
      </c>
      <c r="C12" s="178">
        <f t="shared" si="1"/>
        <v>1163</v>
      </c>
      <c r="D12" s="53" t="str">
        <f ca="1">VLOOKUP($C12,OFFSET([1]characters!$A$1,0,0,COUNTA([1]characters!$A:$A),MATCH(D$1,[1]characters!$1:$1,0)-MATCH($C$1,[1]characters!$1:$1,0)+1),MATCH(D$1,[1]characters!$1:$1,0)-MATCH($C$1,[1]characters!$1:$1,0)+1,FALSE)</f>
        <v>命題唱鳴計画 ヒルベルト</v>
      </c>
      <c r="E12" s="53">
        <f ca="1">VLOOKUP($C12,OFFSET([1]characters!$A$1,0,0,COUNTA([1]characters!$A:$A),MATCH(E$1,[1]characters!$1:$1,0)-MATCH($C$1,[1]characters!$1:$1,0)+1),MATCH(E$1,[1]characters!$1:$1,0)-MATCH($C$1,[1]characters!$1:$1,0)+1,FALSE)</f>
        <v>6</v>
      </c>
      <c r="F12" s="53" t="str">
        <f ca="1">VLOOKUP($C12,OFFSET([1]characters!$A$1,0,0,COUNTA([1]characters!$A:$A),MATCH(F$1,[1]characters!$1:$1,0)-MATCH($C$1,[1]characters!$1:$1,0)+1),MATCH(F$1,[1]characters!$1:$1,0)-MATCH($C$1,[1]characters!$1:$1,0)+1,FALSE)</f>
        <v>PremiumSSS</v>
      </c>
      <c r="G12" s="195">
        <v>1162</v>
      </c>
      <c r="H12" s="53" t="str">
        <f ca="1">VLOOKUP($G12,OFFSET([1]characters!$A$1,0,0,COUNTA([1]characters!$A:$A),MATCH(H$1,[1]characters!$1:$1,0)-MATCH($C$1,[1]characters!$1:$1,0)+1),MATCH(H$1,[1]characters!$1:$1,0)-MATCH($C$1,[1]characters!$1:$1,0)+1,FALSE)</f>
        <v>夢験次元の抽唱 ヒルベルト</v>
      </c>
      <c r="I12" s="194">
        <v>115</v>
      </c>
      <c r="J12" s="53" t="str">
        <f ca="1">VLOOKUP($I12,OFFSET([1]characters!$A$1,0,0,COUNTA([1]characters!$A:$A),MATCH(J$1,[1]characters!$1:$1,0)-MATCH($C$1,[1]characters!$1:$1,0)+1),MATCH(J$1,[1]characters!$1:$1,0)-MATCH($C$1,[1]characters!$1:$1,0)+1,FALSE)</f>
        <v>イエローキャタップ</v>
      </c>
      <c r="K12" s="192">
        <v>1</v>
      </c>
      <c r="L12" s="193">
        <v>1</v>
      </c>
      <c r="M12" s="193">
        <v>10</v>
      </c>
      <c r="N12" s="2" t="s">
        <v>289</v>
      </c>
    </row>
    <row r="13" spans="1:14" ht="21" customHeight="1" x14ac:dyDescent="0.15">
      <c r="A13" s="61" t="str">
        <f t="shared" si="0"/>
        <v>1163_114</v>
      </c>
      <c r="B13" s="195">
        <v>1163</v>
      </c>
      <c r="C13" s="178">
        <f t="shared" si="1"/>
        <v>1163</v>
      </c>
      <c r="D13" s="53" t="str">
        <f ca="1">VLOOKUP($C13,OFFSET([1]characters!$A$1,0,0,COUNTA([1]characters!$A:$A),MATCH(D$1,[1]characters!$1:$1,0)-MATCH($C$1,[1]characters!$1:$1,0)+1),MATCH(D$1,[1]characters!$1:$1,0)-MATCH($C$1,[1]characters!$1:$1,0)+1,FALSE)</f>
        <v>命題唱鳴計画 ヒルベルト</v>
      </c>
      <c r="E13" s="53">
        <f ca="1">VLOOKUP($C13,OFFSET([1]characters!$A$1,0,0,COUNTA([1]characters!$A:$A),MATCH(E$1,[1]characters!$1:$1,0)-MATCH($C$1,[1]characters!$1:$1,0)+1),MATCH(E$1,[1]characters!$1:$1,0)-MATCH($C$1,[1]characters!$1:$1,0)+1,FALSE)</f>
        <v>6</v>
      </c>
      <c r="F13" s="53" t="str">
        <f ca="1">VLOOKUP($C13,OFFSET([1]characters!$A$1,0,0,COUNTA([1]characters!$A:$A),MATCH(F$1,[1]characters!$1:$1,0)-MATCH($C$1,[1]characters!$1:$1,0)+1),MATCH(F$1,[1]characters!$1:$1,0)-MATCH($C$1,[1]characters!$1:$1,0)+1,FALSE)</f>
        <v>PremiumSSS</v>
      </c>
      <c r="G13" s="195">
        <v>1162</v>
      </c>
      <c r="H13" s="53" t="str">
        <f ca="1">VLOOKUP($G13,OFFSET([1]characters!$A$1,0,0,COUNTA([1]characters!$A:$A),MATCH(H$1,[1]characters!$1:$1,0)-MATCH($C$1,[1]characters!$1:$1,0)+1),MATCH(H$1,[1]characters!$1:$1,0)-MATCH($C$1,[1]characters!$1:$1,0)+1,FALSE)</f>
        <v>夢験次元の抽唱 ヒルベルト</v>
      </c>
      <c r="I13" s="194">
        <v>114</v>
      </c>
      <c r="J13" s="53" t="str">
        <f ca="1">VLOOKUP($I13,OFFSET([1]characters!$A$1,0,0,COUNTA([1]characters!$A:$A),MATCH(J$1,[1]characters!$1:$1,0)-MATCH($C$1,[1]characters!$1:$1,0)+1),MATCH(J$1,[1]characters!$1:$1,0)-MATCH($C$1,[1]characters!$1:$1,0)+1,FALSE)</f>
        <v>イエローラビット</v>
      </c>
      <c r="K13" s="192">
        <v>1</v>
      </c>
      <c r="L13" s="193">
        <v>1</v>
      </c>
      <c r="M13" s="193">
        <v>10</v>
      </c>
      <c r="N13" s="2" t="s">
        <v>289</v>
      </c>
    </row>
    <row r="14" spans="1:14" ht="21" customHeight="1" x14ac:dyDescent="0.15">
      <c r="A14" s="61" t="str">
        <f t="shared" ref="A14:A21" si="2">B14&amp;"_"&amp;I14</f>
        <v>786_1006</v>
      </c>
      <c r="B14" s="195">
        <v>786</v>
      </c>
      <c r="C14" s="178">
        <f t="shared" ref="C14:C21" si="3">B14</f>
        <v>786</v>
      </c>
      <c r="D14" s="53" t="str">
        <f ca="1">VLOOKUP($C14,OFFSET([1]characters!$A$1,0,0,COUNTA([1]characters!$A:$A),MATCH(D$1,[1]characters!$1:$1,0)-MATCH($C$1,[1]characters!$1:$1,0)+1),MATCH(D$1,[1]characters!$1:$1,0)-MATCH($C$1,[1]characters!$1:$1,0)+1,FALSE)</f>
        <v>ヘイウェイ</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PremiumSSS</v>
      </c>
      <c r="G14" s="195">
        <v>1170</v>
      </c>
      <c r="H14" s="53" t="str">
        <f ca="1">VLOOKUP($G14,OFFSET([1]characters!$A$1,0,0,COUNTA([1]characters!$A:$A),MATCH(H$1,[1]characters!$1:$1,0)-MATCH($C$1,[1]characters!$1:$1,0)+1),MATCH(H$1,[1]characters!$1:$1,0)-MATCH($C$1,[1]characters!$1:$1,0)+1,FALSE)</f>
        <v>極彩龍筆 ヘイウェイ</v>
      </c>
      <c r="I14" s="194">
        <v>1006</v>
      </c>
      <c r="J14" s="53" t="str">
        <f ca="1">VLOOKUP($I14,OFFSET([1]characters!$A$1,0,0,COUNTA([1]characters!$A:$A),MATCH(J$1,[1]characters!$1:$1,0)-MATCH($C$1,[1]characters!$1:$1,0)+1),MATCH(J$1,[1]characters!$1:$1,0)-MATCH($C$1,[1]characters!$1:$1,0)+1,FALSE)</f>
        <v>セルケト</v>
      </c>
      <c r="K14" s="192">
        <v>1</v>
      </c>
      <c r="L14" s="193">
        <v>3</v>
      </c>
      <c r="M14" s="193">
        <v>100</v>
      </c>
      <c r="N14" s="2" t="s">
        <v>289</v>
      </c>
    </row>
    <row r="15" spans="1:14" ht="21" customHeight="1" x14ac:dyDescent="0.15">
      <c r="A15" s="61" t="str">
        <f t="shared" si="2"/>
        <v>786_844</v>
      </c>
      <c r="B15" s="195">
        <v>786</v>
      </c>
      <c r="C15" s="178">
        <f t="shared" si="3"/>
        <v>786</v>
      </c>
      <c r="D15" s="53" t="str">
        <f ca="1">VLOOKUP($C15,OFFSET([1]characters!$A$1,0,0,COUNTA([1]characters!$A:$A),MATCH(D$1,[1]characters!$1:$1,0)-MATCH($C$1,[1]characters!$1:$1,0)+1),MATCH(D$1,[1]characters!$1:$1,0)-MATCH($C$1,[1]characters!$1:$1,0)+1,FALSE)</f>
        <v>ヘイウェイ</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PremiumSSS</v>
      </c>
      <c r="G15" s="195">
        <v>1170</v>
      </c>
      <c r="H15" s="53" t="str">
        <f ca="1">VLOOKUP($G15,OFFSET([1]characters!$A$1,0,0,COUNTA([1]characters!$A:$A),MATCH(H$1,[1]characters!$1:$1,0)-MATCH($C$1,[1]characters!$1:$1,0)+1),MATCH(H$1,[1]characters!$1:$1,0)-MATCH($C$1,[1]characters!$1:$1,0)+1,FALSE)</f>
        <v>極彩龍筆 ヘイウェイ</v>
      </c>
      <c r="I15" s="194">
        <v>844</v>
      </c>
      <c r="J15" s="53" t="str">
        <f ca="1">VLOOKUP($I15,OFFSET([1]characters!$A$1,0,0,COUNTA([1]characters!$A:$A),MATCH(J$1,[1]characters!$1:$1,0)-MATCH($C$1,[1]characters!$1:$1,0)+1),MATCH(J$1,[1]characters!$1:$1,0)-MATCH($C$1,[1]characters!$1:$1,0)+1,FALSE)</f>
        <v>ベルゼブブ</v>
      </c>
      <c r="K15" s="192">
        <v>1</v>
      </c>
      <c r="L15" s="193">
        <v>3</v>
      </c>
      <c r="M15" s="193">
        <v>100</v>
      </c>
      <c r="N15" s="2" t="s">
        <v>289</v>
      </c>
    </row>
    <row r="16" spans="1:14" ht="21" customHeight="1" x14ac:dyDescent="0.15">
      <c r="A16" s="61" t="str">
        <f t="shared" si="2"/>
        <v>786_1204</v>
      </c>
      <c r="B16" s="195">
        <v>786</v>
      </c>
      <c r="C16" s="178">
        <f t="shared" si="3"/>
        <v>786</v>
      </c>
      <c r="D16" s="53" t="str">
        <f ca="1">VLOOKUP($C16,OFFSET([1]characters!$A$1,0,0,COUNTA([1]characters!$A:$A),MATCH(D$1,[1]characters!$1:$1,0)-MATCH($C$1,[1]characters!$1:$1,0)+1),MATCH(D$1,[1]characters!$1:$1,0)-MATCH($C$1,[1]characters!$1:$1,0)+1,FALSE)</f>
        <v>ヘイウェイ</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PremiumSSS</v>
      </c>
      <c r="G16" s="195">
        <v>1170</v>
      </c>
      <c r="H16" s="53" t="str">
        <f ca="1">VLOOKUP($G16,OFFSET([1]characters!$A$1,0,0,COUNTA([1]characters!$A:$A),MATCH(H$1,[1]characters!$1:$1,0)-MATCH($C$1,[1]characters!$1:$1,0)+1),MATCH(H$1,[1]characters!$1:$1,0)-MATCH($C$1,[1]characters!$1:$1,0)+1,FALSE)</f>
        <v>極彩龍筆 ヘイウェイ</v>
      </c>
      <c r="I16" s="194">
        <v>1204</v>
      </c>
      <c r="J16" s="53" t="str">
        <f ca="1">VLOOKUP($I16,OFFSET([1]characters!$A$1,0,0,COUNTA([1]characters!$A:$A),MATCH(J$1,[1]characters!$1:$1,0)-MATCH($C$1,[1]characters!$1:$1,0)+1),MATCH(J$1,[1]characters!$1:$1,0)-MATCH($C$1,[1]characters!$1:$1,0)+1,FALSE)</f>
        <v>デルピュネー</v>
      </c>
      <c r="K16" s="192">
        <v>1</v>
      </c>
      <c r="L16" s="193">
        <v>1</v>
      </c>
      <c r="M16" s="193">
        <v>100</v>
      </c>
      <c r="N16" s="2" t="s">
        <v>289</v>
      </c>
    </row>
    <row r="17" spans="1:14" ht="21" customHeight="1" x14ac:dyDescent="0.15">
      <c r="A17" s="61" t="str">
        <f t="shared" si="2"/>
        <v>787_844</v>
      </c>
      <c r="B17" s="195">
        <v>787</v>
      </c>
      <c r="C17" s="178">
        <f t="shared" si="3"/>
        <v>787</v>
      </c>
      <c r="D17" s="53" t="str">
        <f ca="1">VLOOKUP($C17,OFFSET([1]characters!$A$1,0,0,COUNTA([1]characters!$A:$A),MATCH(D$1,[1]characters!$1:$1,0)-MATCH($C$1,[1]characters!$1:$1,0)+1),MATCH(D$1,[1]characters!$1:$1,0)-MATCH($C$1,[1]characters!$1:$1,0)+1,FALSE)</f>
        <v>極閃描牙 ヘイウェイ</v>
      </c>
      <c r="E17" s="53">
        <f ca="1">VLOOKUP($C17,OFFSET([1]characters!$A$1,0,0,COUNTA([1]characters!$A:$A),MATCH(E$1,[1]characters!$1:$1,0)-MATCH($C$1,[1]characters!$1:$1,0)+1),MATCH(E$1,[1]characters!$1:$1,0)-MATCH($C$1,[1]characters!$1:$1,0)+1,FALSE)</f>
        <v>6</v>
      </c>
      <c r="F17" s="53" t="str">
        <f ca="1">VLOOKUP($C17,OFFSET([1]characters!$A$1,0,0,COUNTA([1]characters!$A:$A),MATCH(F$1,[1]characters!$1:$1,0)-MATCH($C$1,[1]characters!$1:$1,0)+1),MATCH(F$1,[1]characters!$1:$1,0)-MATCH($C$1,[1]characters!$1:$1,0)+1,FALSE)</f>
        <v>PremiumSSS</v>
      </c>
      <c r="G17" s="195">
        <v>1170</v>
      </c>
      <c r="H17" s="53" t="str">
        <f ca="1">VLOOKUP($G17,OFFSET([1]characters!$A$1,0,0,COUNTA([1]characters!$A:$A),MATCH(H$1,[1]characters!$1:$1,0)-MATCH($C$1,[1]characters!$1:$1,0)+1),MATCH(H$1,[1]characters!$1:$1,0)-MATCH($C$1,[1]characters!$1:$1,0)+1,FALSE)</f>
        <v>極彩龍筆 ヘイウェイ</v>
      </c>
      <c r="I17" s="194">
        <v>844</v>
      </c>
      <c r="J17" s="53" t="str">
        <f ca="1">VLOOKUP($I17,OFFSET([1]characters!$A$1,0,0,COUNTA([1]characters!$A:$A),MATCH(J$1,[1]characters!$1:$1,0)-MATCH($C$1,[1]characters!$1:$1,0)+1),MATCH(J$1,[1]characters!$1:$1,0)-MATCH($C$1,[1]characters!$1:$1,0)+1,FALSE)</f>
        <v>ベルゼブブ</v>
      </c>
      <c r="K17" s="192">
        <v>1</v>
      </c>
      <c r="L17" s="193">
        <v>2</v>
      </c>
      <c r="M17" s="193">
        <v>100</v>
      </c>
      <c r="N17" s="2" t="s">
        <v>289</v>
      </c>
    </row>
    <row r="18" spans="1:14" ht="21" customHeight="1" x14ac:dyDescent="0.15">
      <c r="A18" s="61" t="str">
        <f t="shared" si="2"/>
        <v>787_1006</v>
      </c>
      <c r="B18" s="195">
        <v>787</v>
      </c>
      <c r="C18" s="178">
        <f t="shared" si="3"/>
        <v>787</v>
      </c>
      <c r="D18" s="53" t="str">
        <f ca="1">VLOOKUP($C18,OFFSET([1]characters!$A$1,0,0,COUNTA([1]characters!$A:$A),MATCH(D$1,[1]characters!$1:$1,0)-MATCH($C$1,[1]characters!$1:$1,0)+1),MATCH(D$1,[1]characters!$1:$1,0)-MATCH($C$1,[1]characters!$1:$1,0)+1,FALSE)</f>
        <v>極閃描牙 ヘイウェイ</v>
      </c>
      <c r="E18" s="53">
        <f ca="1">VLOOKUP($C18,OFFSET([1]characters!$A$1,0,0,COUNTA([1]characters!$A:$A),MATCH(E$1,[1]characters!$1:$1,0)-MATCH($C$1,[1]characters!$1:$1,0)+1),MATCH(E$1,[1]characters!$1:$1,0)-MATCH($C$1,[1]characters!$1:$1,0)+1,FALSE)</f>
        <v>6</v>
      </c>
      <c r="F18" s="53" t="str">
        <f ca="1">VLOOKUP($C18,OFFSET([1]characters!$A$1,0,0,COUNTA([1]characters!$A:$A),MATCH(F$1,[1]characters!$1:$1,0)-MATCH($C$1,[1]characters!$1:$1,0)+1),MATCH(F$1,[1]characters!$1:$1,0)-MATCH($C$1,[1]characters!$1:$1,0)+1,FALSE)</f>
        <v>PremiumSSS</v>
      </c>
      <c r="G18" s="195">
        <v>1170</v>
      </c>
      <c r="H18" s="53" t="str">
        <f ca="1">VLOOKUP($G18,OFFSET([1]characters!$A$1,0,0,COUNTA([1]characters!$A:$A),MATCH(H$1,[1]characters!$1:$1,0)-MATCH($C$1,[1]characters!$1:$1,0)+1),MATCH(H$1,[1]characters!$1:$1,0)-MATCH($C$1,[1]characters!$1:$1,0)+1,FALSE)</f>
        <v>極彩龍筆 ヘイウェイ</v>
      </c>
      <c r="I18" s="194">
        <v>1006</v>
      </c>
      <c r="J18" s="53" t="str">
        <f ca="1">VLOOKUP($I18,OFFSET([1]characters!$A$1,0,0,COUNTA([1]characters!$A:$A),MATCH(J$1,[1]characters!$1:$1,0)-MATCH($C$1,[1]characters!$1:$1,0)+1),MATCH(J$1,[1]characters!$1:$1,0)-MATCH($C$1,[1]characters!$1:$1,0)+1,FALSE)</f>
        <v>セルケト</v>
      </c>
      <c r="K18" s="192">
        <v>1</v>
      </c>
      <c r="L18" s="193">
        <v>2</v>
      </c>
      <c r="M18" s="193">
        <v>100</v>
      </c>
      <c r="N18" s="2" t="s">
        <v>289</v>
      </c>
    </row>
    <row r="19" spans="1:14" ht="21" customHeight="1" x14ac:dyDescent="0.15">
      <c r="A19" s="61" t="str">
        <f t="shared" si="2"/>
        <v>1170_103</v>
      </c>
      <c r="B19" s="195">
        <v>1170</v>
      </c>
      <c r="C19" s="178">
        <f t="shared" si="3"/>
        <v>1170</v>
      </c>
      <c r="D19" s="53" t="str">
        <f ca="1">VLOOKUP($C19,OFFSET([1]characters!$A$1,0,0,COUNTA([1]characters!$A:$A),MATCH(D$1,[1]characters!$1:$1,0)-MATCH($C$1,[1]characters!$1:$1,0)+1),MATCH(D$1,[1]characters!$1:$1,0)-MATCH($C$1,[1]characters!$1:$1,0)+1,FALSE)</f>
        <v>極彩龍筆 ヘイウェイ</v>
      </c>
      <c r="E19" s="53">
        <f ca="1">VLOOKUP($C19,OFFSET([1]characters!$A$1,0,0,COUNTA([1]characters!$A:$A),MATCH(E$1,[1]characters!$1:$1,0)-MATCH($C$1,[1]characters!$1:$1,0)+1),MATCH(E$1,[1]characters!$1:$1,0)-MATCH($C$1,[1]characters!$1:$1,0)+1,FALSE)</f>
        <v>6</v>
      </c>
      <c r="F19" s="53" t="str">
        <f ca="1">VLOOKUP($C19,OFFSET([1]characters!$A$1,0,0,COUNTA([1]characters!$A:$A),MATCH(F$1,[1]characters!$1:$1,0)-MATCH($C$1,[1]characters!$1:$1,0)+1),MATCH(F$1,[1]characters!$1:$1,0)-MATCH($C$1,[1]characters!$1:$1,0)+1,FALSE)</f>
        <v>PremiumSSS</v>
      </c>
      <c r="G19" s="195">
        <v>787</v>
      </c>
      <c r="H19" s="53" t="str">
        <f ca="1">VLOOKUP($G19,OFFSET([1]characters!$A$1,0,0,COUNTA([1]characters!$A:$A),MATCH(H$1,[1]characters!$1:$1,0)-MATCH($C$1,[1]characters!$1:$1,0)+1),MATCH(H$1,[1]characters!$1:$1,0)-MATCH($C$1,[1]characters!$1:$1,0)+1,FALSE)</f>
        <v>極閃描牙 ヘイウェイ</v>
      </c>
      <c r="I19" s="194">
        <v>103</v>
      </c>
      <c r="J19" s="53" t="str">
        <f ca="1">VLOOKUP($I19,OFFSET([1]characters!$A$1,0,0,COUNTA([1]characters!$A:$A),MATCH(J$1,[1]characters!$1:$1,0)-MATCH($C$1,[1]characters!$1:$1,0)+1),MATCH(J$1,[1]characters!$1:$1,0)-MATCH($C$1,[1]characters!$1:$1,0)+1,FALSE)</f>
        <v>レッドキャタップ</v>
      </c>
      <c r="K19" s="192">
        <v>1</v>
      </c>
      <c r="L19" s="193">
        <v>1</v>
      </c>
      <c r="M19" s="193">
        <v>10</v>
      </c>
      <c r="N19" s="2" t="s">
        <v>289</v>
      </c>
    </row>
    <row r="20" spans="1:14" ht="21" customHeight="1" x14ac:dyDescent="0.15">
      <c r="A20" s="61" t="str">
        <f t="shared" si="2"/>
        <v>1170_102</v>
      </c>
      <c r="B20" s="195">
        <v>1170</v>
      </c>
      <c r="C20" s="178">
        <f t="shared" si="3"/>
        <v>1170</v>
      </c>
      <c r="D20" s="53" t="str">
        <f ca="1">VLOOKUP($C20,OFFSET([1]characters!$A$1,0,0,COUNTA([1]characters!$A:$A),MATCH(D$1,[1]characters!$1:$1,0)-MATCH($C$1,[1]characters!$1:$1,0)+1),MATCH(D$1,[1]characters!$1:$1,0)-MATCH($C$1,[1]characters!$1:$1,0)+1,FALSE)</f>
        <v>極彩龍筆 ヘイウェイ</v>
      </c>
      <c r="E20" s="53">
        <f ca="1">VLOOKUP($C20,OFFSET([1]characters!$A$1,0,0,COUNTA([1]characters!$A:$A),MATCH(E$1,[1]characters!$1:$1,0)-MATCH($C$1,[1]characters!$1:$1,0)+1),MATCH(E$1,[1]characters!$1:$1,0)-MATCH($C$1,[1]characters!$1:$1,0)+1,FALSE)</f>
        <v>6</v>
      </c>
      <c r="F20" s="53" t="str">
        <f ca="1">VLOOKUP($C20,OFFSET([1]characters!$A$1,0,0,COUNTA([1]characters!$A:$A),MATCH(F$1,[1]characters!$1:$1,0)-MATCH($C$1,[1]characters!$1:$1,0)+1),MATCH(F$1,[1]characters!$1:$1,0)-MATCH($C$1,[1]characters!$1:$1,0)+1,FALSE)</f>
        <v>PremiumSSS</v>
      </c>
      <c r="G20" s="195">
        <v>787</v>
      </c>
      <c r="H20" s="53" t="str">
        <f ca="1">VLOOKUP($G20,OFFSET([1]characters!$A$1,0,0,COUNTA([1]characters!$A:$A),MATCH(H$1,[1]characters!$1:$1,0)-MATCH($C$1,[1]characters!$1:$1,0)+1),MATCH(H$1,[1]characters!$1:$1,0)-MATCH($C$1,[1]characters!$1:$1,0)+1,FALSE)</f>
        <v>極閃描牙 ヘイウェイ</v>
      </c>
      <c r="I20" s="194">
        <v>102</v>
      </c>
      <c r="J20" s="53" t="str">
        <f ca="1">VLOOKUP($I20,OFFSET([1]characters!$A$1,0,0,COUNTA([1]characters!$A:$A),MATCH(J$1,[1]characters!$1:$1,0)-MATCH($C$1,[1]characters!$1:$1,0)+1),MATCH(J$1,[1]characters!$1:$1,0)-MATCH($C$1,[1]characters!$1:$1,0)+1,FALSE)</f>
        <v>レッドラビット</v>
      </c>
      <c r="K20" s="192">
        <v>1</v>
      </c>
      <c r="L20" s="193">
        <v>1</v>
      </c>
      <c r="M20" s="193">
        <v>10</v>
      </c>
      <c r="N20" s="2" t="s">
        <v>289</v>
      </c>
    </row>
    <row r="21" spans="1:14" ht="21" customHeight="1" x14ac:dyDescent="0.15">
      <c r="A21" s="61" t="str">
        <f t="shared" si="2"/>
        <v>1170_356</v>
      </c>
      <c r="B21" s="195">
        <v>1170</v>
      </c>
      <c r="C21" s="178">
        <f t="shared" si="3"/>
        <v>1170</v>
      </c>
      <c r="D21" s="53" t="str">
        <f ca="1">VLOOKUP($C21,OFFSET([1]characters!$A$1,0,0,COUNTA([1]characters!$A:$A),MATCH(D$1,[1]characters!$1:$1,0)-MATCH($C$1,[1]characters!$1:$1,0)+1),MATCH(D$1,[1]characters!$1:$1,0)-MATCH($C$1,[1]characters!$1:$1,0)+1,FALSE)</f>
        <v>極彩龍筆 ヘイウェイ</v>
      </c>
      <c r="E21" s="53">
        <f ca="1">VLOOKUP($C21,OFFSET([1]characters!$A$1,0,0,COUNTA([1]characters!$A:$A),MATCH(E$1,[1]characters!$1:$1,0)-MATCH($C$1,[1]characters!$1:$1,0)+1),MATCH(E$1,[1]characters!$1:$1,0)-MATCH($C$1,[1]characters!$1:$1,0)+1,FALSE)</f>
        <v>6</v>
      </c>
      <c r="F21" s="53" t="str">
        <f ca="1">VLOOKUP($C21,OFFSET([1]characters!$A$1,0,0,COUNTA([1]characters!$A:$A),MATCH(F$1,[1]characters!$1:$1,0)-MATCH($C$1,[1]characters!$1:$1,0)+1),MATCH(F$1,[1]characters!$1:$1,0)-MATCH($C$1,[1]characters!$1:$1,0)+1,FALSE)</f>
        <v>PremiumSSS</v>
      </c>
      <c r="G21" s="195">
        <v>787</v>
      </c>
      <c r="H21" s="53" t="str">
        <f ca="1">VLOOKUP($G21,OFFSET([1]characters!$A$1,0,0,COUNTA([1]characters!$A:$A),MATCH(H$1,[1]characters!$1:$1,0)-MATCH($C$1,[1]characters!$1:$1,0)+1),MATCH(H$1,[1]characters!$1:$1,0)-MATCH($C$1,[1]characters!$1:$1,0)+1,FALSE)</f>
        <v>極閃描牙 ヘイウェイ</v>
      </c>
      <c r="I21" s="194">
        <v>356</v>
      </c>
      <c r="J21" s="53" t="str">
        <f ca="1">VLOOKUP($I21,OFFSET([1]characters!$A$1,0,0,COUNTA([1]characters!$A:$A),MATCH(J$1,[1]characters!$1:$1,0)-MATCH($C$1,[1]characters!$1:$1,0)+1),MATCH(J$1,[1]characters!$1:$1,0)-MATCH($C$1,[1]characters!$1:$1,0)+1,FALSE)</f>
        <v>炎上のドードー</v>
      </c>
      <c r="K21" s="192">
        <v>1</v>
      </c>
      <c r="L21" s="193">
        <v>1</v>
      </c>
      <c r="M21" s="193">
        <v>10</v>
      </c>
      <c r="N21" s="2" t="s">
        <v>289</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workbookViewId="0">
      <selection activeCell="F16" sqref="F16"/>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 min="10" max="10" width="7.5" bestFit="1" customWidth="1"/>
  </cols>
  <sheetData>
    <row r="1" spans="1:11" s="21" customFormat="1" ht="21" customHeight="1" x14ac:dyDescent="0.15">
      <c r="A1" s="167" t="s">
        <v>301</v>
      </c>
      <c r="B1" s="115" t="s">
        <v>302</v>
      </c>
      <c r="C1" s="116" t="s">
        <v>303</v>
      </c>
      <c r="D1" s="117" t="s">
        <v>304</v>
      </c>
      <c r="E1" s="117" t="s">
        <v>305</v>
      </c>
      <c r="F1" s="117" t="s">
        <v>306</v>
      </c>
      <c r="G1" s="117" t="s">
        <v>307</v>
      </c>
      <c r="H1" s="117" t="s">
        <v>308</v>
      </c>
      <c r="I1" s="173" t="s">
        <v>309</v>
      </c>
      <c r="J1" s="173" t="s">
        <v>364</v>
      </c>
      <c r="K1" s="168" t="s">
        <v>310</v>
      </c>
    </row>
    <row r="2" spans="1:11" s="21" customFormat="1" ht="47" customHeight="1" x14ac:dyDescent="0.15">
      <c r="A2" s="62">
        <v>116201</v>
      </c>
      <c r="B2" s="169" t="s">
        <v>318</v>
      </c>
      <c r="C2" s="198" t="s">
        <v>321</v>
      </c>
      <c r="D2" s="198" t="s">
        <v>343</v>
      </c>
      <c r="E2" s="198" t="s">
        <v>319</v>
      </c>
      <c r="F2" s="199" t="s">
        <v>366</v>
      </c>
      <c r="G2" s="200" t="s">
        <v>325</v>
      </c>
      <c r="H2" s="198" t="s">
        <v>320</v>
      </c>
      <c r="I2" s="201" t="str">
        <f>"{"&amp;""""&amp;$E$1&amp;""""&amp;":"&amp;""""&amp;E2&amp;""""&amp;","&amp;""""&amp;"type"&amp;""""&amp;":"&amp;""""&amp;"ability"&amp;""""&amp;","&amp;""""&amp;$G$1&amp;""""&amp;":"&amp;""""&amp;G2&amp;""""&amp;","&amp;""""&amp;$F$1&amp;""""&amp;":"&amp;""""&amp;F2&amp;""""&amp;","&amp;""""&amp;$H$1&amp;""""&amp;":"&amp;H2&amp;"}"</f>
        <v>{"ver":"1.7.0","type":"ability","effects":"[effect:damage_up, target:myself, turn:1, val:2.9, type01:all, type02:counter, option:killer]","conditions":"[condition:enclose,[condition:quest_id,quest:60031],[condition:unit_attack_target],logic:and]","priority":0}</v>
      </c>
      <c r="J2" s="201" t="s">
        <v>365</v>
      </c>
      <c r="K2" s="202">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6"/>
  <sheetViews>
    <sheetView workbookViewId="0">
      <selection activeCell="D6" sqref="D6"/>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266</v>
      </c>
      <c r="C1" s="115" t="s">
        <v>267</v>
      </c>
      <c r="D1" s="115" t="s">
        <v>268</v>
      </c>
      <c r="E1" s="171" t="s">
        <v>269</v>
      </c>
      <c r="F1" s="171" t="s">
        <v>270</v>
      </c>
      <c r="G1" s="118" t="s">
        <v>271</v>
      </c>
      <c r="H1" s="167" t="s">
        <v>272</v>
      </c>
    </row>
    <row r="2" spans="1:8" s="4" customFormat="1" ht="21" customHeight="1" x14ac:dyDescent="0.15">
      <c r="A2" s="169">
        <v>1162</v>
      </c>
      <c r="B2" s="172" t="str">
        <f>VLOOKUP(A2,[1]characters!$A:$C,3)</f>
        <v>夢験次元の抽唱 ヒルベルト</v>
      </c>
      <c r="C2" s="196">
        <v>1</v>
      </c>
      <c r="D2" s="196">
        <v>116201</v>
      </c>
      <c r="E2" s="173" t="str">
        <f>IF(ISERROR(VLOOKUP(D2,[3]abilities!A:D,3,FALSE))=FALSE,VLOOKUP(D2,[3]abilities!A:D,3),IF(ISERROR(VLOOKUP(D2,abilities!A:D,3,FALSE))=FALSE,VLOOKUP(D2,abilities!A:D,3),"なし"))</f>
        <v>ヘンペルチャレンジ ダメージ究極UP</v>
      </c>
      <c r="F2" s="173" t="str">
        <f>IF(ISERROR(VLOOKUP(D2,[3]abilities!A:D,4,FALSE))=FALSE,VLOOKUP(D2,[3]abilities!A:D,4),IF(ISERROR(VLOOKUP(D2,abilities!A:D,4,FALSE))=FALSE,VLOOKUP(D2,abilities!A:D,4),"なし"))</f>
        <v>ヘンペルチャレンジ内で自身の全ての攻撃+カウンターの威力を究極UP</v>
      </c>
      <c r="G2" s="174" t="s">
        <v>273</v>
      </c>
      <c r="H2" s="197" t="s">
        <v>315</v>
      </c>
    </row>
    <row r="3" spans="1:8" s="4" customFormat="1" ht="21" customHeight="1" x14ac:dyDescent="0.15">
      <c r="A3" s="169">
        <v>1162</v>
      </c>
      <c r="B3" s="172" t="str">
        <f>VLOOKUP(A3,[1]characters!$A:$C,3)</f>
        <v>夢験次元の抽唱 ヒルベルト</v>
      </c>
      <c r="C3" s="196">
        <v>2</v>
      </c>
      <c r="D3" s="196">
        <v>1400</v>
      </c>
      <c r="E3" s="173" t="str">
        <f>IF(ISERROR(VLOOKUP(D3,[3]abilities!A:D,3,FALSE))=FALSE,VLOOKUP(D3,[3]abilities!A:D,3),IF(ISERROR(VLOOKUP(D3,abilities!A:D,3,FALSE))=FALSE,VLOOKUP(D3,abilities!A:D,3),"なし"))</f>
        <v>カウンター威力UP</v>
      </c>
      <c r="F3" s="173" t="str">
        <f>IF(ISERROR(VLOOKUP(D3,[3]abilities!A:D,4,FALSE))=FALSE,VLOOKUP(D3,[3]abilities!A:D,4),IF(ISERROR(VLOOKUP(D3,abilities!A:D,4,FALSE))=FALSE,VLOOKUP(D3,abilities!A:D,4),"なし"))</f>
        <v>4ターン毎に自身のカウンタースキルの威力が1ターンの間UP</v>
      </c>
      <c r="G3" s="174" t="s">
        <v>273</v>
      </c>
      <c r="H3" s="197" t="s">
        <v>315</v>
      </c>
    </row>
    <row r="4" spans="1:8" s="4" customFormat="1" ht="21" customHeight="1" x14ac:dyDescent="0.15">
      <c r="A4" s="169">
        <v>1163</v>
      </c>
      <c r="B4" s="172" t="str">
        <f>VLOOKUP(A4,[1]characters!$A:$C,3)</f>
        <v>命題唱鳴計画 ヒルベルト</v>
      </c>
      <c r="C4" s="196">
        <v>1</v>
      </c>
      <c r="D4" s="196">
        <v>200</v>
      </c>
      <c r="E4" s="173" t="str">
        <f>IF(ISERROR(VLOOKUP(D4,[3]abilities!A:D,3,FALSE))=FALSE,VLOOKUP(D4,[3]abilities!A:D,3),IF(ISERROR(VLOOKUP(D4,abilities!A:D,3,FALSE))=FALSE,VLOOKUP(D4,abilities!A:D,3),"なし"))</f>
        <v>ウィルス無効</v>
      </c>
      <c r="F4" s="173" t="str">
        <f>IF(ISERROR(VLOOKUP(D4,[3]abilities!A:D,4,FALSE))=FALSE,VLOOKUP(D4,[3]abilities!A:D,4),IF(ISERROR(VLOOKUP(D4,abilities!A:D,4,FALSE))=FALSE,VLOOKUP(D4,abilities!A:D,4),"なし"))</f>
        <v>自身にかかるウィルスを無効化する</v>
      </c>
      <c r="G4" s="174" t="s">
        <v>273</v>
      </c>
      <c r="H4" s="197" t="s">
        <v>315</v>
      </c>
    </row>
    <row r="5" spans="1:8" s="4" customFormat="1" ht="21" customHeight="1" x14ac:dyDescent="0.15">
      <c r="A5" s="169">
        <v>1170</v>
      </c>
      <c r="B5" s="172" t="str">
        <f>VLOOKUP(A5,[1]characters!$A:$C,3)</f>
        <v>極彩龍筆 ヘイウェイ</v>
      </c>
      <c r="C5" s="196">
        <v>1</v>
      </c>
      <c r="D5" s="196">
        <v>2801</v>
      </c>
      <c r="E5" s="173" t="str">
        <f>IF(ISERROR(VLOOKUP(D5,[3]abilities!A:D,3,FALSE))=FALSE,VLOOKUP(D5,[3]abilities!A:D,3),IF(ISERROR(VLOOKUP(D5,abilities!A:D,3,FALSE))=FALSE,VLOOKUP(D5,abilities!A:D,3),"なし"))</f>
        <v>防御力UP</v>
      </c>
      <c r="F5" s="173" t="str">
        <f>IF(ISERROR(VLOOKUP(D5,[3]abilities!A:D,4,FALSE))=FALSE,VLOOKUP(D5,[3]abilities!A:D,4),IF(ISERROR(VLOOKUP(D5,abilities!A:D,4,FALSE))=FALSE,VLOOKUP(D5,abilities!A:D,4),"なし"))</f>
        <v>自身の防御力を350UP</v>
      </c>
      <c r="G5" s="174" t="s">
        <v>273</v>
      </c>
      <c r="H5" s="197" t="s">
        <v>315</v>
      </c>
    </row>
    <row r="6" spans="1:8" s="4" customFormat="1" ht="21" customHeight="1" x14ac:dyDescent="0.15">
      <c r="A6" s="169">
        <v>1170</v>
      </c>
      <c r="B6" s="172" t="str">
        <f>VLOOKUP(A6,[1]characters!$A:$C,3)</f>
        <v>極彩龍筆 ヘイウェイ</v>
      </c>
      <c r="C6" s="196">
        <v>2</v>
      </c>
      <c r="D6" s="196">
        <v>700</v>
      </c>
      <c r="E6" s="173" t="str">
        <f>IF(ISERROR(VLOOKUP(D6,[3]abilities!A:D,3,FALSE))=FALSE,VLOOKUP(D6,[3]abilities!A:D,3),IF(ISERROR(VLOOKUP(D6,abilities!A:D,3,FALSE))=FALSE,VLOOKUP(D6,abilities!A:D,3),"なし"))</f>
        <v>フロア 回復</v>
      </c>
      <c r="F6" s="173" t="str">
        <f>IF(ISERROR(VLOOKUP(D6,[3]abilities!A:D,4,FALSE))=FALSE,VLOOKUP(D6,[3]abilities!A:D,4),IF(ISERROR(VLOOKUP(D6,abilities!A:D,4,FALSE))=FALSE,VLOOKUP(D6,abilities!A:D,4),"なし"))</f>
        <v>全フロアの1ターン目終了時にパーティの合計HPの20％を回復する</v>
      </c>
      <c r="G6" s="174" t="s">
        <v>273</v>
      </c>
      <c r="H6" s="197" t="s">
        <v>315</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K19" sqref="K19"/>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t="s">
        <v>235</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311</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3">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t="s">
        <v>109</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312</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4">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1" t="s">
        <v>109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311</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5"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t="s">
        <v>11</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82" t="s">
        <v>313</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2017-06-06T07:33:37Z</dcterms:modified>
</cp:coreProperties>
</file>