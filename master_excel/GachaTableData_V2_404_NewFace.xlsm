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5"/>
  </bookViews>
  <sheets>
    <sheet name="確率の考え方" sheetId="110" r:id="rId1"/>
    <sheet name="Sheet1" sheetId="107" r:id="rId2"/>
    <sheet name="output" sheetId="103" r:id="rId3"/>
    <sheet name="input_404010" sheetId="157" r:id="rId4"/>
    <sheet name="tables_404010" sheetId="158" r:id="rId5"/>
    <sheet name="input_404100" sheetId="153" r:id="rId6"/>
    <sheet name="tables_404100" sheetId="154" r:id="rId7"/>
    <sheet name="tables_settle_404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tables_404010!$A$1:$V$294</definedName>
    <definedName name="_xlnm._FilterDatabase" localSheetId="6" hidden="1">tables_404100!$A$1:$V$294</definedName>
    <definedName name="_xlnm._FilterDatabase" localSheetId="7" hidden="1">tables_settle_404100!$A$1:$V$1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10" i="154" l="1"/>
  <c r="D310" i="154"/>
  <c r="J310" i="154"/>
  <c r="E310" i="154"/>
  <c r="F310" i="154"/>
  <c r="C310" i="154"/>
  <c r="H310" i="154"/>
  <c r="K310" i="154"/>
  <c r="L310" i="154"/>
  <c r="M310" i="154"/>
  <c r="N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F5" i="153"/>
  <c r="F6" i="153"/>
  <c r="A36" i="153"/>
  <c r="R3" i="153"/>
  <c r="O310" i="154"/>
  <c r="A2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5" i="153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R4" i="153"/>
  <c r="O311" i="154"/>
  <c r="R5" i="153"/>
  <c r="O312" i="154"/>
  <c r="R6" i="153"/>
  <c r="O313" i="154"/>
  <c r="R7" i="153"/>
  <c r="O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A2" i="157"/>
  <c r="B20" i="157"/>
  <c r="O2" i="158"/>
  <c r="O4" i="158"/>
  <c r="O6" i="158"/>
  <c r="O8" i="158"/>
  <c r="O10" i="158"/>
  <c r="O12" i="158"/>
  <c r="O14" i="158"/>
  <c r="O16" i="158"/>
  <c r="O18" i="158"/>
  <c r="O20" i="158"/>
  <c r="O22" i="158"/>
  <c r="O24" i="158"/>
  <c r="O26" i="158"/>
  <c r="O28" i="158"/>
  <c r="O30" i="158"/>
  <c r="O32" i="158"/>
  <c r="O34" i="158"/>
  <c r="O36" i="158"/>
  <c r="O38" i="158"/>
  <c r="O40" i="158"/>
  <c r="O42" i="158"/>
  <c r="O43" i="158"/>
  <c r="O44" i="158"/>
  <c r="O45" i="158"/>
  <c r="O46" i="158"/>
  <c r="O47" i="158"/>
  <c r="O48" i="158"/>
  <c r="O49" i="158"/>
  <c r="O50" i="158"/>
  <c r="O51" i="158"/>
  <c r="O53" i="158"/>
  <c r="O54" i="158"/>
  <c r="O56" i="158"/>
  <c r="O57" i="158"/>
  <c r="O59" i="158"/>
  <c r="O60" i="158"/>
  <c r="O62" i="158"/>
  <c r="O63" i="158"/>
  <c r="O65" i="158"/>
  <c r="O66" i="158"/>
  <c r="O68" i="158"/>
  <c r="O69" i="158"/>
  <c r="O71" i="158"/>
  <c r="O72" i="158"/>
  <c r="O74" i="158"/>
  <c r="O75" i="158"/>
  <c r="O77" i="158"/>
  <c r="O78" i="158"/>
  <c r="O80" i="158"/>
  <c r="O81" i="158"/>
  <c r="O83" i="158"/>
  <c r="O84" i="158"/>
  <c r="O86" i="158"/>
  <c r="O87" i="158"/>
  <c r="O89" i="158"/>
  <c r="O90" i="158"/>
  <c r="O92" i="158"/>
  <c r="O93" i="158"/>
  <c r="O95" i="158"/>
  <c r="O96" i="158"/>
  <c r="O98" i="158"/>
  <c r="O99" i="158"/>
  <c r="O101" i="158"/>
  <c r="O102" i="158"/>
  <c r="O104" i="158"/>
  <c r="O105" i="158"/>
  <c r="O107" i="158"/>
  <c r="O108" i="158"/>
  <c r="O110" i="158"/>
  <c r="O111" i="158"/>
  <c r="O112" i="158"/>
  <c r="O113" i="158"/>
  <c r="O114" i="158"/>
  <c r="O116" i="158"/>
  <c r="O117" i="158"/>
  <c r="O119" i="158"/>
  <c r="O120" i="158"/>
  <c r="O122" i="158"/>
  <c r="O123" i="158"/>
  <c r="O125" i="158"/>
  <c r="O126" i="158"/>
  <c r="O128" i="158"/>
  <c r="O129" i="158"/>
  <c r="O131" i="158"/>
  <c r="O132" i="158"/>
  <c r="O134" i="158"/>
  <c r="O135" i="158"/>
  <c r="O137" i="158"/>
  <c r="O138" i="158"/>
  <c r="O139" i="158"/>
  <c r="O140" i="158"/>
  <c r="O141" i="158"/>
  <c r="O142" i="158"/>
  <c r="O143" i="158"/>
  <c r="O144" i="158"/>
  <c r="O145" i="158"/>
  <c r="O146" i="158"/>
  <c r="O148" i="158"/>
  <c r="O149" i="158"/>
  <c r="O150" i="158"/>
  <c r="O151" i="158"/>
  <c r="O152" i="158"/>
  <c r="O153" i="158"/>
  <c r="O155" i="158"/>
  <c r="O156" i="158"/>
  <c r="O157" i="158"/>
  <c r="O158" i="158"/>
  <c r="O160" i="158"/>
  <c r="O161" i="158"/>
  <c r="O163" i="158"/>
  <c r="O164" i="158"/>
  <c r="O165" i="158"/>
  <c r="O166" i="158"/>
  <c r="O168" i="158"/>
  <c r="O169" i="158"/>
  <c r="O170" i="158"/>
  <c r="O171" i="158"/>
  <c r="O173" i="158"/>
  <c r="O174" i="158"/>
  <c r="O175" i="158"/>
  <c r="O176" i="158"/>
  <c r="O177" i="158"/>
  <c r="O178" i="158"/>
  <c r="O180" i="158"/>
  <c r="O181" i="158"/>
  <c r="O183" i="158"/>
  <c r="O184" i="158"/>
  <c r="O185" i="158"/>
  <c r="O186" i="158"/>
  <c r="O188" i="158"/>
  <c r="O189" i="158"/>
  <c r="O190" i="158"/>
  <c r="O191" i="158"/>
  <c r="O192" i="158"/>
  <c r="O193" i="158"/>
  <c r="O195" i="158"/>
  <c r="O196" i="158"/>
  <c r="O197" i="158"/>
  <c r="O198" i="158"/>
  <c r="O200" i="158"/>
  <c r="O201" i="158"/>
  <c r="O202" i="158"/>
  <c r="O203" i="158"/>
  <c r="O205" i="158"/>
  <c r="O206" i="158"/>
  <c r="O207" i="158"/>
  <c r="O208" i="158"/>
  <c r="O209" i="158"/>
  <c r="O210" i="158"/>
  <c r="O212" i="158"/>
  <c r="O213" i="158"/>
  <c r="O214" i="158"/>
  <c r="O215" i="158"/>
  <c r="O216" i="158"/>
  <c r="O217" i="158"/>
  <c r="O219" i="158"/>
  <c r="O220" i="158"/>
  <c r="O222" i="158"/>
  <c r="O223" i="158"/>
  <c r="O224" i="158"/>
  <c r="O225" i="158"/>
  <c r="O227" i="158"/>
  <c r="O228" i="158"/>
  <c r="O230" i="158"/>
  <c r="O231" i="158"/>
  <c r="O232" i="158"/>
  <c r="O233" i="158"/>
  <c r="O235" i="158"/>
  <c r="O236" i="158"/>
  <c r="O237" i="158"/>
  <c r="O238" i="158"/>
  <c r="O239" i="158"/>
  <c r="O240" i="158"/>
  <c r="O242" i="158"/>
  <c r="O243" i="158"/>
  <c r="O245" i="158"/>
  <c r="O246" i="158"/>
  <c r="O248" i="158"/>
  <c r="O249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8" i="158"/>
  <c r="O269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I310" i="158"/>
  <c r="D310" i="158"/>
  <c r="J310" i="158"/>
  <c r="E310" i="158"/>
  <c r="F310" i="158"/>
  <c r="C310" i="158"/>
  <c r="H310" i="158"/>
  <c r="K310" i="158"/>
  <c r="L310" i="158"/>
  <c r="M310" i="158"/>
  <c r="N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F5" i="157"/>
  <c r="F6" i="157"/>
  <c r="A36" i="157"/>
  <c r="R3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21" i="157"/>
  <c r="B21" i="157"/>
  <c r="G21" i="157"/>
  <c r="H21" i="157"/>
  <c r="E5" i="157"/>
  <c r="E27" i="157"/>
  <c r="B27" i="157"/>
  <c r="G27" i="157"/>
  <c r="H27" i="157"/>
  <c r="E28" i="157"/>
  <c r="B28" i="157"/>
  <c r="G28" i="157"/>
  <c r="H28" i="157"/>
  <c r="E22" i="157"/>
  <c r="E29" i="157"/>
  <c r="B29" i="157"/>
  <c r="B23" i="157"/>
  <c r="B22" i="157"/>
  <c r="G22" i="157"/>
  <c r="H22" i="157"/>
  <c r="G23" i="157"/>
  <c r="E23" i="157"/>
  <c r="H23" i="157"/>
  <c r="G29" i="157"/>
  <c r="H29" i="157"/>
  <c r="R4" i="157"/>
  <c r="R5" i="157"/>
  <c r="R6" i="157"/>
  <c r="R7" i="157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41" i="153"/>
  <c r="G41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B30" i="153"/>
  <c r="B7" i="153"/>
  <c r="B8" i="153"/>
  <c r="B6" i="157"/>
  <c r="B7" i="157"/>
  <c r="B8" i="157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B5" i="157"/>
  <c r="B30" i="157"/>
  <c r="F42" i="153"/>
  <c r="G42" i="153"/>
  <c r="F40" i="157"/>
  <c r="G40" i="157"/>
  <c r="A305" i="154"/>
  <c r="F305" i="154"/>
  <c r="H305" i="154"/>
  <c r="K305" i="154"/>
  <c r="L305" i="154"/>
  <c r="M305" i="154"/>
  <c r="N305" i="154"/>
  <c r="F306" i="154"/>
  <c r="F307" i="154"/>
  <c r="F308" i="154"/>
  <c r="F309" i="154"/>
  <c r="P305" i="154"/>
  <c r="A306" i="154"/>
  <c r="H306" i="154"/>
  <c r="K306" i="154"/>
  <c r="L306" i="154"/>
  <c r="M306" i="154"/>
  <c r="N306" i="154"/>
  <c r="P306" i="154"/>
  <c r="A307" i="154"/>
  <c r="H307" i="154"/>
  <c r="K307" i="154"/>
  <c r="L307" i="154"/>
  <c r="M307" i="154"/>
  <c r="N307" i="154"/>
  <c r="P307" i="154"/>
  <c r="A308" i="154"/>
  <c r="H308" i="154"/>
  <c r="K308" i="154"/>
  <c r="L308" i="154"/>
  <c r="M308" i="154"/>
  <c r="N308" i="154"/>
  <c r="P308" i="154"/>
  <c r="A309" i="154"/>
  <c r="H309" i="154"/>
  <c r="K309" i="154"/>
  <c r="L309" i="154"/>
  <c r="M309" i="154"/>
  <c r="N309" i="154"/>
  <c r="P309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3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4" i="157"/>
  <c r="J24" i="157"/>
  <c r="F24" i="157"/>
  <c r="D24" i="157"/>
  <c r="R20" i="157"/>
  <c r="P20" i="157"/>
  <c r="O20" i="157"/>
  <c r="M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42" i="157"/>
  <c r="B44" i="157"/>
  <c r="B45" i="157"/>
  <c r="F42" i="157"/>
  <c r="G42" i="157"/>
  <c r="G20" i="157"/>
  <c r="H20" i="157"/>
  <c r="O52" i="158"/>
  <c r="O55" i="158"/>
  <c r="O58" i="158"/>
  <c r="O61" i="158"/>
  <c r="O64" i="158"/>
  <c r="O67" i="158"/>
  <c r="O70" i="158"/>
  <c r="O73" i="158"/>
  <c r="O76" i="158"/>
  <c r="O79" i="158"/>
  <c r="O82" i="158"/>
  <c r="O85" i="158"/>
  <c r="O88" i="158"/>
  <c r="O91" i="158"/>
  <c r="O94" i="158"/>
  <c r="O97" i="158"/>
  <c r="O100" i="158"/>
  <c r="O103" i="158"/>
  <c r="O106" i="158"/>
  <c r="O109" i="158"/>
  <c r="O115" i="158"/>
  <c r="O118" i="158"/>
  <c r="O121" i="158"/>
  <c r="O124" i="158"/>
  <c r="O127" i="158"/>
  <c r="O130" i="158"/>
  <c r="O133" i="158"/>
  <c r="O136" i="158"/>
  <c r="O147" i="158"/>
  <c r="O154" i="158"/>
  <c r="O159" i="158"/>
  <c r="O162" i="158"/>
  <c r="O167" i="158"/>
  <c r="O172" i="158"/>
  <c r="O179" i="158"/>
  <c r="O182" i="158"/>
  <c r="O187" i="158"/>
  <c r="O194" i="158"/>
  <c r="O199" i="158"/>
  <c r="O204" i="158"/>
  <c r="O211" i="158"/>
  <c r="O218" i="158"/>
  <c r="O221" i="158"/>
  <c r="O226" i="158"/>
  <c r="O229" i="158"/>
  <c r="O234" i="158"/>
  <c r="O241" i="158"/>
  <c r="O244" i="158"/>
  <c r="O247" i="158"/>
  <c r="O250" i="158"/>
  <c r="O267" i="158"/>
  <c r="O270" i="158"/>
  <c r="B41" i="157"/>
  <c r="B47" i="157"/>
  <c r="C40" i="157"/>
  <c r="C41" i="157"/>
  <c r="C42" i="157"/>
  <c r="C43" i="157"/>
  <c r="C44" i="157"/>
  <c r="C45" i="157"/>
  <c r="C46" i="157"/>
  <c r="C47" i="157"/>
  <c r="I20" i="157"/>
  <c r="J20" i="157"/>
  <c r="F20" i="157"/>
  <c r="D20" i="157"/>
  <c r="B18" i="157"/>
  <c r="B32" i="157"/>
  <c r="D32" i="157"/>
  <c r="G18" i="157"/>
  <c r="H18" i="157"/>
  <c r="O3" i="158"/>
  <c r="O5" i="158"/>
  <c r="O7" i="158"/>
  <c r="O9" i="158"/>
  <c r="O11" i="158"/>
  <c r="O13" i="158"/>
  <c r="O15" i="158"/>
  <c r="O17" i="158"/>
  <c r="O19" i="158"/>
  <c r="O21" i="158"/>
  <c r="O23" i="158"/>
  <c r="O25" i="158"/>
  <c r="O27" i="158"/>
  <c r="O29" i="158"/>
  <c r="O31" i="158"/>
  <c r="O33" i="158"/>
  <c r="O35" i="158"/>
  <c r="O37" i="158"/>
  <c r="O39" i="158"/>
  <c r="O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F45" i="157"/>
  <c r="F46" i="157"/>
  <c r="F47" i="157"/>
  <c r="F48" i="157"/>
  <c r="D18" i="157"/>
  <c r="F18" i="157"/>
  <c r="I18" i="157"/>
  <c r="J18" i="157"/>
  <c r="F41" i="157"/>
  <c r="G4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<sst xmlns="http://schemas.openxmlformats.org/spreadsheetml/2006/main" count="533" uniqueCount="253">
  <si>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</si>
  <si>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</si>
  <si>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</si>
  <si>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</si>
  <si>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</si>
  <si>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</si>
  <si>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</si>
  <si>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</si>
  <si>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</si>
  <si>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</si>
  <si>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</si>
  <si>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</si>
  <si>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</si>
  <si>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</si>
  <si>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</si>
  <si>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</si>
  <si>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</si>
  <si>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</si>
  <si>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</si>
  <si>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</si>
  <si>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</si>
  <si>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</si>
  <si>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</si>
  <si>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</si>
  <si>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</si>
  <si>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</si>
  <si>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</si>
  <si>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</si>
  <si>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</si>
  <si>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</si>
  <si>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</si>
  <si>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</si>
  <si>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</si>
  <si>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</si>
  <si>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</si>
  <si>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</si>
  <si>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</si>
  <si>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</si>
  <si>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</si>
  <si>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</si>
  <si>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</si>
  <si>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</si>
  <si>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</si>
  <si>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</si>
  <si>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</si>
  <si>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</si>
  <si>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</si>
  <si>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</si>
  <si>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</si>
  <si>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</si>
  <si>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</si>
  <si>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</si>
  <si>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</si>
  <si>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</si>
  <si>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</si>
  <si>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</si>
  <si>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</si>
  <si>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</si>
  <si>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</si>
  <si>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</si>
  <si>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</si>
  <si>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</si>
  <si>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</si>
  <si>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</si>
  <si>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</si>
  <si>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</si>
  <si>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</si>
  <si>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</si>
  <si>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</si>
  <si>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</si>
  <si>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</si>
  <si>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</si>
  <si>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</si>
  <si>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</si>
  <si>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</si>
  <si>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</si>
  <si>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</si>
  <si>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</si>
  <si>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</si>
  <si>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</si>
  <si>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</si>
  <si>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</si>
  <si>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</si>
  <si>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</si>
  <si>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</si>
  <si>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</si>
  <si>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</si>
  <si>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</si>
  <si>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</si>
  <si>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</si>
  <si>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</si>
  <si>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</si>
  <si>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</si>
  <si>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</si>
  <si>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</si>
  <si>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</si>
  <si>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</si>
  <si>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</si>
  <si>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</si>
  <si>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</si>
  <si>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</si>
  <si>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</si>
  <si>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</si>
  <si>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</si>
  <si>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</si>
  <si>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</si>
  <si>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</si>
  <si>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</si>
  <si>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</si>
  <si>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</si>
  <si>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</si>
  <si>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</si>
  <si>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</si>
  <si>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</si>
  <si>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</si>
  <si>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</si>
  <si>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</si>
  <si>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</si>
  <si>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</si>
  <si>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</si>
  <si>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</si>
  <si>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</si>
  <si>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</si>
  <si>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</si>
  <si>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</si>
  <si>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</si>
  <si>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</si>
  <si>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</si>
  <si>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</si>
  <si>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</si>
  <si>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</si>
  <si>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</si>
  <si>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</si>
  <si>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</si>
  <si>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</si>
  <si>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</si>
  <si>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</si>
  <si>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</si>
  <si>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</si>
  <si>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</si>
  <si>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</si>
  <si>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</si>
  <si>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</si>
  <si>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</si>
  <si>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</si>
  <si>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</si>
  <si>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</si>
  <si>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</si>
  <si>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</si>
  <si>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</si>
  <si>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</si>
  <si>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</si>
  <si>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</si>
  <si>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</si>
  <si>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</si>
  <si>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</si>
  <si>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</si>
  <si>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</si>
  <si>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</si>
  <si>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</si>
  <si>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</si>
  <si>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</si>
  <si>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</si>
  <si>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</si>
  <si>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</si>
  <si>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</si>
  <si>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</si>
  <si>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</si>
  <si>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</si>
  <si>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</si>
  <si>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</si>
  <si>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</si>
  <si>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</si>
  <si>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</si>
  <si>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</si>
  <si>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</si>
  <si>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</si>
  <si>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</si>
  <si>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</si>
  <si>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</si>
  <si>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</si>
  <si>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</si>
  <si>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</si>
  <si>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</si>
  <si>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</si>
  <si>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</si>
  <si>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</si>
  <si>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</si>
  <si>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</si>
  <si>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</si>
  <si>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</si>
  <si>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</si>
  <si>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</si>
  <si>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</si>
  <si>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</si>
  <si>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</si>
  <si>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</si>
  <si>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</si>
  <si>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</si>
  <si>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</si>
  <si>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</si>
  <si>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</si>
  <si>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</si>
  <si>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</si>
  <si>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</si>
  <si>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</si>
  <si>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</si>
  <si>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</si>
  <si>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</si>
  <si>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</si>
  <si>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</si>
  <si>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</si>
  <si>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</si>
  <si>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</si>
  <si>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</si>
  <si>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</si>
  <si>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</si>
  <si>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</si>
  <si>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</si>
  <si>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</si>
  <si>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</si>
  <si>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</si>
  <si>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</si>
  <si>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</si>
  <si>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</si>
  <si>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</si>
  <si>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</si>
  <si>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</si>
  <si>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</si>
  <si>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</si>
  <si>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</si>
  <si>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</si>
  <si>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</si>
  <si>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</si>
  <si>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</si>
  <si>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</si>
  <si>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</si>
  <si>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</si>
  <si>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</si>
  <si>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</si>
  <si>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</si>
  <si>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</si>
  <si>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</si>
  <si>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</si>
  <si>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</si>
  <si>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</si>
  <si>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</si>
  <si>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</si>
  <si>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</si>
  <si>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tables_404100</t>
  </si>
  <si>
    <t>tables_404010</t>
  </si>
  <si>
    <t>tables_settle_404100</t>
  </si>
  <si>
    <t>skip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</si>
</sst>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2" fillId="4" borderId="1" xfId="2978" applyFont="1" applyFill="1" applyBorder="1"/>
    <xf numFmtId="177" fontId="0" fillId="0" borderId="0" xfId="0" applyNumberFormat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214</v>
      </c>
      <c r="K40" s="84" t="s">
        <v>190</v>
      </c>
      <c r="M40" s="84" t="s">
        <v>239</v>
      </c>
    </row>
    <row r="41" spans="1:13" x14ac:dyDescent="0.15">
      <c r="J41" s="84" t="s">
        <v>215</v>
      </c>
      <c r="K41" s="84" t="s">
        <v>216</v>
      </c>
      <c r="M41" s="66" t="s">
        <v>185</v>
      </c>
    </row>
    <row r="42" spans="1:13" x14ac:dyDescent="0.15">
      <c r="J42" s="84" t="s">
        <v>217</v>
      </c>
      <c r="K42" s="84" t="s">
        <v>218</v>
      </c>
    </row>
    <row r="43" spans="1:13" x14ac:dyDescent="0.15">
      <c r="J43" s="84" t="s">
        <v>219</v>
      </c>
      <c r="K43" s="84" t="s">
        <v>220</v>
      </c>
    </row>
    <row r="44" spans="1:13" x14ac:dyDescent="0.15">
      <c r="J44" s="84" t="s">
        <v>221</v>
      </c>
      <c r="K44" s="84" t="s">
        <v>222</v>
      </c>
    </row>
    <row r="45" spans="1:13" x14ac:dyDescent="0.15">
      <c r="J45" s="84" t="s">
        <v>223</v>
      </c>
      <c r="K45" s="84" t="s">
        <v>224</v>
      </c>
    </row>
    <row r="46" spans="1:13" x14ac:dyDescent="0.15">
      <c r="J46" s="84" t="s">
        <v>225</v>
      </c>
      <c r="K46" s="84" t="s">
        <v>226</v>
      </c>
    </row>
    <row r="47" spans="1:13" x14ac:dyDescent="0.15">
      <c r="J47" s="84" t="s">
        <v>227</v>
      </c>
      <c r="K47" s="84" t="s">
        <v>231</v>
      </c>
    </row>
    <row r="48" spans="1:13" x14ac:dyDescent="0.15">
      <c r="J48" s="84" t="s">
        <v>228</v>
      </c>
      <c r="K48" s="84" t="s">
        <v>232</v>
      </c>
    </row>
    <row r="49" spans="10:11" x14ac:dyDescent="0.15">
      <c r="J49" s="84" t="s">
        <v>229</v>
      </c>
      <c r="K49" s="84" t="s">
        <v>233</v>
      </c>
    </row>
    <row r="50" spans="10:11" x14ac:dyDescent="0.15">
      <c r="J50" s="84" t="s">
        <v>230</v>
      </c>
      <c r="K50" s="84" t="s">
        <v>234</v>
      </c>
    </row>
    <row r="51" spans="10:11" x14ac:dyDescent="0.15">
      <c r="J51" s="84" t="s">
        <v>236</v>
      </c>
      <c r="K51" s="84" t="s">
        <v>235</v>
      </c>
    </row>
    <row r="52" spans="10:11" x14ac:dyDescent="0.15">
      <c r="J52" s="84" t="s">
        <v>237</v>
      </c>
      <c r="K52" s="84" t="s">
        <v>238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248</v>
      </c>
      <c r="B2" s="61" t="s">
        <v>110</v>
      </c>
      <c r="C2" s="50" t="str">
        <f t="shared" ref="C2" si="0">RIGHT(F2,6)</f>
        <v>404100</v>
      </c>
      <c r="D2" s="19" t="s">
        <v>45</v>
      </c>
      <c r="E2" s="17" t="str">
        <f t="shared" ref="E2" si="1">B2&amp;C2&amp;D2</f>
        <v>gacha_select_tables_404100.tmp</v>
      </c>
      <c r="F2" s="95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248</v>
      </c>
      <c r="B3" s="61" t="s">
        <v>110</v>
      </c>
      <c r="C3" s="50" t="str">
        <f t="shared" ref="C3:C7" si="2">RIGHT(F3,6)</f>
        <v>404010</v>
      </c>
      <c r="D3" s="19" t="s">
        <v>45</v>
      </c>
      <c r="E3" s="17" t="str">
        <f t="shared" ref="E3:E10" si="3">B3&amp;C3&amp;D3</f>
        <v>gacha_select_tables_404010.tmp</v>
      </c>
      <c r="F3" s="95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252</v>
      </c>
      <c r="B4" s="77" t="s">
        <v>213</v>
      </c>
      <c r="C4" s="50" t="str">
        <f t="shared" si="2"/>
        <v>404100</v>
      </c>
      <c r="D4" s="19" t="s">
        <v>45</v>
      </c>
      <c r="E4" s="17" t="str">
        <f t="shared" ref="E4:E7" si="4">B4&amp;C4&amp;D4</f>
        <v>gacha_settle_tables_404100.tmp</v>
      </c>
      <c r="F4" s="95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8" t="s">
        <v>242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1" t="s">
        <v>245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8" t="s">
        <v>242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1" t="s">
        <v>246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8" t="s">
        <v>242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1" t="s">
        <v>247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8" t="s">
        <v>242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8" t="s">
        <v>242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8" t="s">
        <v>242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6" max="6" width="13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1104</v>
      </c>
      <c r="M3" s="37" t="str">
        <f>VLOOKUP(L3,[1]characters!$A:$C,3,FALSE)</f>
        <v>クリムト</v>
      </c>
      <c r="N3" s="63">
        <v>7.8850000000000003E-2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VLOOKUP(L3,tables_404010!B:C,2,FALSE)</f>
        <v>Premium4R3less</v>
      </c>
      <c r="R3" s="62">
        <f t="shared" ref="R3:R20" si="1">N3*A$36</f>
        <v>832656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1105</v>
      </c>
      <c r="M4" s="37" t="str">
        <f>VLOOKUP(L4,[1]characters!$A:$C,3,FALSE)</f>
        <v>甘美なる背徳 クリムト</v>
      </c>
      <c r="N4" s="63">
        <v>4.15E-3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VLOOKUP(L4,tables_404010!B:C,2,FALSE)</f>
        <v>Premium5R3less</v>
      </c>
      <c r="R4" s="62">
        <f t="shared" si="1"/>
        <v>43824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45%</f>
        <v>0.45</v>
      </c>
      <c r="D5" t="s">
        <v>201</v>
      </c>
      <c r="E5" s="43">
        <f>(B11-H5)/(F5-I5)</f>
        <v>6.2500000000000056E-5</v>
      </c>
      <c r="F5">
        <f>(COUNTIF(tables_404010!C:C,input_404010!A28)+COUNTIF(tables_404010!C:C,input_404010!A29))</f>
        <v>51</v>
      </c>
      <c r="H5" s="85">
        <v>4.7E-2</v>
      </c>
      <c r="I5" s="31">
        <v>3</v>
      </c>
      <c r="L5" s="82">
        <v>1106</v>
      </c>
      <c r="M5" s="37" t="str">
        <f>VLOOKUP(L5,[1]characters!$A:$C,3,FALSE)</f>
        <v>ラファエロ</v>
      </c>
      <c r="N5" s="63">
        <v>1.7999999999999999E-2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VLOOKUP(L5,tables_404010!B:C,2,FALSE)</f>
        <v>PremiumSS5R5only</v>
      </c>
      <c r="R5" s="62">
        <f t="shared" si="1"/>
        <v>190080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1-B5-B7-B8</f>
        <v>0.44999999999999996</v>
      </c>
      <c r="D6" t="s">
        <v>202</v>
      </c>
      <c r="E6" s="76">
        <f>(B10-H6)/(F6-I6)</f>
        <v>9.8522727272727269E-3</v>
      </c>
      <c r="F6">
        <f>(COUNTIF(tables_404010!C:C,input_404010!A25)+COUNTIF(tables_404010!C:C,input_404010!A18)+COUNTIF(tables_404010!C:C,input_404010!A20)+COUNTIF(tables_404010!C:C,input_404010!A22))</f>
        <v>89</v>
      </c>
      <c r="H6" s="90">
        <v>8.3000000000000004E-2</v>
      </c>
      <c r="I6" s="31">
        <v>1</v>
      </c>
      <c r="L6" s="82">
        <v>1102</v>
      </c>
      <c r="M6" s="37" t="str">
        <f>VLOOKUP(L6,[1]characters!$A:$C,3,FALSE)</f>
        <v>ドガ</v>
      </c>
      <c r="N6" s="63">
        <v>1.0999999999999999E-2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VLOOKUP(L6,tables_404010!B:C,2,FALSE)</f>
        <v>PremiumSS5R5only</v>
      </c>
      <c r="R6" s="62">
        <f t="shared" si="1"/>
        <v>116160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f>0.1-B8</f>
        <v>4.8850000000000005E-2</v>
      </c>
      <c r="L7" s="82">
        <v>1100</v>
      </c>
      <c r="M7" s="37" t="str">
        <f>VLOOKUP(L7,[1]characters!$A:$C,3,FALSE)</f>
        <v>北斎</v>
      </c>
      <c r="N7" s="63">
        <v>1.7999999999999999E-2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VLOOKUP(L7,tables_404010!B:C,2,FALSE)</f>
        <v>PremiumSS5R5only</v>
      </c>
      <c r="R7" s="62">
        <f t="shared" si="1"/>
        <v>190080</v>
      </c>
      <c r="S7">
        <v>597</v>
      </c>
      <c r="U7" s="33" t="s">
        <v>196</v>
      </c>
      <c r="V7" s="54">
        <f t="shared" si="0"/>
        <v>7.8850000000000003E-2</v>
      </c>
    </row>
    <row r="8" spans="1:22" x14ac:dyDescent="0.15">
      <c r="A8" s="57"/>
      <c r="B8" s="71">
        <f>N4+N5+N6+N7</f>
        <v>5.1150000000000001E-2</v>
      </c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4.15E-3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244</v>
      </c>
      <c r="L11" s="89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0.20172272727272728</v>
      </c>
      <c r="C17" s="86">
        <f t="shared" ref="C17:C31" si="2">SUMIF(Q:Q,A17,N:N)</f>
        <v>0</v>
      </c>
      <c r="D17" s="74">
        <f t="shared" ref="D17:D32" si="3">B17-C17</f>
        <v>0.20172272727272728</v>
      </c>
      <c r="E17">
        <f>COUNTIF(tables_404010!C:C,input_404010!A17)-COUNTIF(Q:Q,A17)</f>
        <v>20</v>
      </c>
      <c r="F17" s="43">
        <f>IFERROR(B17/E17,0)</f>
        <v>1.0086136363636363E-2</v>
      </c>
      <c r="G17">
        <f t="shared" ref="G17:G31" si="4">A$36*B17</f>
        <v>2130192</v>
      </c>
      <c r="H17">
        <f t="shared" ref="H17:H31" si="5">IFERROR(ROUND(G17/E17,5),0)</f>
        <v>106509.6</v>
      </c>
      <c r="I17">
        <f t="shared" ref="I17:I31" si="6">MOD(H17,1)</f>
        <v>0.60000000000582077</v>
      </c>
      <c r="J17">
        <f t="shared" ref="J17:J31" si="7">IFERROR(1/I17,1)</f>
        <v>1.6666666666504979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2.3633089772727212E-2</v>
      </c>
      <c r="C18" s="86">
        <f t="shared" si="2"/>
        <v>0</v>
      </c>
      <c r="D18" s="74">
        <f t="shared" si="3"/>
        <v>2.3633089772727212E-2</v>
      </c>
      <c r="E18">
        <f>COUNTIF(tables_404010!C:C,input_404010!A18)-COUNTIF(Q:Q,A18)</f>
        <v>20</v>
      </c>
      <c r="F18" s="43">
        <f>IFERROR(B18/E18,0)</f>
        <v>1.1816544886363606E-3</v>
      </c>
      <c r="G18">
        <f t="shared" si="4"/>
        <v>249565.42799999935</v>
      </c>
      <c r="H18">
        <f t="shared" si="5"/>
        <v>12478.2714</v>
      </c>
      <c r="I18">
        <f t="shared" si="6"/>
        <v>0.27139999999963038</v>
      </c>
      <c r="J18">
        <f t="shared" si="7"/>
        <v>3.6845983787817316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0.23054318181818181</v>
      </c>
      <c r="C19" s="86">
        <f t="shared" si="2"/>
        <v>0</v>
      </c>
      <c r="D19" s="74">
        <f t="shared" si="3"/>
        <v>0.23054318181818181</v>
      </c>
      <c r="E19">
        <f>COUNTIF(tables_404010!C:C,input_404010!A19)-COUNTIF(Q:Q,A19)</f>
        <v>52</v>
      </c>
      <c r="F19" s="43">
        <f t="shared" ref="F19:F31" si="8">IFERROR(B19/E19,0)</f>
        <v>4.4335227272727269E-3</v>
      </c>
      <c r="G19">
        <f t="shared" si="4"/>
        <v>2434536</v>
      </c>
      <c r="H19">
        <f t="shared" si="5"/>
        <v>46818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3">
        <f>E$6*E20*B$6</f>
        <v>0.23054318181818179</v>
      </c>
      <c r="C20" s="86">
        <f t="shared" si="2"/>
        <v>0</v>
      </c>
      <c r="D20" s="74">
        <f t="shared" si="3"/>
        <v>0.23054318181818179</v>
      </c>
      <c r="E20">
        <f>COUNTIF(tables_404010!C:C,input_404010!A20)-COUNTIF(Q:Q,A20)</f>
        <v>52</v>
      </c>
      <c r="F20" s="43">
        <f t="shared" si="8"/>
        <v>4.4335227272727269E-3</v>
      </c>
      <c r="G20">
        <f t="shared" si="4"/>
        <v>2434535.9999999995</v>
      </c>
      <c r="H20">
        <f t="shared" si="5"/>
        <v>46818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2.5026743181818183E-2</v>
      </c>
      <c r="C21" s="86">
        <f t="shared" si="2"/>
        <v>0</v>
      </c>
      <c r="D21" s="74">
        <f t="shared" si="3"/>
        <v>2.5026743181818183E-2</v>
      </c>
      <c r="E21">
        <f>COUNTIF(tables_404010!C:C,input_404010!A21)-COUNTIF(Q:Q,A21)</f>
        <v>52</v>
      </c>
      <c r="F21" s="43">
        <f t="shared" si="8"/>
        <v>4.8128352272727276E-4</v>
      </c>
      <c r="G21">
        <f t="shared" si="4"/>
        <v>264282.408</v>
      </c>
      <c r="H21">
        <f t="shared" si="5"/>
        <v>5082.3540000000003</v>
      </c>
      <c r="I21">
        <f t="shared" si="6"/>
        <v>0.35400000000026921</v>
      </c>
      <c r="J21">
        <f t="shared" si="7"/>
        <v>2.8248587570599986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9.7664637499999984E-2</v>
      </c>
      <c r="C22" s="86">
        <f t="shared" si="2"/>
        <v>7.8850000000000003E-2</v>
      </c>
      <c r="D22" s="74">
        <f t="shared" si="3"/>
        <v>1.8814637499999981E-2</v>
      </c>
      <c r="E22">
        <f>COUNTIF(tables_404010!C:C,input_404010!A22)-COUNTIF(Q:Q,A22)</f>
        <v>12</v>
      </c>
      <c r="F22" s="43">
        <f t="shared" si="8"/>
        <v>8.1387197916666654E-3</v>
      </c>
      <c r="G22">
        <f t="shared" si="4"/>
        <v>1031338.5719999998</v>
      </c>
      <c r="H22">
        <f t="shared" si="5"/>
        <v>85944.880999999994</v>
      </c>
      <c r="I22">
        <f t="shared" si="6"/>
        <v>0.8809999999939464</v>
      </c>
      <c r="J22">
        <f t="shared" si="7"/>
        <v>1.1350737798034862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2.0562635227272731E-2</v>
      </c>
      <c r="C23" s="86">
        <f t="shared" si="2"/>
        <v>4.15E-3</v>
      </c>
      <c r="D23" s="74">
        <f t="shared" si="3"/>
        <v>1.641263522727273E-2</v>
      </c>
      <c r="E23">
        <f>COUNTIF(tables_404010!C:C,input_404010!A23)-COUNTIF(Q:Q,A23)</f>
        <v>12</v>
      </c>
      <c r="F23" s="43">
        <f t="shared" si="8"/>
        <v>1.7135529356060609E-3</v>
      </c>
      <c r="G23">
        <f t="shared" si="4"/>
        <v>217141.42800000004</v>
      </c>
      <c r="H23">
        <f t="shared" si="5"/>
        <v>18095.118999999999</v>
      </c>
      <c r="I23">
        <f t="shared" si="6"/>
        <v>0.11899999999877764</v>
      </c>
      <c r="J23">
        <f t="shared" si="7"/>
        <v>8.403361344624134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1.7734090909090908E-2</v>
      </c>
      <c r="C24" s="86">
        <f t="shared" si="2"/>
        <v>0</v>
      </c>
      <c r="D24" s="74">
        <f t="shared" si="3"/>
        <v>1.7734090909090908E-2</v>
      </c>
      <c r="E24">
        <f>COUNTIF(tables_404010!C:C,input_404010!A24)-COUNTIF(Q:Q,A24)</f>
        <v>4</v>
      </c>
      <c r="F24" s="43">
        <f t="shared" si="8"/>
        <v>4.4335227272727269E-3</v>
      </c>
      <c r="G24">
        <f t="shared" si="4"/>
        <v>187271.99999999997</v>
      </c>
      <c r="H24">
        <f t="shared" si="5"/>
        <v>46818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1.7734090909090908E-2</v>
      </c>
      <c r="C25" s="86">
        <f t="shared" si="2"/>
        <v>0</v>
      </c>
      <c r="D25" s="74">
        <f t="shared" si="3"/>
        <v>1.7734090909090908E-2</v>
      </c>
      <c r="E25">
        <f>COUNTIF(tables_404010!C:C,input_404010!A25)-COUNTIF(Q:Q,A25)</f>
        <v>4</v>
      </c>
      <c r="F25" s="43">
        <f t="shared" si="8"/>
        <v>4.4335227272727269E-3</v>
      </c>
      <c r="G25">
        <f t="shared" si="4"/>
        <v>187271.99999999997</v>
      </c>
      <c r="H25">
        <f t="shared" si="5"/>
        <v>46818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1.925134090909091E-3</v>
      </c>
      <c r="C26" s="86">
        <f t="shared" si="2"/>
        <v>0</v>
      </c>
      <c r="D26" s="74">
        <f t="shared" si="3"/>
        <v>1.925134090909091E-3</v>
      </c>
      <c r="E26">
        <f>COUNTIF(tables_404010!C:C,input_404010!A26)-COUNTIF(Q:Q,A26)</f>
        <v>4</v>
      </c>
      <c r="F26" s="43">
        <f t="shared" si="8"/>
        <v>4.8128352272727276E-4</v>
      </c>
      <c r="G26">
        <f t="shared" si="4"/>
        <v>20329.416000000001</v>
      </c>
      <c r="H26">
        <f t="shared" si="5"/>
        <v>5082.3540000000003</v>
      </c>
      <c r="I26">
        <f t="shared" si="6"/>
        <v>0.35400000000026921</v>
      </c>
      <c r="J26">
        <f t="shared" si="7"/>
        <v>2.8248587570599986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1.5750000000000013E-3</v>
      </c>
      <c r="C27" s="86">
        <f t="shared" si="2"/>
        <v>0</v>
      </c>
      <c r="D27" s="74">
        <f t="shared" si="3"/>
        <v>1.5750000000000013E-3</v>
      </c>
      <c r="E27">
        <f>COUNTIF(tables_404010!C:C,input_404010!A27)-COUNTIF(Q:Q,A27)</f>
        <v>28</v>
      </c>
      <c r="F27" s="43">
        <f>IFERROR(B27/E27,0)</f>
        <v>5.6250000000000046E-5</v>
      </c>
      <c r="G27">
        <f t="shared" si="4"/>
        <v>16632.000000000015</v>
      </c>
      <c r="H27">
        <f t="shared" si="5"/>
        <v>594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8.5487500000000079E-5</v>
      </c>
      <c r="C28" s="86">
        <f t="shared" si="2"/>
        <v>0</v>
      </c>
      <c r="D28" s="74">
        <f t="shared" si="3"/>
        <v>8.5487500000000079E-5</v>
      </c>
      <c r="E28">
        <f>COUNTIF(tables_404010!C:C,input_404010!A28)-COUNTIF(Q:Q,A28)</f>
        <v>28</v>
      </c>
      <c r="F28" s="43">
        <f t="shared" si="8"/>
        <v>3.0531250000000026E-6</v>
      </c>
      <c r="G28">
        <f t="shared" si="4"/>
        <v>902.74800000000084</v>
      </c>
      <c r="H28">
        <f t="shared" si="5"/>
        <v>32.241</v>
      </c>
      <c r="I28">
        <f t="shared" si="6"/>
        <v>0.24099999999999966</v>
      </c>
      <c r="J28">
        <f t="shared" si="7"/>
        <v>4.1493775933610015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1.2500000000000011E-3</v>
      </c>
      <c r="C29" s="86">
        <f t="shared" si="2"/>
        <v>4.7E-2</v>
      </c>
      <c r="D29" s="74">
        <f t="shared" si="3"/>
        <v>-4.5749999999999999E-2</v>
      </c>
      <c r="E29">
        <f>COUNTIF(tables_404010!C:C,input_404010!A29)-COUNTIF(Q:Q,A29)</f>
        <v>20</v>
      </c>
      <c r="F29" s="43">
        <f t="shared" si="8"/>
        <v>6.2500000000000056E-5</v>
      </c>
      <c r="G29">
        <f t="shared" si="4"/>
        <v>13200.000000000011</v>
      </c>
      <c r="H29">
        <f t="shared" si="5"/>
        <v>660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COUNTIF(tables_404010!C:C,input_404010!A30)-COUNTIF(Q:Q,A30)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COUNTIF(tables_404010!C:C,input_404010!A31)-COUNTIF(Q:Q,A31)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</v>
      </c>
      <c r="C32" s="41">
        <f>SUM(C19:C31)</f>
        <v>0.13</v>
      </c>
      <c r="D32" s="42">
        <f t="shared" si="3"/>
        <v>0.74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96">
        <v>2.8310362499999964E-2</v>
      </c>
      <c r="G34" s="96"/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SUMIF(tables_404010!C:C,input_404010!A40,tables_404010!O:O)</f>
        <v>2434536</v>
      </c>
      <c r="C40" s="54">
        <f t="shared" ref="C40:C46" ca="1" si="9">B40/B$47</f>
        <v>0.47264383415514527</v>
      </c>
      <c r="E40">
        <v>3</v>
      </c>
      <c r="F40">
        <f ca="1">SUMIF(tables_404010!J:J,input_404010!E40,tables_404010!O:O)</f>
        <v>4752000.0000000009</v>
      </c>
      <c r="G40">
        <f ca="1">F40/A36</f>
        <v>0.45000000000000007</v>
      </c>
    </row>
    <row r="41" spans="1:7" x14ac:dyDescent="0.15">
      <c r="A41" s="33" t="s">
        <v>104</v>
      </c>
      <c r="B41">
        <f ca="1">SUMIF(tables_404010!C:C,input_404010!A41,tables_404010!O:O)</f>
        <v>2434536</v>
      </c>
      <c r="C41" s="54">
        <f t="shared" ca="1" si="9"/>
        <v>0.47264383415514527</v>
      </c>
      <c r="E41">
        <v>4</v>
      </c>
      <c r="F41">
        <f ca="1">SUMIF(tables_404010!J:J,input_404010!E41,tables_404010!O:O)</f>
        <v>4752000</v>
      </c>
      <c r="G41">
        <f ca="1">F41/A36</f>
        <v>0.45</v>
      </c>
    </row>
    <row r="42" spans="1:7" x14ac:dyDescent="0.15">
      <c r="A42" s="33" t="s">
        <v>106</v>
      </c>
      <c r="B42">
        <f ca="1">SUMIF(tables_404010!C:C,input_404010!A42,tables_404010!O:O)</f>
        <v>16632</v>
      </c>
      <c r="C42" s="54">
        <f t="shared" ca="1" si="9"/>
        <v>3.2289570783378746E-3</v>
      </c>
      <c r="E42">
        <v>5</v>
      </c>
      <c r="F42">
        <f ca="1">SUMIF(tables_404010!J:J,input_404010!E42,tables_404010!O:O)</f>
        <v>1056000</v>
      </c>
      <c r="G42">
        <f ca="1">F42/A36</f>
        <v>0.1</v>
      </c>
    </row>
    <row r="43" spans="1:7" x14ac:dyDescent="0.15">
      <c r="A43" s="33" t="s">
        <v>109</v>
      </c>
      <c r="B43">
        <f>SUMIF(tables_404010!C:C,input_404010!A43,tables_404010!O:O)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SUMIF(tables_404010!C:C,input_404010!A44,tables_404010!O:O)</f>
        <v>264282.40799999988</v>
      </c>
      <c r="C44" s="54">
        <f t="shared" ca="1" si="9"/>
        <v>5.1308113996619636E-2</v>
      </c>
      <c r="E44" t="s">
        <v>54</v>
      </c>
      <c r="F44" s="55"/>
    </row>
    <row r="45" spans="1:7" x14ac:dyDescent="0.15">
      <c r="A45" s="33" t="s">
        <v>107</v>
      </c>
      <c r="B45">
        <f ca="1">SUMIF(tables_404010!C:C,input_404010!A45,tables_404010!O:O)</f>
        <v>902.74799999999971</v>
      </c>
      <c r="C45" s="54">
        <f t="shared" ca="1" si="9"/>
        <v>1.752606147520057E-4</v>
      </c>
      <c r="E45" t="s">
        <v>204</v>
      </c>
      <c r="F45" s="55">
        <f ca="1">SUMIF(tables_404010!I:I,input_404010!E45,tables_404010!P:P)</f>
        <v>0.22535581704545402</v>
      </c>
    </row>
    <row r="46" spans="1:7" x14ac:dyDescent="0.15">
      <c r="A46" s="33" t="s">
        <v>108</v>
      </c>
      <c r="B46">
        <f>SUMIF(tables_404010!C:C,input_404010!A46,tables_404010!O:O)</f>
        <v>0</v>
      </c>
      <c r="C46" s="54">
        <f t="shared" ca="1" si="9"/>
        <v>0</v>
      </c>
      <c r="E46" t="s">
        <v>205</v>
      </c>
      <c r="F46" s="55">
        <f ca="1">SUMIF(tables_404010!I:I,input_404010!E46,tables_404010!P:P)</f>
        <v>0.18696657954545418</v>
      </c>
    </row>
    <row r="47" spans="1:7" x14ac:dyDescent="0.15">
      <c r="A47" s="39" t="s">
        <v>59</v>
      </c>
      <c r="B47">
        <f ca="1">SUM(B40:B46)</f>
        <v>5150889.1559999995</v>
      </c>
      <c r="C47" s="55">
        <f ca="1">SUM(C40:C46)</f>
        <v>1</v>
      </c>
      <c r="E47" t="s">
        <v>206</v>
      </c>
      <c r="F47" s="55">
        <f ca="1">SUMIF(tables_404010!I:I,input_404010!E47,tables_404010!P:P)</f>
        <v>0.5377671159090891</v>
      </c>
    </row>
    <row r="48" spans="1:7" x14ac:dyDescent="0.15">
      <c r="E48" t="s">
        <v>207</v>
      </c>
      <c r="F48" s="55">
        <f ca="1">SUMIF(tables_404010!I:I,input_404010!E48,tables_404010!P:P)</f>
        <v>3.8847987499999931E-2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303" activePane="bottomLeft" state="frozen"/>
      <selection activeCell="H276" sqref="H276"/>
      <selection pane="bottomLeft" activeCell="N314" sqref="N3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input_404010!A$2</f>
        <v>404010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IFERROR(VLOOKUP(B2,input_404010!L:R,7,FALSE),VLOOKUP(tables_404010!C2,input_404010!A:H,8,FALSE))</f>
        <v>106509.6</v>
      </c>
      <c r="P2" s="46">
        <f t="shared" ref="P2:P65" ca="1" si="1">O2/SUM(O:O)</f>
        <v>1.0086136363636346E-2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input_404010!A$2</f>
        <v>404010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IFERROR(VLOOKUP(B3,input_404010!L:R,7,FALSE),VLOOKUP(tables_404010!C3,input_404010!A:H,8,FALSE))</f>
        <v>12478.2714</v>
      </c>
      <c r="P3" s="46">
        <f t="shared" ca="1" si="1"/>
        <v>1.1816544886363615E-3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input_404010!A$2</f>
        <v>404010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IFERROR(VLOOKUP(B4,input_404010!L:R,7,FALSE),VLOOKUP(tables_404010!C4,input_404010!A:H,8,FALSE))</f>
        <v>106509.6</v>
      </c>
      <c r="P4" s="46">
        <f t="shared" ca="1" si="1"/>
        <v>1.0086136363636346E-2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input_404010!A$2</f>
        <v>404010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IFERROR(VLOOKUP(B5,input_404010!L:R,7,FALSE),VLOOKUP(tables_404010!C5,input_404010!A:H,8,FALSE))</f>
        <v>12478.2714</v>
      </c>
      <c r="P5" s="46">
        <f t="shared" ca="1" si="1"/>
        <v>1.1816544886363615E-3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input_404010!A$2</f>
        <v>404010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IFERROR(VLOOKUP(B6,input_404010!L:R,7,FALSE),VLOOKUP(tables_404010!C6,input_404010!A:H,8,FALSE))</f>
        <v>106509.6</v>
      </c>
      <c r="P6" s="46">
        <f t="shared" ca="1" si="1"/>
        <v>1.0086136363636346E-2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input_404010!A$2</f>
        <v>404010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IFERROR(VLOOKUP(B7,input_404010!L:R,7,FALSE),VLOOKUP(tables_404010!C7,input_404010!A:H,8,FALSE))</f>
        <v>12478.2714</v>
      </c>
      <c r="P7" s="46">
        <f t="shared" ca="1" si="1"/>
        <v>1.1816544886363615E-3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input_404010!A$2</f>
        <v>404010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IFERROR(VLOOKUP(B8,input_404010!L:R,7,FALSE),VLOOKUP(tables_404010!C8,input_404010!A:H,8,FALSE))</f>
        <v>106509.6</v>
      </c>
      <c r="P8" s="46">
        <f t="shared" ca="1" si="1"/>
        <v>1.0086136363636346E-2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input_404010!A$2</f>
        <v>404010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IFERROR(VLOOKUP(B9,input_404010!L:R,7,FALSE),VLOOKUP(tables_404010!C9,input_404010!A:H,8,FALSE))</f>
        <v>12478.2714</v>
      </c>
      <c r="P9" s="46">
        <f t="shared" ca="1" si="1"/>
        <v>1.1816544886363615E-3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input_404010!A$2</f>
        <v>404010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IFERROR(VLOOKUP(B10,input_404010!L:R,7,FALSE),VLOOKUP(tables_404010!C10,input_404010!A:H,8,FALSE))</f>
        <v>106509.6</v>
      </c>
      <c r="P10" s="46">
        <f t="shared" ca="1" si="1"/>
        <v>1.0086136363636346E-2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input_404010!A$2</f>
        <v>404010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IFERROR(VLOOKUP(B11,input_404010!L:R,7,FALSE),VLOOKUP(tables_404010!C11,input_404010!A:H,8,FALSE))</f>
        <v>12478.2714</v>
      </c>
      <c r="P11" s="46">
        <f t="shared" ca="1" si="1"/>
        <v>1.1816544886363615E-3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input_404010!A$2</f>
        <v>404010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IFERROR(VLOOKUP(B12,input_404010!L:R,7,FALSE),VLOOKUP(tables_404010!C12,input_404010!A:H,8,FALSE))</f>
        <v>106509.6</v>
      </c>
      <c r="P12" s="46">
        <f t="shared" ca="1" si="1"/>
        <v>1.0086136363636346E-2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input_404010!A$2</f>
        <v>404010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IFERROR(VLOOKUP(B13,input_404010!L:R,7,FALSE),VLOOKUP(tables_404010!C13,input_404010!A:H,8,FALSE))</f>
        <v>12478.2714</v>
      </c>
      <c r="P13" s="46">
        <f t="shared" ca="1" si="1"/>
        <v>1.1816544886363615E-3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input_404010!A$2</f>
        <v>404010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IFERROR(VLOOKUP(B14,input_404010!L:R,7,FALSE),VLOOKUP(tables_404010!C14,input_404010!A:H,8,FALSE))</f>
        <v>106509.6</v>
      </c>
      <c r="P14" s="46">
        <f t="shared" ca="1" si="1"/>
        <v>1.0086136363636346E-2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input_404010!A$2</f>
        <v>404010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IFERROR(VLOOKUP(B15,input_404010!L:R,7,FALSE),VLOOKUP(tables_404010!C15,input_404010!A:H,8,FALSE))</f>
        <v>12478.2714</v>
      </c>
      <c r="P15" s="46">
        <f t="shared" ca="1" si="1"/>
        <v>1.1816544886363615E-3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input_404010!A$2</f>
        <v>404010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IFERROR(VLOOKUP(B16,input_404010!L:R,7,FALSE),VLOOKUP(tables_404010!C16,input_404010!A:H,8,FALSE))</f>
        <v>106509.6</v>
      </c>
      <c r="P16" s="46">
        <f t="shared" ca="1" si="1"/>
        <v>1.0086136363636346E-2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input_404010!A$2</f>
        <v>404010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IFERROR(VLOOKUP(B17,input_404010!L:R,7,FALSE),VLOOKUP(tables_404010!C17,input_404010!A:H,8,FALSE))</f>
        <v>12478.2714</v>
      </c>
      <c r="P17" s="46">
        <f t="shared" ca="1" si="1"/>
        <v>1.1816544886363615E-3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input_404010!A$2</f>
        <v>404010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IFERROR(VLOOKUP(B18,input_404010!L:R,7,FALSE),VLOOKUP(tables_404010!C18,input_404010!A:H,8,FALSE))</f>
        <v>106509.6</v>
      </c>
      <c r="P18" s="46">
        <f t="shared" ca="1" si="1"/>
        <v>1.0086136363636346E-2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input_404010!A$2</f>
        <v>404010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IFERROR(VLOOKUP(B19,input_404010!L:R,7,FALSE),VLOOKUP(tables_404010!C19,input_404010!A:H,8,FALSE))</f>
        <v>12478.2714</v>
      </c>
      <c r="P19" s="46">
        <f t="shared" ca="1" si="1"/>
        <v>1.1816544886363615E-3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input_404010!A$2</f>
        <v>404010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IFERROR(VLOOKUP(B20,input_404010!L:R,7,FALSE),VLOOKUP(tables_404010!C20,input_404010!A:H,8,FALSE))</f>
        <v>106509.6</v>
      </c>
      <c r="P20" s="46">
        <f t="shared" ca="1" si="1"/>
        <v>1.0086136363636346E-2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input_404010!A$2</f>
        <v>404010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IFERROR(VLOOKUP(B21,input_404010!L:R,7,FALSE),VLOOKUP(tables_404010!C21,input_404010!A:H,8,FALSE))</f>
        <v>12478.2714</v>
      </c>
      <c r="P21" s="46">
        <f t="shared" ca="1" si="1"/>
        <v>1.1816544886363615E-3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input_404010!A$2</f>
        <v>404010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IFERROR(VLOOKUP(B22,input_404010!L:R,7,FALSE),VLOOKUP(tables_404010!C22,input_404010!A:H,8,FALSE))</f>
        <v>106509.6</v>
      </c>
      <c r="P22" s="46">
        <f t="shared" ca="1" si="1"/>
        <v>1.0086136363636346E-2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input_404010!A$2</f>
        <v>404010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IFERROR(VLOOKUP(B23,input_404010!L:R,7,FALSE),VLOOKUP(tables_404010!C23,input_404010!A:H,8,FALSE))</f>
        <v>12478.2714</v>
      </c>
      <c r="P23" s="46">
        <f t="shared" ca="1" si="1"/>
        <v>1.1816544886363615E-3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input_404010!A$2</f>
        <v>404010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IFERROR(VLOOKUP(B24,input_404010!L:R,7,FALSE),VLOOKUP(tables_404010!C24,input_404010!A:H,8,FALSE))</f>
        <v>106509.6</v>
      </c>
      <c r="P24" s="46">
        <f t="shared" ca="1" si="1"/>
        <v>1.0086136363636346E-2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input_404010!A$2</f>
        <v>404010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IFERROR(VLOOKUP(B25,input_404010!L:R,7,FALSE),VLOOKUP(tables_404010!C25,input_404010!A:H,8,FALSE))</f>
        <v>12478.2714</v>
      </c>
      <c r="P25" s="46">
        <f t="shared" ca="1" si="1"/>
        <v>1.1816544886363615E-3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input_404010!A$2</f>
        <v>404010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IFERROR(VLOOKUP(B26,input_404010!L:R,7,FALSE),VLOOKUP(tables_404010!C26,input_404010!A:H,8,FALSE))</f>
        <v>106509.6</v>
      </c>
      <c r="P26" s="46">
        <f t="shared" ca="1" si="1"/>
        <v>1.0086136363636346E-2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input_404010!A$2</f>
        <v>404010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IFERROR(VLOOKUP(B27,input_404010!L:R,7,FALSE),VLOOKUP(tables_404010!C27,input_404010!A:H,8,FALSE))</f>
        <v>12478.2714</v>
      </c>
      <c r="P27" s="46">
        <f t="shared" ca="1" si="1"/>
        <v>1.1816544886363615E-3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input_404010!A$2</f>
        <v>404010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IFERROR(VLOOKUP(B28,input_404010!L:R,7,FALSE),VLOOKUP(tables_404010!C28,input_404010!A:H,8,FALSE))</f>
        <v>106509.6</v>
      </c>
      <c r="P28" s="46">
        <f t="shared" ca="1" si="1"/>
        <v>1.0086136363636346E-2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input_404010!A$2</f>
        <v>404010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IFERROR(VLOOKUP(B29,input_404010!L:R,7,FALSE),VLOOKUP(tables_404010!C29,input_404010!A:H,8,FALSE))</f>
        <v>12478.2714</v>
      </c>
      <c r="P29" s="46">
        <f t="shared" ca="1" si="1"/>
        <v>1.1816544886363615E-3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input_404010!A$2</f>
        <v>404010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IFERROR(VLOOKUP(B30,input_404010!L:R,7,FALSE),VLOOKUP(tables_404010!C30,input_404010!A:H,8,FALSE))</f>
        <v>106509.6</v>
      </c>
      <c r="P30" s="46">
        <f t="shared" ca="1" si="1"/>
        <v>1.0086136363636346E-2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input_404010!A$2</f>
        <v>404010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IFERROR(VLOOKUP(B31,input_404010!L:R,7,FALSE),VLOOKUP(tables_404010!C31,input_404010!A:H,8,FALSE))</f>
        <v>12478.2714</v>
      </c>
      <c r="P31" s="46">
        <f t="shared" ca="1" si="1"/>
        <v>1.1816544886363615E-3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input_404010!A$2</f>
        <v>404010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IFERROR(VLOOKUP(B32,input_404010!L:R,7,FALSE),VLOOKUP(tables_404010!C32,input_404010!A:H,8,FALSE))</f>
        <v>106509.6</v>
      </c>
      <c r="P32" s="46">
        <f t="shared" ca="1" si="1"/>
        <v>1.0086136363636346E-2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input_404010!A$2</f>
        <v>404010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IFERROR(VLOOKUP(B33,input_404010!L:R,7,FALSE),VLOOKUP(tables_404010!C33,input_404010!A:H,8,FALSE))</f>
        <v>12478.2714</v>
      </c>
      <c r="P33" s="46">
        <f t="shared" ca="1" si="1"/>
        <v>1.1816544886363615E-3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input_404010!A$2</f>
        <v>404010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IFERROR(VLOOKUP(B34,input_404010!L:R,7,FALSE),VLOOKUP(tables_404010!C34,input_404010!A:H,8,FALSE))</f>
        <v>106509.6</v>
      </c>
      <c r="P34" s="46">
        <f t="shared" ca="1" si="1"/>
        <v>1.0086136363636346E-2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input_404010!A$2</f>
        <v>404010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IFERROR(VLOOKUP(B35,input_404010!L:R,7,FALSE),VLOOKUP(tables_404010!C35,input_404010!A:H,8,FALSE))</f>
        <v>12478.2714</v>
      </c>
      <c r="P35" s="46">
        <f t="shared" ca="1" si="1"/>
        <v>1.1816544886363615E-3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input_404010!A$2</f>
        <v>404010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IFERROR(VLOOKUP(B36,input_404010!L:R,7,FALSE),VLOOKUP(tables_404010!C36,input_404010!A:H,8,FALSE))</f>
        <v>106509.6</v>
      </c>
      <c r="P36" s="46">
        <f t="shared" ca="1" si="1"/>
        <v>1.0086136363636346E-2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input_404010!A$2</f>
        <v>404010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IFERROR(VLOOKUP(B37,input_404010!L:R,7,FALSE),VLOOKUP(tables_404010!C37,input_404010!A:H,8,FALSE))</f>
        <v>12478.2714</v>
      </c>
      <c r="P37" s="46">
        <f t="shared" ca="1" si="1"/>
        <v>1.1816544886363615E-3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input_404010!A$2</f>
        <v>404010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IFERROR(VLOOKUP(B38,input_404010!L:R,7,FALSE),VLOOKUP(tables_404010!C38,input_404010!A:H,8,FALSE))</f>
        <v>106509.6</v>
      </c>
      <c r="P38" s="46">
        <f t="shared" ca="1" si="1"/>
        <v>1.0086136363636346E-2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input_404010!A$2</f>
        <v>404010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IFERROR(VLOOKUP(B39,input_404010!L:R,7,FALSE),VLOOKUP(tables_404010!C39,input_404010!A:H,8,FALSE))</f>
        <v>12478.2714</v>
      </c>
      <c r="P39" s="46">
        <f t="shared" ca="1" si="1"/>
        <v>1.1816544886363615E-3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input_404010!A$2</f>
        <v>404010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IFERROR(VLOOKUP(B40,input_404010!L:R,7,FALSE),VLOOKUP(tables_404010!C40,input_404010!A:H,8,FALSE))</f>
        <v>106509.6</v>
      </c>
      <c r="P40" s="46">
        <f t="shared" ca="1" si="1"/>
        <v>1.0086136363636346E-2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input_404010!A$2</f>
        <v>404010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IFERROR(VLOOKUP(B41,input_404010!L:R,7,FALSE),VLOOKUP(tables_404010!C41,input_404010!A:H,8,FALSE))</f>
        <v>12478.2714</v>
      </c>
      <c r="P41" s="46">
        <f t="shared" ca="1" si="1"/>
        <v>1.1816544886363615E-3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input_404010!A$2</f>
        <v>404010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IFERROR(VLOOKUP(B42,input_404010!L:R,7,FALSE),VLOOKUP(tables_404010!C42,input_404010!A:H,8,FALSE))</f>
        <v>46818</v>
      </c>
      <c r="P42" s="46">
        <f t="shared" ca="1" si="1"/>
        <v>4.4335227272727191E-3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input_404010!A$2</f>
        <v>404010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IFERROR(VLOOKUP(B43,input_404010!L:R,7,FALSE),VLOOKUP(tables_404010!C43,input_404010!A:H,8,FALSE))</f>
        <v>46818</v>
      </c>
      <c r="P43" s="46">
        <f t="shared" ca="1" si="1"/>
        <v>4.4335227272727191E-3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input_404010!A$2</f>
        <v>404010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IFERROR(VLOOKUP(B44,input_404010!L:R,7,FALSE),VLOOKUP(tables_404010!C44,input_404010!A:H,8,FALSE))</f>
        <v>5082.3540000000003</v>
      </c>
      <c r="P44" s="46">
        <f t="shared" ca="1" si="1"/>
        <v>4.8128352272727189E-4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input_404010!A$2</f>
        <v>404010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IFERROR(VLOOKUP(B45,input_404010!L:R,7,FALSE),VLOOKUP(tables_404010!C45,input_404010!A:H,8,FALSE))</f>
        <v>46818</v>
      </c>
      <c r="P45" s="46">
        <f t="shared" ca="1" si="1"/>
        <v>4.4335227272727191E-3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input_404010!A$2</f>
        <v>404010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IFERROR(VLOOKUP(B46,input_404010!L:R,7,FALSE),VLOOKUP(tables_404010!C46,input_404010!A:H,8,FALSE))</f>
        <v>46818</v>
      </c>
      <c r="P46" s="46">
        <f t="shared" ca="1" si="1"/>
        <v>4.4335227272727191E-3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input_404010!A$2</f>
        <v>404010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IFERROR(VLOOKUP(B47,input_404010!L:R,7,FALSE),VLOOKUP(tables_404010!C47,input_404010!A:H,8,FALSE))</f>
        <v>5082.3540000000003</v>
      </c>
      <c r="P47" s="46">
        <f t="shared" ca="1" si="1"/>
        <v>4.8128352272727189E-4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input_404010!A$2</f>
        <v>404010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IFERROR(VLOOKUP(B48,input_404010!L:R,7,FALSE),VLOOKUP(tables_404010!C48,input_404010!A:H,8,FALSE))</f>
        <v>46818</v>
      </c>
      <c r="P48" s="46">
        <f t="shared" ca="1" si="1"/>
        <v>4.4335227272727191E-3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input_404010!A$2</f>
        <v>404010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IFERROR(VLOOKUP(B49,input_404010!L:R,7,FALSE),VLOOKUP(tables_404010!C49,input_404010!A:H,8,FALSE))</f>
        <v>46818</v>
      </c>
      <c r="P49" s="46">
        <f t="shared" ca="1" si="1"/>
        <v>4.4335227272727191E-3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input_404010!A$2</f>
        <v>404010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IFERROR(VLOOKUP(B50,input_404010!L:R,7,FALSE),VLOOKUP(tables_404010!C50,input_404010!A:H,8,FALSE))</f>
        <v>5082.3540000000003</v>
      </c>
      <c r="P50" s="46">
        <f t="shared" ca="1" si="1"/>
        <v>4.8128352272727189E-4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input_404010!A$2</f>
        <v>404010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IFERROR(VLOOKUP(B51,input_404010!L:R,7,FALSE),VLOOKUP(tables_404010!C51,input_404010!A:H,8,FALSE))</f>
        <v>46818</v>
      </c>
      <c r="P51" s="46">
        <f t="shared" ca="1" si="1"/>
        <v>4.4335227272727191E-3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input_404010!A$2</f>
        <v>404010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IFERROR(VLOOKUP(B52,input_404010!L:R,7,FALSE),VLOOKUP(tables_404010!C52,input_404010!A:H,8,FALSE))</f>
        <v>46818</v>
      </c>
      <c r="P52" s="46">
        <f t="shared" ca="1" si="1"/>
        <v>4.4335227272727191E-3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input_404010!A$2</f>
        <v>404010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IFERROR(VLOOKUP(B53,input_404010!L:R,7,FALSE),VLOOKUP(tables_404010!C53,input_404010!A:H,8,FALSE))</f>
        <v>5082.3540000000003</v>
      </c>
      <c r="P53" s="46">
        <f t="shared" ca="1" si="1"/>
        <v>4.8128352272727189E-4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input_404010!A$2</f>
        <v>404010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IFERROR(VLOOKUP(B54,input_404010!L:R,7,FALSE),VLOOKUP(tables_404010!C54,input_404010!A:H,8,FALSE))</f>
        <v>46818</v>
      </c>
      <c r="P54" s="46">
        <f t="shared" ca="1" si="1"/>
        <v>4.4335227272727191E-3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input_404010!A$2</f>
        <v>404010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IFERROR(VLOOKUP(B55,input_404010!L:R,7,FALSE),VLOOKUP(tables_404010!C55,input_404010!A:H,8,FALSE))</f>
        <v>46818</v>
      </c>
      <c r="P55" s="46">
        <f t="shared" ca="1" si="1"/>
        <v>4.4335227272727191E-3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input_404010!A$2</f>
        <v>404010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IFERROR(VLOOKUP(B56,input_404010!L:R,7,FALSE),VLOOKUP(tables_404010!C56,input_404010!A:H,8,FALSE))</f>
        <v>5082.3540000000003</v>
      </c>
      <c r="P56" s="46">
        <f t="shared" ca="1" si="1"/>
        <v>4.8128352272727189E-4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input_404010!A$2</f>
        <v>404010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IFERROR(VLOOKUP(B57,input_404010!L:R,7,FALSE),VLOOKUP(tables_404010!C57,input_404010!A:H,8,FALSE))</f>
        <v>46818</v>
      </c>
      <c r="P57" s="46">
        <f t="shared" ca="1" si="1"/>
        <v>4.4335227272727191E-3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input_404010!A$2</f>
        <v>404010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IFERROR(VLOOKUP(B58,input_404010!L:R,7,FALSE),VLOOKUP(tables_404010!C58,input_404010!A:H,8,FALSE))</f>
        <v>46818</v>
      </c>
      <c r="P58" s="46">
        <f t="shared" ca="1" si="1"/>
        <v>4.4335227272727191E-3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input_404010!A$2</f>
        <v>404010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IFERROR(VLOOKUP(B59,input_404010!L:R,7,FALSE),VLOOKUP(tables_404010!C59,input_404010!A:H,8,FALSE))</f>
        <v>5082.3540000000003</v>
      </c>
      <c r="P59" s="46">
        <f t="shared" ca="1" si="1"/>
        <v>4.8128352272727189E-4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input_404010!A$2</f>
        <v>404010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IFERROR(VLOOKUP(B60,input_404010!L:R,7,FALSE),VLOOKUP(tables_404010!C60,input_404010!A:H,8,FALSE))</f>
        <v>46818</v>
      </c>
      <c r="P60" s="46">
        <f t="shared" ca="1" si="1"/>
        <v>4.4335227272727191E-3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input_404010!A$2</f>
        <v>404010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IFERROR(VLOOKUP(B61,input_404010!L:R,7,FALSE),VLOOKUP(tables_404010!C61,input_404010!A:H,8,FALSE))</f>
        <v>46818</v>
      </c>
      <c r="P61" s="46">
        <f t="shared" ca="1" si="1"/>
        <v>4.4335227272727191E-3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input_404010!A$2</f>
        <v>404010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IFERROR(VLOOKUP(B62,input_404010!L:R,7,FALSE),VLOOKUP(tables_404010!C62,input_404010!A:H,8,FALSE))</f>
        <v>5082.3540000000003</v>
      </c>
      <c r="P62" s="46">
        <f t="shared" ca="1" si="1"/>
        <v>4.8128352272727189E-4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input_404010!A$2</f>
        <v>404010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IFERROR(VLOOKUP(B63,input_404010!L:R,7,FALSE),VLOOKUP(tables_404010!C63,input_404010!A:H,8,FALSE))</f>
        <v>46818</v>
      </c>
      <c r="P63" s="46">
        <f t="shared" ca="1" si="1"/>
        <v>4.4335227272727191E-3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input_404010!A$2</f>
        <v>404010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IFERROR(VLOOKUP(B64,input_404010!L:R,7,FALSE),VLOOKUP(tables_404010!C64,input_404010!A:H,8,FALSE))</f>
        <v>46818</v>
      </c>
      <c r="P64" s="46">
        <f t="shared" ca="1" si="1"/>
        <v>4.4335227272727191E-3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input_404010!A$2</f>
        <v>404010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IFERROR(VLOOKUP(B65,input_404010!L:R,7,FALSE),VLOOKUP(tables_404010!C65,input_404010!A:H,8,FALSE))</f>
        <v>5082.3540000000003</v>
      </c>
      <c r="P65" s="46">
        <f t="shared" ca="1" si="1"/>
        <v>4.8128352272727189E-4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input_404010!A$2</f>
        <v>404010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IFERROR(VLOOKUP(B66,input_404010!L:R,7,FALSE),VLOOKUP(tables_404010!C66,input_404010!A:H,8,FALSE))</f>
        <v>46818</v>
      </c>
      <c r="P66" s="46">
        <f t="shared" ref="P66:P129" ca="1" si="4">O66/SUM(O:O)</f>
        <v>4.4335227272727191E-3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input_404010!A$2</f>
        <v>404010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IFERROR(VLOOKUP(B67,input_404010!L:R,7,FALSE),VLOOKUP(tables_404010!C67,input_404010!A:H,8,FALSE))</f>
        <v>46818</v>
      </c>
      <c r="P67" s="46">
        <f t="shared" ca="1" si="4"/>
        <v>4.4335227272727191E-3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input_404010!A$2</f>
        <v>404010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IFERROR(VLOOKUP(B68,input_404010!L:R,7,FALSE),VLOOKUP(tables_404010!C68,input_404010!A:H,8,FALSE))</f>
        <v>5082.3540000000003</v>
      </c>
      <c r="P68" s="46">
        <f t="shared" ca="1" si="4"/>
        <v>4.8128352272727189E-4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input_404010!A$2</f>
        <v>404010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IFERROR(VLOOKUP(B69,input_404010!L:R,7,FALSE),VLOOKUP(tables_404010!C69,input_404010!A:H,8,FALSE))</f>
        <v>46818</v>
      </c>
      <c r="P69" s="46">
        <f t="shared" ca="1" si="4"/>
        <v>4.4335227272727191E-3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input_404010!A$2</f>
        <v>404010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IFERROR(VLOOKUP(B70,input_404010!L:R,7,FALSE),VLOOKUP(tables_404010!C70,input_404010!A:H,8,FALSE))</f>
        <v>46818</v>
      </c>
      <c r="P70" s="46">
        <f t="shared" ca="1" si="4"/>
        <v>4.4335227272727191E-3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input_404010!A$2</f>
        <v>404010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IFERROR(VLOOKUP(B71,input_404010!L:R,7,FALSE),VLOOKUP(tables_404010!C71,input_404010!A:H,8,FALSE))</f>
        <v>5082.3540000000003</v>
      </c>
      <c r="P71" s="46">
        <f t="shared" ca="1" si="4"/>
        <v>4.8128352272727189E-4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input_404010!A$2</f>
        <v>404010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IFERROR(VLOOKUP(B72,input_404010!L:R,7,FALSE),VLOOKUP(tables_404010!C72,input_404010!A:H,8,FALSE))</f>
        <v>46818</v>
      </c>
      <c r="P72" s="46">
        <f t="shared" ca="1" si="4"/>
        <v>4.4335227272727191E-3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input_404010!A$2</f>
        <v>404010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IFERROR(VLOOKUP(B73,input_404010!L:R,7,FALSE),VLOOKUP(tables_404010!C73,input_404010!A:H,8,FALSE))</f>
        <v>46818</v>
      </c>
      <c r="P73" s="46">
        <f t="shared" ca="1" si="4"/>
        <v>4.4335227272727191E-3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input_404010!A$2</f>
        <v>404010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IFERROR(VLOOKUP(B74,input_404010!L:R,7,FALSE),VLOOKUP(tables_404010!C74,input_404010!A:H,8,FALSE))</f>
        <v>5082.3540000000003</v>
      </c>
      <c r="P74" s="46">
        <f t="shared" ca="1" si="4"/>
        <v>4.8128352272727189E-4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input_404010!A$2</f>
        <v>404010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IFERROR(VLOOKUP(B75,input_404010!L:R,7,FALSE),VLOOKUP(tables_404010!C75,input_404010!A:H,8,FALSE))</f>
        <v>46818</v>
      </c>
      <c r="P75" s="46">
        <f t="shared" ca="1" si="4"/>
        <v>4.4335227272727191E-3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input_404010!A$2</f>
        <v>404010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IFERROR(VLOOKUP(B76,input_404010!L:R,7,FALSE),VLOOKUP(tables_404010!C76,input_404010!A:H,8,FALSE))</f>
        <v>46818</v>
      </c>
      <c r="P76" s="46">
        <f t="shared" ca="1" si="4"/>
        <v>4.4335227272727191E-3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input_404010!A$2</f>
        <v>404010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IFERROR(VLOOKUP(B77,input_404010!L:R,7,FALSE),VLOOKUP(tables_404010!C77,input_404010!A:H,8,FALSE))</f>
        <v>5082.3540000000003</v>
      </c>
      <c r="P77" s="46">
        <f t="shared" ca="1" si="4"/>
        <v>4.8128352272727189E-4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input_404010!A$2</f>
        <v>404010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IFERROR(VLOOKUP(B78,input_404010!L:R,7,FALSE),VLOOKUP(tables_404010!C78,input_404010!A:H,8,FALSE))</f>
        <v>46818</v>
      </c>
      <c r="P78" s="46">
        <f t="shared" ca="1" si="4"/>
        <v>4.4335227272727191E-3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input_404010!A$2</f>
        <v>404010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IFERROR(VLOOKUP(B79,input_404010!L:R,7,FALSE),VLOOKUP(tables_404010!C79,input_404010!A:H,8,FALSE))</f>
        <v>46818</v>
      </c>
      <c r="P79" s="46">
        <f t="shared" ca="1" si="4"/>
        <v>4.4335227272727191E-3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input_404010!A$2</f>
        <v>404010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IFERROR(VLOOKUP(B80,input_404010!L:R,7,FALSE),VLOOKUP(tables_404010!C80,input_404010!A:H,8,FALSE))</f>
        <v>5082.3540000000003</v>
      </c>
      <c r="P80" s="46">
        <f t="shared" ca="1" si="4"/>
        <v>4.8128352272727189E-4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input_404010!A$2</f>
        <v>404010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IFERROR(VLOOKUP(B81,input_404010!L:R,7,FALSE),VLOOKUP(tables_404010!C81,input_404010!A:H,8,FALSE))</f>
        <v>46818</v>
      </c>
      <c r="P81" s="46">
        <f t="shared" ca="1" si="4"/>
        <v>4.4335227272727191E-3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input_404010!A$2</f>
        <v>404010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IFERROR(VLOOKUP(B82,input_404010!L:R,7,FALSE),VLOOKUP(tables_404010!C82,input_404010!A:H,8,FALSE))</f>
        <v>46818</v>
      </c>
      <c r="P82" s="46">
        <f t="shared" ca="1" si="4"/>
        <v>4.4335227272727191E-3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input_404010!A$2</f>
        <v>404010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IFERROR(VLOOKUP(B83,input_404010!L:R,7,FALSE),VLOOKUP(tables_404010!C83,input_404010!A:H,8,FALSE))</f>
        <v>5082.3540000000003</v>
      </c>
      <c r="P83" s="46">
        <f t="shared" ca="1" si="4"/>
        <v>4.8128352272727189E-4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input_404010!A$2</f>
        <v>404010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IFERROR(VLOOKUP(B84,input_404010!L:R,7,FALSE),VLOOKUP(tables_404010!C84,input_404010!A:H,8,FALSE))</f>
        <v>46818</v>
      </c>
      <c r="P84" s="46">
        <f t="shared" ca="1" si="4"/>
        <v>4.4335227272727191E-3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input_404010!A$2</f>
        <v>404010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IFERROR(VLOOKUP(B85,input_404010!L:R,7,FALSE),VLOOKUP(tables_404010!C85,input_404010!A:H,8,FALSE))</f>
        <v>46818</v>
      </c>
      <c r="P85" s="46">
        <f t="shared" ca="1" si="4"/>
        <v>4.4335227272727191E-3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input_404010!A$2</f>
        <v>404010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IFERROR(VLOOKUP(B86,input_404010!L:R,7,FALSE),VLOOKUP(tables_404010!C86,input_404010!A:H,8,FALSE))</f>
        <v>5082.3540000000003</v>
      </c>
      <c r="P86" s="46">
        <f t="shared" ca="1" si="4"/>
        <v>4.8128352272727189E-4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input_404010!A$2</f>
        <v>404010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IFERROR(VLOOKUP(B87,input_404010!L:R,7,FALSE),VLOOKUP(tables_404010!C87,input_404010!A:H,8,FALSE))</f>
        <v>46818</v>
      </c>
      <c r="P87" s="46">
        <f t="shared" ca="1" si="4"/>
        <v>4.4335227272727191E-3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input_404010!A$2</f>
        <v>404010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IFERROR(VLOOKUP(B88,input_404010!L:R,7,FALSE),VLOOKUP(tables_404010!C88,input_404010!A:H,8,FALSE))</f>
        <v>46818</v>
      </c>
      <c r="P88" s="46">
        <f t="shared" ca="1" si="4"/>
        <v>4.4335227272727191E-3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input_404010!A$2</f>
        <v>404010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IFERROR(VLOOKUP(B89,input_404010!L:R,7,FALSE),VLOOKUP(tables_404010!C89,input_404010!A:H,8,FALSE))</f>
        <v>5082.3540000000003</v>
      </c>
      <c r="P89" s="46">
        <f t="shared" ca="1" si="4"/>
        <v>4.8128352272727189E-4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input_404010!A$2</f>
        <v>404010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IFERROR(VLOOKUP(B90,input_404010!L:R,7,FALSE),VLOOKUP(tables_404010!C90,input_404010!A:H,8,FALSE))</f>
        <v>46818</v>
      </c>
      <c r="P90" s="46">
        <f t="shared" ca="1" si="4"/>
        <v>4.4335227272727191E-3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input_404010!A$2</f>
        <v>404010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IFERROR(VLOOKUP(B91,input_404010!L:R,7,FALSE),VLOOKUP(tables_404010!C91,input_404010!A:H,8,FALSE))</f>
        <v>46818</v>
      </c>
      <c r="P91" s="46">
        <f t="shared" ca="1" si="4"/>
        <v>4.4335227272727191E-3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input_404010!A$2</f>
        <v>404010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IFERROR(VLOOKUP(B92,input_404010!L:R,7,FALSE),VLOOKUP(tables_404010!C92,input_404010!A:H,8,FALSE))</f>
        <v>5082.3540000000003</v>
      </c>
      <c r="P92" s="46">
        <f t="shared" ca="1" si="4"/>
        <v>4.8128352272727189E-4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input_404010!A$2</f>
        <v>404010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IFERROR(VLOOKUP(B93,input_404010!L:R,7,FALSE),VLOOKUP(tables_404010!C93,input_404010!A:H,8,FALSE))</f>
        <v>46818</v>
      </c>
      <c r="P93" s="46">
        <f t="shared" ca="1" si="4"/>
        <v>4.4335227272727191E-3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input_404010!A$2</f>
        <v>404010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IFERROR(VLOOKUP(B94,input_404010!L:R,7,FALSE),VLOOKUP(tables_404010!C94,input_404010!A:H,8,FALSE))</f>
        <v>46818</v>
      </c>
      <c r="P94" s="46">
        <f t="shared" ca="1" si="4"/>
        <v>4.4335227272727191E-3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input_404010!A$2</f>
        <v>404010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IFERROR(VLOOKUP(B95,input_404010!L:R,7,FALSE),VLOOKUP(tables_404010!C95,input_404010!A:H,8,FALSE))</f>
        <v>5082.3540000000003</v>
      </c>
      <c r="P95" s="46">
        <f t="shared" ca="1" si="4"/>
        <v>4.8128352272727189E-4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input_404010!A$2</f>
        <v>404010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IFERROR(VLOOKUP(B96,input_404010!L:R,7,FALSE),VLOOKUP(tables_404010!C96,input_404010!A:H,8,FALSE))</f>
        <v>46818</v>
      </c>
      <c r="P96" s="46">
        <f t="shared" ca="1" si="4"/>
        <v>4.4335227272727191E-3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input_404010!A$2</f>
        <v>404010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IFERROR(VLOOKUP(B97,input_404010!L:R,7,FALSE),VLOOKUP(tables_404010!C97,input_404010!A:H,8,FALSE))</f>
        <v>46818</v>
      </c>
      <c r="P97" s="46">
        <f t="shared" ca="1" si="4"/>
        <v>4.4335227272727191E-3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input_404010!A$2</f>
        <v>404010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IFERROR(VLOOKUP(B98,input_404010!L:R,7,FALSE),VLOOKUP(tables_404010!C98,input_404010!A:H,8,FALSE))</f>
        <v>5082.3540000000003</v>
      </c>
      <c r="P98" s="46">
        <f t="shared" ca="1" si="4"/>
        <v>4.8128352272727189E-4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input_404010!A$2</f>
        <v>404010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IFERROR(VLOOKUP(B99,input_404010!L:R,7,FALSE),VLOOKUP(tables_404010!C99,input_404010!A:H,8,FALSE))</f>
        <v>46818</v>
      </c>
      <c r="P99" s="46">
        <f t="shared" ca="1" si="4"/>
        <v>4.4335227272727191E-3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input_404010!A$2</f>
        <v>404010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IFERROR(VLOOKUP(B100,input_404010!L:R,7,FALSE),VLOOKUP(tables_404010!C100,input_404010!A:H,8,FALSE))</f>
        <v>46818</v>
      </c>
      <c r="P100" s="46">
        <f t="shared" ca="1" si="4"/>
        <v>4.4335227272727191E-3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input_404010!A$2</f>
        <v>404010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IFERROR(VLOOKUP(B101,input_404010!L:R,7,FALSE),VLOOKUP(tables_404010!C101,input_404010!A:H,8,FALSE))</f>
        <v>5082.3540000000003</v>
      </c>
      <c r="P101" s="46">
        <f t="shared" ca="1" si="4"/>
        <v>4.8128352272727189E-4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input_404010!A$2</f>
        <v>404010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IFERROR(VLOOKUP(B102,input_404010!L:R,7,FALSE),VLOOKUP(tables_404010!C102,input_404010!A:H,8,FALSE))</f>
        <v>46818</v>
      </c>
      <c r="P102" s="46">
        <f t="shared" ca="1" si="4"/>
        <v>4.4335227272727191E-3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input_404010!A$2</f>
        <v>404010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IFERROR(VLOOKUP(B103,input_404010!L:R,7,FALSE),VLOOKUP(tables_404010!C103,input_404010!A:H,8,FALSE))</f>
        <v>46818</v>
      </c>
      <c r="P103" s="46">
        <f t="shared" ca="1" si="4"/>
        <v>4.4335227272727191E-3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input_404010!A$2</f>
        <v>404010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IFERROR(VLOOKUP(B104,input_404010!L:R,7,FALSE),VLOOKUP(tables_404010!C104,input_404010!A:H,8,FALSE))</f>
        <v>5082.3540000000003</v>
      </c>
      <c r="P104" s="46">
        <f t="shared" ca="1" si="4"/>
        <v>4.8128352272727189E-4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input_404010!A$2</f>
        <v>404010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IFERROR(VLOOKUP(B105,input_404010!L:R,7,FALSE),VLOOKUP(tables_404010!C105,input_404010!A:H,8,FALSE))</f>
        <v>46818</v>
      </c>
      <c r="P105" s="46">
        <f t="shared" ca="1" si="4"/>
        <v>4.4335227272727191E-3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input_404010!A$2</f>
        <v>404010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IFERROR(VLOOKUP(B106,input_404010!L:R,7,FALSE),VLOOKUP(tables_404010!C106,input_404010!A:H,8,FALSE))</f>
        <v>46818</v>
      </c>
      <c r="P106" s="46">
        <f t="shared" ca="1" si="4"/>
        <v>4.4335227272727191E-3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input_404010!A$2</f>
        <v>404010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IFERROR(VLOOKUP(B107,input_404010!L:R,7,FALSE),VLOOKUP(tables_404010!C107,input_404010!A:H,8,FALSE))</f>
        <v>5082.3540000000003</v>
      </c>
      <c r="P107" s="46">
        <f t="shared" ca="1" si="4"/>
        <v>4.8128352272727189E-4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input_404010!A$2</f>
        <v>404010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IFERROR(VLOOKUP(B108,input_404010!L:R,7,FALSE),VLOOKUP(tables_404010!C108,input_404010!A:H,8,FALSE))</f>
        <v>46818</v>
      </c>
      <c r="P108" s="46">
        <f t="shared" ca="1" si="4"/>
        <v>4.4335227272727191E-3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input_404010!A$2</f>
        <v>404010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IFERROR(VLOOKUP(B109,input_404010!L:R,7,FALSE),VLOOKUP(tables_404010!C109,input_404010!A:H,8,FALSE))</f>
        <v>46818</v>
      </c>
      <c r="P109" s="46">
        <f t="shared" ca="1" si="4"/>
        <v>4.4335227272727191E-3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input_404010!A$2</f>
        <v>404010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IFERROR(VLOOKUP(B110,input_404010!L:R,7,FALSE),VLOOKUP(tables_404010!C110,input_404010!A:H,8,FALSE))</f>
        <v>5082.3540000000003</v>
      </c>
      <c r="P110" s="46">
        <f t="shared" ca="1" si="4"/>
        <v>4.8128352272727189E-4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input_404010!A$2</f>
        <v>404010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IFERROR(VLOOKUP(B111,input_404010!L:R,7,FALSE),VLOOKUP(tables_404010!C111,input_404010!A:H,8,FALSE))</f>
        <v>46818</v>
      </c>
      <c r="P111" s="46">
        <f t="shared" ca="1" si="4"/>
        <v>4.4335227272727191E-3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input_404010!A$2</f>
        <v>404010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IFERROR(VLOOKUP(B112,input_404010!L:R,7,FALSE),VLOOKUP(tables_404010!C112,input_404010!A:H,8,FALSE))</f>
        <v>46818</v>
      </c>
      <c r="P112" s="46">
        <f t="shared" ca="1" si="4"/>
        <v>4.4335227272727191E-3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input_404010!A$2</f>
        <v>404010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IFERROR(VLOOKUP(B113,input_404010!L:R,7,FALSE),VLOOKUP(tables_404010!C113,input_404010!A:H,8,FALSE))</f>
        <v>5082.3540000000003</v>
      </c>
      <c r="P113" s="46">
        <f t="shared" ca="1" si="4"/>
        <v>4.8128352272727189E-4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input_404010!A$2</f>
        <v>404010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IFERROR(VLOOKUP(B114,input_404010!L:R,7,FALSE),VLOOKUP(tables_404010!C114,input_404010!A:H,8,FALSE))</f>
        <v>46818</v>
      </c>
      <c r="P114" s="46">
        <f t="shared" ca="1" si="4"/>
        <v>4.4335227272727191E-3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input_404010!A$2</f>
        <v>404010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IFERROR(VLOOKUP(B115,input_404010!L:R,7,FALSE),VLOOKUP(tables_404010!C115,input_404010!A:H,8,FALSE))</f>
        <v>46818</v>
      </c>
      <c r="P115" s="46">
        <f t="shared" ca="1" si="4"/>
        <v>4.4335227272727191E-3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input_404010!A$2</f>
        <v>404010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IFERROR(VLOOKUP(B116,input_404010!L:R,7,FALSE),VLOOKUP(tables_404010!C116,input_404010!A:H,8,FALSE))</f>
        <v>5082.3540000000003</v>
      </c>
      <c r="P116" s="46">
        <f t="shared" ca="1" si="4"/>
        <v>4.8128352272727189E-4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input_404010!A$2</f>
        <v>404010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IFERROR(VLOOKUP(B117,input_404010!L:R,7,FALSE),VLOOKUP(tables_404010!C117,input_404010!A:H,8,FALSE))</f>
        <v>46818</v>
      </c>
      <c r="P117" s="46">
        <f t="shared" ca="1" si="4"/>
        <v>4.4335227272727191E-3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input_404010!A$2</f>
        <v>404010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IFERROR(VLOOKUP(B118,input_404010!L:R,7,FALSE),VLOOKUP(tables_404010!C118,input_404010!A:H,8,FALSE))</f>
        <v>46818</v>
      </c>
      <c r="P118" s="46">
        <f t="shared" ca="1" si="4"/>
        <v>4.4335227272727191E-3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input_404010!A$2</f>
        <v>404010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IFERROR(VLOOKUP(B119,input_404010!L:R,7,FALSE),VLOOKUP(tables_404010!C119,input_404010!A:H,8,FALSE))</f>
        <v>5082.3540000000003</v>
      </c>
      <c r="P119" s="46">
        <f t="shared" ca="1" si="4"/>
        <v>4.8128352272727189E-4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input_404010!A$2</f>
        <v>404010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IFERROR(VLOOKUP(B120,input_404010!L:R,7,FALSE),VLOOKUP(tables_404010!C120,input_404010!A:H,8,FALSE))</f>
        <v>46818</v>
      </c>
      <c r="P120" s="46">
        <f t="shared" ca="1" si="4"/>
        <v>4.4335227272727191E-3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input_404010!A$2</f>
        <v>404010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IFERROR(VLOOKUP(B121,input_404010!L:R,7,FALSE),VLOOKUP(tables_404010!C121,input_404010!A:H,8,FALSE))</f>
        <v>46818</v>
      </c>
      <c r="P121" s="46">
        <f t="shared" ca="1" si="4"/>
        <v>4.4335227272727191E-3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input_404010!A$2</f>
        <v>404010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IFERROR(VLOOKUP(B122,input_404010!L:R,7,FALSE),VLOOKUP(tables_404010!C122,input_404010!A:H,8,FALSE))</f>
        <v>5082.3540000000003</v>
      </c>
      <c r="P122" s="46">
        <f t="shared" ca="1" si="4"/>
        <v>4.8128352272727189E-4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input_404010!A$2</f>
        <v>404010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IFERROR(VLOOKUP(B123,input_404010!L:R,7,FALSE),VLOOKUP(tables_404010!C123,input_404010!A:H,8,FALSE))</f>
        <v>46818</v>
      </c>
      <c r="P123" s="46">
        <f t="shared" ca="1" si="4"/>
        <v>4.4335227272727191E-3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input_404010!A$2</f>
        <v>404010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IFERROR(VLOOKUP(B124,input_404010!L:R,7,FALSE),VLOOKUP(tables_404010!C124,input_404010!A:H,8,FALSE))</f>
        <v>46818</v>
      </c>
      <c r="P124" s="46">
        <f t="shared" ca="1" si="4"/>
        <v>4.4335227272727191E-3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input_404010!A$2</f>
        <v>404010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IFERROR(VLOOKUP(B125,input_404010!L:R,7,FALSE),VLOOKUP(tables_404010!C125,input_404010!A:H,8,FALSE))</f>
        <v>5082.3540000000003</v>
      </c>
      <c r="P125" s="46">
        <f t="shared" ca="1" si="4"/>
        <v>4.8128352272727189E-4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input_404010!A$2</f>
        <v>404010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IFERROR(VLOOKUP(B126,input_404010!L:R,7,FALSE),VLOOKUP(tables_404010!C126,input_404010!A:H,8,FALSE))</f>
        <v>46818</v>
      </c>
      <c r="P126" s="46">
        <f t="shared" ca="1" si="4"/>
        <v>4.4335227272727191E-3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input_404010!A$2</f>
        <v>404010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IFERROR(VLOOKUP(B127,input_404010!L:R,7,FALSE),VLOOKUP(tables_404010!C127,input_404010!A:H,8,FALSE))</f>
        <v>46818</v>
      </c>
      <c r="P127" s="46">
        <f t="shared" ca="1" si="4"/>
        <v>4.4335227272727191E-3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input_404010!A$2</f>
        <v>404010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IFERROR(VLOOKUP(B128,input_404010!L:R,7,FALSE),VLOOKUP(tables_404010!C128,input_404010!A:H,8,FALSE))</f>
        <v>5082.3540000000003</v>
      </c>
      <c r="P128" s="46">
        <f t="shared" ca="1" si="4"/>
        <v>4.8128352272727189E-4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input_404010!A$2</f>
        <v>404010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IFERROR(VLOOKUP(B129,input_404010!L:R,7,FALSE),VLOOKUP(tables_404010!C129,input_404010!A:H,8,FALSE))</f>
        <v>46818</v>
      </c>
      <c r="P129" s="46">
        <f t="shared" ca="1" si="4"/>
        <v>4.4335227272727191E-3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input_404010!A$2</f>
        <v>404010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IFERROR(VLOOKUP(B130,input_404010!L:R,7,FALSE),VLOOKUP(tables_404010!C130,input_404010!A:H,8,FALSE))</f>
        <v>46818</v>
      </c>
      <c r="P130" s="46">
        <f t="shared" ref="P130:P193" ca="1" si="7">O130/SUM(O:O)</f>
        <v>4.4335227272727191E-3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input_404010!A$2</f>
        <v>404010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IFERROR(VLOOKUP(B131,input_404010!L:R,7,FALSE),VLOOKUP(tables_404010!C131,input_404010!A:H,8,FALSE))</f>
        <v>5082.3540000000003</v>
      </c>
      <c r="P131" s="46">
        <f t="shared" ca="1" si="7"/>
        <v>4.8128352272727189E-4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input_404010!A$2</f>
        <v>404010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IFERROR(VLOOKUP(B132,input_404010!L:R,7,FALSE),VLOOKUP(tables_404010!C132,input_404010!A:H,8,FALSE))</f>
        <v>46818</v>
      </c>
      <c r="P132" s="46">
        <f t="shared" ca="1" si="7"/>
        <v>4.4335227272727191E-3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input_404010!A$2</f>
        <v>404010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IFERROR(VLOOKUP(B133,input_404010!L:R,7,FALSE),VLOOKUP(tables_404010!C133,input_404010!A:H,8,FALSE))</f>
        <v>46818</v>
      </c>
      <c r="P133" s="46">
        <f t="shared" ca="1" si="7"/>
        <v>4.4335227272727191E-3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input_404010!A$2</f>
        <v>404010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IFERROR(VLOOKUP(B134,input_404010!L:R,7,FALSE),VLOOKUP(tables_404010!C134,input_404010!A:H,8,FALSE))</f>
        <v>5082.3540000000003</v>
      </c>
      <c r="P134" s="46">
        <f t="shared" ca="1" si="7"/>
        <v>4.8128352272727189E-4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input_404010!A$2</f>
        <v>404010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IFERROR(VLOOKUP(B135,input_404010!L:R,7,FALSE),VLOOKUP(tables_404010!C135,input_404010!A:H,8,FALSE))</f>
        <v>46818</v>
      </c>
      <c r="P135" s="46">
        <f t="shared" ca="1" si="7"/>
        <v>4.4335227272727191E-3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input_404010!A$2</f>
        <v>404010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IFERROR(VLOOKUP(B136,input_404010!L:R,7,FALSE),VLOOKUP(tables_404010!C136,input_404010!A:H,8,FALSE))</f>
        <v>46818</v>
      </c>
      <c r="P136" s="46">
        <f t="shared" ca="1" si="7"/>
        <v>4.4335227272727191E-3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input_404010!A$2</f>
        <v>404010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IFERROR(VLOOKUP(B137,input_404010!L:R,7,FALSE),VLOOKUP(tables_404010!C137,input_404010!A:H,8,FALSE))</f>
        <v>5082.3540000000003</v>
      </c>
      <c r="P137" s="46">
        <f t="shared" ca="1" si="7"/>
        <v>4.8128352272727189E-4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input_404010!A$2</f>
        <v>404010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IFERROR(VLOOKUP(B138,input_404010!L:R,7,FALSE),VLOOKUP(tables_404010!C138,input_404010!A:H,8,FALSE))</f>
        <v>594</v>
      </c>
      <c r="P138" s="46">
        <f t="shared" ca="1" si="7"/>
        <v>5.6249999999999904E-5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input_404010!A$2</f>
        <v>404010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IFERROR(VLOOKUP(B139,input_404010!L:R,7,FALSE),VLOOKUP(tables_404010!C139,input_404010!A:H,8,FALSE))</f>
        <v>32.241</v>
      </c>
      <c r="P139" s="46">
        <f t="shared" ca="1" si="7"/>
        <v>3.0531249999999946E-6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input_404010!A$2</f>
        <v>404010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IFERROR(VLOOKUP(B140,input_404010!L:R,7,FALSE),VLOOKUP(tables_404010!C140,input_404010!A:H,8,FALSE))</f>
        <v>594</v>
      </c>
      <c r="P140" s="46">
        <f t="shared" ca="1" si="7"/>
        <v>5.6249999999999904E-5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input_404010!A$2</f>
        <v>404010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IFERROR(VLOOKUP(B141,input_404010!L:R,7,FALSE),VLOOKUP(tables_404010!C141,input_404010!A:H,8,FALSE))</f>
        <v>32.241</v>
      </c>
      <c r="P141" s="46">
        <f t="shared" ca="1" si="7"/>
        <v>3.0531249999999946E-6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input_404010!A$2</f>
        <v>404010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IFERROR(VLOOKUP(B142,input_404010!L:R,7,FALSE),VLOOKUP(tables_404010!C142,input_404010!A:H,8,FALSE))</f>
        <v>594</v>
      </c>
      <c r="P142" s="46">
        <f t="shared" ca="1" si="7"/>
        <v>5.6249999999999904E-5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input_404010!A$2</f>
        <v>404010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IFERROR(VLOOKUP(B143,input_404010!L:R,7,FALSE),VLOOKUP(tables_404010!C143,input_404010!A:H,8,FALSE))</f>
        <v>32.241</v>
      </c>
      <c r="P143" s="46">
        <f t="shared" ca="1" si="7"/>
        <v>3.0531249999999946E-6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input_404010!A$2</f>
        <v>404010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IFERROR(VLOOKUP(B144,input_404010!L:R,7,FALSE),VLOOKUP(tables_404010!C144,input_404010!A:H,8,FALSE))</f>
        <v>594</v>
      </c>
      <c r="P144" s="46">
        <f t="shared" ca="1" si="7"/>
        <v>5.6249999999999904E-5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input_404010!A$2</f>
        <v>404010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IFERROR(VLOOKUP(B145,input_404010!L:R,7,FALSE),VLOOKUP(tables_404010!C145,input_404010!A:H,8,FALSE))</f>
        <v>32.241</v>
      </c>
      <c r="P145" s="46">
        <f t="shared" ca="1" si="7"/>
        <v>3.0531249999999946E-6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input_404010!A$2</f>
        <v>404010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IFERROR(VLOOKUP(B146,input_404010!L:R,7,FALSE),VLOOKUP(tables_404010!C146,input_404010!A:H,8,FALSE))</f>
        <v>46818</v>
      </c>
      <c r="P146" s="46">
        <f t="shared" ca="1" si="7"/>
        <v>4.4335227272727191E-3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input_404010!A$2</f>
        <v>404010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IFERROR(VLOOKUP(B147,input_404010!L:R,7,FALSE),VLOOKUP(tables_404010!C147,input_404010!A:H,8,FALSE))</f>
        <v>46818</v>
      </c>
      <c r="P147" s="46">
        <f t="shared" ca="1" si="7"/>
        <v>4.4335227272727191E-3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input_404010!A$2</f>
        <v>404010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IFERROR(VLOOKUP(B148,input_404010!L:R,7,FALSE),VLOOKUP(tables_404010!C148,input_404010!A:H,8,FALSE))</f>
        <v>5082.3540000000003</v>
      </c>
      <c r="P148" s="46">
        <f t="shared" ca="1" si="7"/>
        <v>4.8128352272727189E-4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input_404010!A$2</f>
        <v>404010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IFERROR(VLOOKUP(B149,input_404010!L:R,7,FALSE),VLOOKUP(tables_404010!C149,input_404010!A:H,8,FALSE))</f>
        <v>594</v>
      </c>
      <c r="P149" s="46">
        <f t="shared" ca="1" si="7"/>
        <v>5.6249999999999904E-5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input_404010!A$2</f>
        <v>404010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IFERROR(VLOOKUP(B150,input_404010!L:R,7,FALSE),VLOOKUP(tables_404010!C150,input_404010!A:H,8,FALSE))</f>
        <v>32.241</v>
      </c>
      <c r="P150" s="46">
        <f t="shared" ca="1" si="7"/>
        <v>3.0531249999999946E-6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input_404010!A$2</f>
        <v>404010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IFERROR(VLOOKUP(B151,input_404010!L:R,7,FALSE),VLOOKUP(tables_404010!C151,input_404010!A:H,8,FALSE))</f>
        <v>594</v>
      </c>
      <c r="P151" s="46">
        <f t="shared" ca="1" si="7"/>
        <v>5.6249999999999904E-5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input_404010!A$2</f>
        <v>404010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IFERROR(VLOOKUP(B152,input_404010!L:R,7,FALSE),VLOOKUP(tables_404010!C152,input_404010!A:H,8,FALSE))</f>
        <v>32.241</v>
      </c>
      <c r="P152" s="46">
        <f t="shared" ca="1" si="7"/>
        <v>3.0531249999999946E-6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input_404010!A$2</f>
        <v>404010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IFERROR(VLOOKUP(B153,input_404010!L:R,7,FALSE),VLOOKUP(tables_404010!C153,input_404010!A:H,8,FALSE))</f>
        <v>46818</v>
      </c>
      <c r="P153" s="46">
        <f t="shared" ca="1" si="7"/>
        <v>4.4335227272727191E-3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input_404010!A$2</f>
        <v>404010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IFERROR(VLOOKUP(B154,input_404010!L:R,7,FALSE),VLOOKUP(tables_404010!C154,input_404010!A:H,8,FALSE))</f>
        <v>46818</v>
      </c>
      <c r="P154" s="46">
        <f t="shared" ca="1" si="7"/>
        <v>4.4335227272727191E-3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input_404010!A$2</f>
        <v>404010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IFERROR(VLOOKUP(B155,input_404010!L:R,7,FALSE),VLOOKUP(tables_404010!C155,input_404010!A:H,8,FALSE))</f>
        <v>5082.3540000000003</v>
      </c>
      <c r="P155" s="46">
        <f t="shared" ca="1" si="7"/>
        <v>4.8128352272727189E-4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input_404010!A$2</f>
        <v>404010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IFERROR(VLOOKUP(B156,input_404010!L:R,7,FALSE),VLOOKUP(tables_404010!C156,input_404010!A:H,8,FALSE))</f>
        <v>594</v>
      </c>
      <c r="P156" s="46">
        <f t="shared" ca="1" si="7"/>
        <v>5.6249999999999904E-5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input_404010!A$2</f>
        <v>404010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IFERROR(VLOOKUP(B157,input_404010!L:R,7,FALSE),VLOOKUP(tables_404010!C157,input_404010!A:H,8,FALSE))</f>
        <v>32.241</v>
      </c>
      <c r="P157" s="46">
        <f t="shared" ca="1" si="7"/>
        <v>3.0531249999999946E-6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input_404010!A$2</f>
        <v>404010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IFERROR(VLOOKUP(B158,input_404010!L:R,7,FALSE),VLOOKUP(tables_404010!C158,input_404010!A:H,8,FALSE))</f>
        <v>46818</v>
      </c>
      <c r="P158" s="46">
        <f t="shared" ca="1" si="7"/>
        <v>4.4335227272727191E-3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input_404010!A$2</f>
        <v>404010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IFERROR(VLOOKUP(B159,input_404010!L:R,7,FALSE),VLOOKUP(tables_404010!C159,input_404010!A:H,8,FALSE))</f>
        <v>46818</v>
      </c>
      <c r="P159" s="46">
        <f t="shared" ca="1" si="7"/>
        <v>4.4335227272727191E-3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input_404010!A$2</f>
        <v>404010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IFERROR(VLOOKUP(B160,input_404010!L:R,7,FALSE),VLOOKUP(tables_404010!C160,input_404010!A:H,8,FALSE))</f>
        <v>5082.3540000000003</v>
      </c>
      <c r="P160" s="46">
        <f t="shared" ca="1" si="7"/>
        <v>4.8128352272727189E-4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input_404010!A$2</f>
        <v>404010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IFERROR(VLOOKUP(B161,input_404010!L:R,7,FALSE),VLOOKUP(tables_404010!C161,input_404010!A:H,8,FALSE))</f>
        <v>46818</v>
      </c>
      <c r="P161" s="46">
        <f t="shared" ca="1" si="7"/>
        <v>4.4335227272727191E-3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input_404010!A$2</f>
        <v>404010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IFERROR(VLOOKUP(B162,input_404010!L:R,7,FALSE),VLOOKUP(tables_404010!C162,input_404010!A:H,8,FALSE))</f>
        <v>46818</v>
      </c>
      <c r="P162" s="46">
        <f t="shared" ca="1" si="7"/>
        <v>4.4335227272727191E-3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input_404010!A$2</f>
        <v>404010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IFERROR(VLOOKUP(B163,input_404010!L:R,7,FALSE),VLOOKUP(tables_404010!C163,input_404010!A:H,8,FALSE))</f>
        <v>5082.3540000000003</v>
      </c>
      <c r="P163" s="46">
        <f t="shared" ca="1" si="7"/>
        <v>4.8128352272727189E-4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input_404010!A$2</f>
        <v>404010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IFERROR(VLOOKUP(B164,input_404010!L:R,7,FALSE),VLOOKUP(tables_404010!C164,input_404010!A:H,8,FALSE))</f>
        <v>594</v>
      </c>
      <c r="P164" s="46">
        <f t="shared" ca="1" si="7"/>
        <v>5.6249999999999904E-5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input_404010!A$2</f>
        <v>404010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IFERROR(VLOOKUP(B165,input_404010!L:R,7,FALSE),VLOOKUP(tables_404010!C165,input_404010!A:H,8,FALSE))</f>
        <v>32.241</v>
      </c>
      <c r="P165" s="46">
        <f t="shared" ca="1" si="7"/>
        <v>3.0531249999999946E-6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input_404010!A$2</f>
        <v>404010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IFERROR(VLOOKUP(B166,input_404010!L:R,7,FALSE),VLOOKUP(tables_404010!C166,input_404010!A:H,8,FALSE))</f>
        <v>46818</v>
      </c>
      <c r="P166" s="46">
        <f t="shared" ca="1" si="7"/>
        <v>4.4335227272727191E-3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input_404010!A$2</f>
        <v>404010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IFERROR(VLOOKUP(B167,input_404010!L:R,7,FALSE),VLOOKUP(tables_404010!C167,input_404010!A:H,8,FALSE))</f>
        <v>46818</v>
      </c>
      <c r="P167" s="46">
        <f t="shared" ca="1" si="7"/>
        <v>4.4335227272727191E-3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input_404010!A$2</f>
        <v>404010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IFERROR(VLOOKUP(B168,input_404010!L:R,7,FALSE),VLOOKUP(tables_404010!C168,input_404010!A:H,8,FALSE))</f>
        <v>5082.3540000000003</v>
      </c>
      <c r="P168" s="46">
        <f t="shared" ca="1" si="7"/>
        <v>4.8128352272727189E-4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input_404010!A$2</f>
        <v>404010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IFERROR(VLOOKUP(B169,input_404010!L:R,7,FALSE),VLOOKUP(tables_404010!C169,input_404010!A:H,8,FALSE))</f>
        <v>594</v>
      </c>
      <c r="P169" s="46">
        <f t="shared" ca="1" si="7"/>
        <v>5.6249999999999904E-5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input_404010!A$2</f>
        <v>404010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IFERROR(VLOOKUP(B170,input_404010!L:R,7,FALSE),VLOOKUP(tables_404010!C170,input_404010!A:H,8,FALSE))</f>
        <v>32.241</v>
      </c>
      <c r="P170" s="46">
        <f t="shared" ca="1" si="7"/>
        <v>3.0531249999999946E-6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input_404010!A$2</f>
        <v>404010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IFERROR(VLOOKUP(B171,input_404010!L:R,7,FALSE),VLOOKUP(tables_404010!C171,input_404010!A:H,8,FALSE))</f>
        <v>46818</v>
      </c>
      <c r="P171" s="46">
        <f t="shared" ca="1" si="7"/>
        <v>4.4335227272727191E-3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input_404010!A$2</f>
        <v>404010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IFERROR(VLOOKUP(B172,input_404010!L:R,7,FALSE),VLOOKUP(tables_404010!C172,input_404010!A:H,8,FALSE))</f>
        <v>46818</v>
      </c>
      <c r="P172" s="46">
        <f t="shared" ca="1" si="7"/>
        <v>4.4335227272727191E-3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input_404010!A$2</f>
        <v>404010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IFERROR(VLOOKUP(B173,input_404010!L:R,7,FALSE),VLOOKUP(tables_404010!C173,input_404010!A:H,8,FALSE))</f>
        <v>5082.3540000000003</v>
      </c>
      <c r="P173" s="46">
        <f t="shared" ca="1" si="7"/>
        <v>4.8128352272727189E-4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input_404010!A$2</f>
        <v>404010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IFERROR(VLOOKUP(B174,input_404010!L:R,7,FALSE),VLOOKUP(tables_404010!C174,input_404010!A:H,8,FALSE))</f>
        <v>594</v>
      </c>
      <c r="P174" s="46">
        <f t="shared" ca="1" si="7"/>
        <v>5.6249999999999904E-5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input_404010!A$2</f>
        <v>404010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IFERROR(VLOOKUP(B175,input_404010!L:R,7,FALSE),VLOOKUP(tables_404010!C175,input_404010!A:H,8,FALSE))</f>
        <v>32.241</v>
      </c>
      <c r="P175" s="46">
        <f t="shared" ca="1" si="7"/>
        <v>3.0531249999999946E-6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input_404010!A$2</f>
        <v>404010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IFERROR(VLOOKUP(B176,input_404010!L:R,7,FALSE),VLOOKUP(tables_404010!C176,input_404010!A:H,8,FALSE))</f>
        <v>594</v>
      </c>
      <c r="P176" s="46">
        <f t="shared" ca="1" si="7"/>
        <v>5.6249999999999904E-5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input_404010!A$2</f>
        <v>404010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IFERROR(VLOOKUP(B177,input_404010!L:R,7,FALSE),VLOOKUP(tables_404010!C177,input_404010!A:H,8,FALSE))</f>
        <v>32.241</v>
      </c>
      <c r="P177" s="46">
        <f t="shared" ca="1" si="7"/>
        <v>3.0531249999999946E-6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input_404010!A$2</f>
        <v>404010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IFERROR(VLOOKUP(B178,input_404010!L:R,7,FALSE),VLOOKUP(tables_404010!C178,input_404010!A:H,8,FALSE))</f>
        <v>46818</v>
      </c>
      <c r="P178" s="46">
        <f t="shared" ca="1" si="7"/>
        <v>4.4335227272727191E-3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input_404010!A$2</f>
        <v>404010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IFERROR(VLOOKUP(B179,input_404010!L:R,7,FALSE),VLOOKUP(tables_404010!C179,input_404010!A:H,8,FALSE))</f>
        <v>46818</v>
      </c>
      <c r="P179" s="46">
        <f t="shared" ca="1" si="7"/>
        <v>4.4335227272727191E-3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input_404010!A$2</f>
        <v>404010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IFERROR(VLOOKUP(B180,input_404010!L:R,7,FALSE),VLOOKUP(tables_404010!C180,input_404010!A:H,8,FALSE))</f>
        <v>5082.3540000000003</v>
      </c>
      <c r="P180" s="46">
        <f t="shared" ca="1" si="7"/>
        <v>4.8128352272727189E-4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input_404010!A$2</f>
        <v>404010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IFERROR(VLOOKUP(B181,input_404010!L:R,7,FALSE),VLOOKUP(tables_404010!C181,input_404010!A:H,8,FALSE))</f>
        <v>46818</v>
      </c>
      <c r="P181" s="46">
        <f t="shared" ca="1" si="7"/>
        <v>4.4335227272727191E-3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input_404010!A$2</f>
        <v>404010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IFERROR(VLOOKUP(B182,input_404010!L:R,7,FALSE),VLOOKUP(tables_404010!C182,input_404010!A:H,8,FALSE))</f>
        <v>46818</v>
      </c>
      <c r="P182" s="46">
        <f t="shared" ca="1" si="7"/>
        <v>4.4335227272727191E-3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input_404010!A$2</f>
        <v>404010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IFERROR(VLOOKUP(B183,input_404010!L:R,7,FALSE),VLOOKUP(tables_404010!C183,input_404010!A:H,8,FALSE))</f>
        <v>5082.3540000000003</v>
      </c>
      <c r="P183" s="46">
        <f t="shared" ca="1" si="7"/>
        <v>4.8128352272727189E-4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input_404010!A$2</f>
        <v>404010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IFERROR(VLOOKUP(B184,input_404010!L:R,7,FALSE),VLOOKUP(tables_404010!C184,input_404010!A:H,8,FALSE))</f>
        <v>594</v>
      </c>
      <c r="P184" s="46">
        <f t="shared" ca="1" si="7"/>
        <v>5.6249999999999904E-5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input_404010!A$2</f>
        <v>404010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IFERROR(VLOOKUP(B185,input_404010!L:R,7,FALSE),VLOOKUP(tables_404010!C185,input_404010!A:H,8,FALSE))</f>
        <v>32.241</v>
      </c>
      <c r="P185" s="46">
        <f t="shared" ca="1" si="7"/>
        <v>3.0531249999999946E-6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input_404010!A$2</f>
        <v>404010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IFERROR(VLOOKUP(B186,input_404010!L:R,7,FALSE),VLOOKUP(tables_404010!C186,input_404010!A:H,8,FALSE))</f>
        <v>46818</v>
      </c>
      <c r="P186" s="46">
        <f t="shared" ca="1" si="7"/>
        <v>4.4335227272727191E-3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input_404010!A$2</f>
        <v>404010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IFERROR(VLOOKUP(B187,input_404010!L:R,7,FALSE),VLOOKUP(tables_404010!C187,input_404010!A:H,8,FALSE))</f>
        <v>46818</v>
      </c>
      <c r="P187" s="46">
        <f t="shared" ca="1" si="7"/>
        <v>4.4335227272727191E-3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input_404010!A$2</f>
        <v>404010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IFERROR(VLOOKUP(B188,input_404010!L:R,7,FALSE),VLOOKUP(tables_404010!C188,input_404010!A:H,8,FALSE))</f>
        <v>5082.3540000000003</v>
      </c>
      <c r="P188" s="46">
        <f t="shared" ca="1" si="7"/>
        <v>4.8128352272727189E-4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input_404010!A$2</f>
        <v>404010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IFERROR(VLOOKUP(B189,input_404010!L:R,7,FALSE),VLOOKUP(tables_404010!C189,input_404010!A:H,8,FALSE))</f>
        <v>594</v>
      </c>
      <c r="P189" s="46">
        <f t="shared" ca="1" si="7"/>
        <v>5.6249999999999904E-5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input_404010!A$2</f>
        <v>404010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IFERROR(VLOOKUP(B190,input_404010!L:R,7,FALSE),VLOOKUP(tables_404010!C190,input_404010!A:H,8,FALSE))</f>
        <v>32.241</v>
      </c>
      <c r="P190" s="46">
        <f t="shared" ca="1" si="7"/>
        <v>3.0531249999999946E-6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input_404010!A$2</f>
        <v>404010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IFERROR(VLOOKUP(B191,input_404010!L:R,7,FALSE),VLOOKUP(tables_404010!C191,input_404010!A:H,8,FALSE))</f>
        <v>594</v>
      </c>
      <c r="P191" s="46">
        <f t="shared" ca="1" si="7"/>
        <v>5.6249999999999904E-5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input_404010!A$2</f>
        <v>404010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IFERROR(VLOOKUP(B192,input_404010!L:R,7,FALSE),VLOOKUP(tables_404010!C192,input_404010!A:H,8,FALSE))</f>
        <v>32.241</v>
      </c>
      <c r="P192" s="46">
        <f t="shared" ca="1" si="7"/>
        <v>3.0531249999999946E-6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input_404010!A$2</f>
        <v>404010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IFERROR(VLOOKUP(B193,input_404010!L:R,7,FALSE),VLOOKUP(tables_404010!C193,input_404010!A:H,8,FALSE))</f>
        <v>46818</v>
      </c>
      <c r="P193" s="46">
        <f t="shared" ca="1" si="7"/>
        <v>4.4335227272727191E-3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input_404010!A$2</f>
        <v>404010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IFERROR(VLOOKUP(B194,input_404010!L:R,7,FALSE),VLOOKUP(tables_404010!C194,input_404010!A:H,8,FALSE))</f>
        <v>46818</v>
      </c>
      <c r="P194" s="46">
        <f t="shared" ref="P194:P257" ca="1" si="10">O194/SUM(O:O)</f>
        <v>4.4335227272727191E-3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input_404010!A$2</f>
        <v>404010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IFERROR(VLOOKUP(B195,input_404010!L:R,7,FALSE),VLOOKUP(tables_404010!C195,input_404010!A:H,8,FALSE))</f>
        <v>5082.3540000000003</v>
      </c>
      <c r="P195" s="46">
        <f t="shared" ca="1" si="10"/>
        <v>4.8128352272727189E-4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input_404010!A$2</f>
        <v>404010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IFERROR(VLOOKUP(B196,input_404010!L:R,7,FALSE),VLOOKUP(tables_404010!C196,input_404010!A:H,8,FALSE))</f>
        <v>594</v>
      </c>
      <c r="P196" s="46">
        <f t="shared" ca="1" si="10"/>
        <v>5.6249999999999904E-5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input_404010!A$2</f>
        <v>404010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IFERROR(VLOOKUP(B197,input_404010!L:R,7,FALSE),VLOOKUP(tables_404010!C197,input_404010!A:H,8,FALSE))</f>
        <v>32.241</v>
      </c>
      <c r="P197" s="46">
        <f t="shared" ca="1" si="10"/>
        <v>3.0531249999999946E-6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input_404010!A$2</f>
        <v>404010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IFERROR(VLOOKUP(B198,input_404010!L:R,7,FALSE),VLOOKUP(tables_404010!C198,input_404010!A:H,8,FALSE))</f>
        <v>46818</v>
      </c>
      <c r="P198" s="46">
        <f t="shared" ca="1" si="10"/>
        <v>4.4335227272727191E-3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input_404010!A$2</f>
        <v>404010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IFERROR(VLOOKUP(B199,input_404010!L:R,7,FALSE),VLOOKUP(tables_404010!C199,input_404010!A:H,8,FALSE))</f>
        <v>46818</v>
      </c>
      <c r="P199" s="46">
        <f t="shared" ca="1" si="10"/>
        <v>4.4335227272727191E-3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input_404010!A$2</f>
        <v>404010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IFERROR(VLOOKUP(B200,input_404010!L:R,7,FALSE),VLOOKUP(tables_404010!C200,input_404010!A:H,8,FALSE))</f>
        <v>5082.3540000000003</v>
      </c>
      <c r="P200" s="46">
        <f t="shared" ca="1" si="10"/>
        <v>4.8128352272727189E-4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input_404010!A$2</f>
        <v>404010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IFERROR(VLOOKUP(B201,input_404010!L:R,7,FALSE),VLOOKUP(tables_404010!C201,input_404010!A:H,8,FALSE))</f>
        <v>594</v>
      </c>
      <c r="P201" s="46">
        <f t="shared" ca="1" si="10"/>
        <v>5.6249999999999904E-5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input_404010!A$2</f>
        <v>404010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IFERROR(VLOOKUP(B202,input_404010!L:R,7,FALSE),VLOOKUP(tables_404010!C202,input_404010!A:H,8,FALSE))</f>
        <v>32.241</v>
      </c>
      <c r="P202" s="46">
        <f t="shared" ca="1" si="10"/>
        <v>3.0531249999999946E-6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input_404010!A$2</f>
        <v>404010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IFERROR(VLOOKUP(B203,input_404010!L:R,7,FALSE),VLOOKUP(tables_404010!C203,input_404010!A:H,8,FALSE))</f>
        <v>46818</v>
      </c>
      <c r="P203" s="46">
        <f t="shared" ca="1" si="10"/>
        <v>4.4335227272727191E-3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input_404010!A$2</f>
        <v>404010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IFERROR(VLOOKUP(B204,input_404010!L:R,7,FALSE),VLOOKUP(tables_404010!C204,input_404010!A:H,8,FALSE))</f>
        <v>46818</v>
      </c>
      <c r="P204" s="46">
        <f t="shared" ca="1" si="10"/>
        <v>4.4335227272727191E-3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input_404010!A$2</f>
        <v>404010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IFERROR(VLOOKUP(B205,input_404010!L:R,7,FALSE),VLOOKUP(tables_404010!C205,input_404010!A:H,8,FALSE))</f>
        <v>5082.3540000000003</v>
      </c>
      <c r="P205" s="46">
        <f t="shared" ca="1" si="10"/>
        <v>4.8128352272727189E-4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input_404010!A$2</f>
        <v>404010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IFERROR(VLOOKUP(B206,input_404010!L:R,7,FALSE),VLOOKUP(tables_404010!C206,input_404010!A:H,8,FALSE))</f>
        <v>594</v>
      </c>
      <c r="P206" s="46">
        <f t="shared" ca="1" si="10"/>
        <v>5.6249999999999904E-5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input_404010!A$2</f>
        <v>404010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IFERROR(VLOOKUP(B207,input_404010!L:R,7,FALSE),VLOOKUP(tables_404010!C207,input_404010!A:H,8,FALSE))</f>
        <v>32.241</v>
      </c>
      <c r="P207" s="46">
        <f t="shared" ca="1" si="10"/>
        <v>3.0531249999999946E-6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input_404010!A$2</f>
        <v>404010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IFERROR(VLOOKUP(B208,input_404010!L:R,7,FALSE),VLOOKUP(tables_404010!C208,input_404010!A:H,8,FALSE))</f>
        <v>594</v>
      </c>
      <c r="P208" s="46">
        <f t="shared" ca="1" si="10"/>
        <v>5.6249999999999904E-5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input_404010!A$2</f>
        <v>404010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IFERROR(VLOOKUP(B209,input_404010!L:R,7,FALSE),VLOOKUP(tables_404010!C209,input_404010!A:H,8,FALSE))</f>
        <v>32.241</v>
      </c>
      <c r="P209" s="46">
        <f t="shared" ca="1" si="10"/>
        <v>3.0531249999999946E-6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input_404010!A$2</f>
        <v>404010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IFERROR(VLOOKUP(B210,input_404010!L:R,7,FALSE),VLOOKUP(tables_404010!C210,input_404010!A:H,8,FALSE))</f>
        <v>46818</v>
      </c>
      <c r="P210" s="46">
        <f t="shared" ca="1" si="10"/>
        <v>4.4335227272727191E-3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input_404010!A$2</f>
        <v>404010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IFERROR(VLOOKUP(B211,input_404010!L:R,7,FALSE),VLOOKUP(tables_404010!C211,input_404010!A:H,8,FALSE))</f>
        <v>46818</v>
      </c>
      <c r="P211" s="46">
        <f t="shared" ca="1" si="10"/>
        <v>4.4335227272727191E-3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input_404010!A$2</f>
        <v>404010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IFERROR(VLOOKUP(B212,input_404010!L:R,7,FALSE),VLOOKUP(tables_404010!C212,input_404010!A:H,8,FALSE))</f>
        <v>5082.3540000000003</v>
      </c>
      <c r="P212" s="46">
        <f t="shared" ca="1" si="10"/>
        <v>4.8128352272727189E-4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input_404010!A$2</f>
        <v>404010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IFERROR(VLOOKUP(B213,input_404010!L:R,7,FALSE),VLOOKUP(tables_404010!C213,input_404010!A:H,8,FALSE))</f>
        <v>594</v>
      </c>
      <c r="P213" s="46">
        <f t="shared" ca="1" si="10"/>
        <v>5.6249999999999904E-5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input_404010!A$2</f>
        <v>404010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IFERROR(VLOOKUP(B214,input_404010!L:R,7,FALSE),VLOOKUP(tables_404010!C214,input_404010!A:H,8,FALSE))</f>
        <v>32.241</v>
      </c>
      <c r="P214" s="46">
        <f t="shared" ca="1" si="10"/>
        <v>3.0531249999999946E-6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input_404010!A$2</f>
        <v>404010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IFERROR(VLOOKUP(B215,input_404010!L:R,7,FALSE),VLOOKUP(tables_404010!C215,input_404010!A:H,8,FALSE))</f>
        <v>594</v>
      </c>
      <c r="P215" s="46">
        <f t="shared" ca="1" si="10"/>
        <v>5.6249999999999904E-5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input_404010!A$2</f>
        <v>404010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IFERROR(VLOOKUP(B216,input_404010!L:R,7,FALSE),VLOOKUP(tables_404010!C216,input_404010!A:H,8,FALSE))</f>
        <v>32.241</v>
      </c>
      <c r="P216" s="46">
        <f t="shared" ca="1" si="10"/>
        <v>3.0531249999999946E-6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input_404010!A$2</f>
        <v>404010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IFERROR(VLOOKUP(B217,input_404010!L:R,7,FALSE),VLOOKUP(tables_404010!C217,input_404010!A:H,8,FALSE))</f>
        <v>46818</v>
      </c>
      <c r="P217" s="46">
        <f t="shared" ca="1" si="10"/>
        <v>4.4335227272727191E-3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input_404010!A$2</f>
        <v>404010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IFERROR(VLOOKUP(B218,input_404010!L:R,7,FALSE),VLOOKUP(tables_404010!C218,input_404010!A:H,8,FALSE))</f>
        <v>46818</v>
      </c>
      <c r="P218" s="46">
        <f t="shared" ca="1" si="10"/>
        <v>4.4335227272727191E-3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input_404010!A$2</f>
        <v>404010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IFERROR(VLOOKUP(B219,input_404010!L:R,7,FALSE),VLOOKUP(tables_404010!C219,input_404010!A:H,8,FALSE))</f>
        <v>5082.3540000000003</v>
      </c>
      <c r="P219" s="46">
        <f t="shared" ca="1" si="10"/>
        <v>4.8128352272727189E-4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input_404010!A$2</f>
        <v>404010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IFERROR(VLOOKUP(B220,input_404010!L:R,7,FALSE),VLOOKUP(tables_404010!C220,input_404010!A:H,8,FALSE))</f>
        <v>46818</v>
      </c>
      <c r="P220" s="46">
        <f t="shared" ca="1" si="10"/>
        <v>4.4335227272727191E-3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input_404010!A$2</f>
        <v>404010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IFERROR(VLOOKUP(B221,input_404010!L:R,7,FALSE),VLOOKUP(tables_404010!C221,input_404010!A:H,8,FALSE))</f>
        <v>46818</v>
      </c>
      <c r="P221" s="46">
        <f t="shared" ca="1" si="10"/>
        <v>4.4335227272727191E-3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input_404010!A$2</f>
        <v>404010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IFERROR(VLOOKUP(B222,input_404010!L:R,7,FALSE),VLOOKUP(tables_404010!C222,input_404010!A:H,8,FALSE))</f>
        <v>5082.3540000000003</v>
      </c>
      <c r="P222" s="46">
        <f t="shared" ca="1" si="10"/>
        <v>4.8128352272727189E-4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input_404010!A$2</f>
        <v>404010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IFERROR(VLOOKUP(B223,input_404010!L:R,7,FALSE),VLOOKUP(tables_404010!C223,input_404010!A:H,8,FALSE))</f>
        <v>594</v>
      </c>
      <c r="P223" s="46">
        <f t="shared" ca="1" si="10"/>
        <v>5.6249999999999904E-5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input_404010!A$2</f>
        <v>404010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IFERROR(VLOOKUP(B224,input_404010!L:R,7,FALSE),VLOOKUP(tables_404010!C224,input_404010!A:H,8,FALSE))</f>
        <v>32.241</v>
      </c>
      <c r="P224" s="46">
        <f t="shared" ca="1" si="10"/>
        <v>3.0531249999999946E-6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input_404010!A$2</f>
        <v>404010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IFERROR(VLOOKUP(B225,input_404010!L:R,7,FALSE),VLOOKUP(tables_404010!C225,input_404010!A:H,8,FALSE))</f>
        <v>46818</v>
      </c>
      <c r="P225" s="46">
        <f t="shared" ca="1" si="10"/>
        <v>4.4335227272727191E-3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input_404010!A$2</f>
        <v>404010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IFERROR(VLOOKUP(B226,input_404010!L:R,7,FALSE),VLOOKUP(tables_404010!C226,input_404010!A:H,8,FALSE))</f>
        <v>46818</v>
      </c>
      <c r="P226" s="46">
        <f t="shared" ca="1" si="10"/>
        <v>4.4335227272727191E-3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input_404010!A$2</f>
        <v>404010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IFERROR(VLOOKUP(B227,input_404010!L:R,7,FALSE),VLOOKUP(tables_404010!C227,input_404010!A:H,8,FALSE))</f>
        <v>5082.3540000000003</v>
      </c>
      <c r="P227" s="46">
        <f t="shared" ca="1" si="10"/>
        <v>4.8128352272727189E-4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input_404010!A$2</f>
        <v>404010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IFERROR(VLOOKUP(B228,input_404010!L:R,7,FALSE),VLOOKUP(tables_404010!C228,input_404010!A:H,8,FALSE))</f>
        <v>46818</v>
      </c>
      <c r="P228" s="46">
        <f t="shared" ca="1" si="10"/>
        <v>4.4335227272727191E-3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input_404010!A$2</f>
        <v>404010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IFERROR(VLOOKUP(B229,input_404010!L:R,7,FALSE),VLOOKUP(tables_404010!C229,input_404010!A:H,8,FALSE))</f>
        <v>46818</v>
      </c>
      <c r="P229" s="46">
        <f t="shared" ca="1" si="10"/>
        <v>4.4335227272727191E-3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input_404010!A$2</f>
        <v>404010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IFERROR(VLOOKUP(B230,input_404010!L:R,7,FALSE),VLOOKUP(tables_404010!C230,input_404010!A:H,8,FALSE))</f>
        <v>5082.3540000000003</v>
      </c>
      <c r="P230" s="46">
        <f t="shared" ca="1" si="10"/>
        <v>4.8128352272727189E-4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input_404010!A$2</f>
        <v>404010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IFERROR(VLOOKUP(B231,input_404010!L:R,7,FALSE),VLOOKUP(tables_404010!C231,input_404010!A:H,8,FALSE))</f>
        <v>594</v>
      </c>
      <c r="P231" s="46">
        <f t="shared" ca="1" si="10"/>
        <v>5.6249999999999904E-5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input_404010!A$2</f>
        <v>404010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IFERROR(VLOOKUP(B232,input_404010!L:R,7,FALSE),VLOOKUP(tables_404010!C232,input_404010!A:H,8,FALSE))</f>
        <v>32.241</v>
      </c>
      <c r="P232" s="46">
        <f t="shared" ca="1" si="10"/>
        <v>3.0531249999999946E-6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input_404010!A$2</f>
        <v>404010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IFERROR(VLOOKUP(B233,input_404010!L:R,7,FALSE),VLOOKUP(tables_404010!C233,input_404010!A:H,8,FALSE))</f>
        <v>46818</v>
      </c>
      <c r="P233" s="46">
        <f t="shared" ca="1" si="10"/>
        <v>4.4335227272727191E-3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input_404010!A$2</f>
        <v>404010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IFERROR(VLOOKUP(B234,input_404010!L:R,7,FALSE),VLOOKUP(tables_404010!C234,input_404010!A:H,8,FALSE))</f>
        <v>46818</v>
      </c>
      <c r="P234" s="46">
        <f t="shared" ca="1" si="10"/>
        <v>4.4335227272727191E-3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input_404010!A$2</f>
        <v>404010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IFERROR(VLOOKUP(B235,input_404010!L:R,7,FALSE),VLOOKUP(tables_404010!C235,input_404010!A:H,8,FALSE))</f>
        <v>5082.3540000000003</v>
      </c>
      <c r="P235" s="46">
        <f t="shared" ca="1" si="10"/>
        <v>4.8128352272727189E-4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input_404010!A$2</f>
        <v>404010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IFERROR(VLOOKUP(B236,input_404010!L:R,7,FALSE),VLOOKUP(tables_404010!C236,input_404010!A:H,8,FALSE))</f>
        <v>594</v>
      </c>
      <c r="P236" s="46">
        <f t="shared" ca="1" si="10"/>
        <v>5.6249999999999904E-5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input_404010!A$2</f>
        <v>404010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IFERROR(VLOOKUP(B237,input_404010!L:R,7,FALSE),VLOOKUP(tables_404010!C237,input_404010!A:H,8,FALSE))</f>
        <v>32.241</v>
      </c>
      <c r="P237" s="46">
        <f t="shared" ca="1" si="10"/>
        <v>3.0531249999999946E-6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input_404010!A$2</f>
        <v>404010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IFERROR(VLOOKUP(B238,input_404010!L:R,7,FALSE),VLOOKUP(tables_404010!C238,input_404010!A:H,8,FALSE))</f>
        <v>594</v>
      </c>
      <c r="P238" s="46">
        <f t="shared" ca="1" si="10"/>
        <v>5.6249999999999904E-5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input_404010!A$2</f>
        <v>404010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IFERROR(VLOOKUP(B239,input_404010!L:R,7,FALSE),VLOOKUP(tables_404010!C239,input_404010!A:H,8,FALSE))</f>
        <v>32.241</v>
      </c>
      <c r="P239" s="46">
        <f t="shared" ca="1" si="10"/>
        <v>3.0531249999999946E-6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input_404010!A$2</f>
        <v>404010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IFERROR(VLOOKUP(B240,input_404010!L:R,7,FALSE),VLOOKUP(tables_404010!C240,input_404010!A:H,8,FALSE))</f>
        <v>46818</v>
      </c>
      <c r="P240" s="46">
        <f t="shared" ca="1" si="10"/>
        <v>4.4335227272727191E-3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input_404010!A$2</f>
        <v>404010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IFERROR(VLOOKUP(B241,input_404010!L:R,7,FALSE),VLOOKUP(tables_404010!C241,input_404010!A:H,8,FALSE))</f>
        <v>46818</v>
      </c>
      <c r="P241" s="46">
        <f t="shared" ca="1" si="10"/>
        <v>4.4335227272727191E-3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input_404010!A$2</f>
        <v>404010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IFERROR(VLOOKUP(B242,input_404010!L:R,7,FALSE),VLOOKUP(tables_404010!C242,input_404010!A:H,8,FALSE))</f>
        <v>5082.3540000000003</v>
      </c>
      <c r="P242" s="46">
        <f t="shared" ca="1" si="10"/>
        <v>4.8128352272727189E-4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input_404010!A$2</f>
        <v>404010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IFERROR(VLOOKUP(B243,input_404010!L:R,7,FALSE),VLOOKUP(tables_404010!C243,input_404010!A:H,8,FALSE))</f>
        <v>46818</v>
      </c>
      <c r="P243" s="46">
        <f t="shared" ca="1" si="10"/>
        <v>4.4335227272727191E-3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input_404010!A$2</f>
        <v>404010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IFERROR(VLOOKUP(B244,input_404010!L:R,7,FALSE),VLOOKUP(tables_404010!C244,input_404010!A:H,8,FALSE))</f>
        <v>46818</v>
      </c>
      <c r="P244" s="46">
        <f t="shared" ca="1" si="10"/>
        <v>4.4335227272727191E-3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input_404010!A$2</f>
        <v>404010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IFERROR(VLOOKUP(B245,input_404010!L:R,7,FALSE),VLOOKUP(tables_404010!C245,input_404010!A:H,8,FALSE))</f>
        <v>5082.3540000000003</v>
      </c>
      <c r="P245" s="46">
        <f t="shared" ca="1" si="10"/>
        <v>4.8128352272727189E-4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input_404010!A$2</f>
        <v>404010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IFERROR(VLOOKUP(B246,input_404010!L:R,7,FALSE),VLOOKUP(tables_404010!C246,input_404010!A:H,8,FALSE))</f>
        <v>46818</v>
      </c>
      <c r="P246" s="46">
        <f t="shared" ca="1" si="10"/>
        <v>4.4335227272727191E-3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input_404010!A$2</f>
        <v>404010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IFERROR(VLOOKUP(B247,input_404010!L:R,7,FALSE),VLOOKUP(tables_404010!C247,input_404010!A:H,8,FALSE))</f>
        <v>46818</v>
      </c>
      <c r="P247" s="46">
        <f t="shared" ca="1" si="10"/>
        <v>4.4335227272727191E-3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input_404010!A$2</f>
        <v>404010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IFERROR(VLOOKUP(B248,input_404010!L:R,7,FALSE),VLOOKUP(tables_404010!C248,input_404010!A:H,8,FALSE))</f>
        <v>5082.3540000000003</v>
      </c>
      <c r="P248" s="46">
        <f t="shared" ca="1" si="10"/>
        <v>4.8128352272727189E-4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input_404010!A$2</f>
        <v>404010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IFERROR(VLOOKUP(B249,input_404010!L:R,7,FALSE),VLOOKUP(tables_404010!C249,input_404010!A:H,8,FALSE))</f>
        <v>46818</v>
      </c>
      <c r="P249" s="46">
        <f t="shared" ca="1" si="10"/>
        <v>4.4335227272727191E-3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input_404010!A$2</f>
        <v>404010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IFERROR(VLOOKUP(B250,input_404010!L:R,7,FALSE),VLOOKUP(tables_404010!C250,input_404010!A:H,8,FALSE))</f>
        <v>46818</v>
      </c>
      <c r="P250" s="46">
        <f t="shared" ca="1" si="10"/>
        <v>4.4335227272727191E-3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input_404010!A$2</f>
        <v>404010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IFERROR(VLOOKUP(B251,input_404010!L:R,7,FALSE),VLOOKUP(tables_404010!C251,input_404010!A:H,8,FALSE))</f>
        <v>5082.3540000000003</v>
      </c>
      <c r="P251" s="46">
        <f t="shared" ca="1" si="10"/>
        <v>4.8128352272727189E-4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input_404010!A$2</f>
        <v>404010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IFERROR(VLOOKUP(B252,input_404010!L:R,7,FALSE),VLOOKUP(tables_404010!C252,input_404010!A:H,8,FALSE))</f>
        <v>594</v>
      </c>
      <c r="P252" s="46">
        <f t="shared" ca="1" si="10"/>
        <v>5.6249999999999904E-5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input_404010!A$2</f>
        <v>404010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IFERROR(VLOOKUP(B253,input_404010!L:R,7,FALSE),VLOOKUP(tables_404010!C253,input_404010!A:H,8,FALSE))</f>
        <v>32.241</v>
      </c>
      <c r="P253" s="46">
        <f t="shared" ca="1" si="10"/>
        <v>3.0531249999999946E-6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input_404010!A$2</f>
        <v>404010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IFERROR(VLOOKUP(B254,input_404010!L:R,7,FALSE),VLOOKUP(tables_404010!C254,input_404010!A:H,8,FALSE))</f>
        <v>594</v>
      </c>
      <c r="P254" s="46">
        <f t="shared" ca="1" si="10"/>
        <v>5.6249999999999904E-5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input_404010!A$2</f>
        <v>404010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IFERROR(VLOOKUP(B255,input_404010!L:R,7,FALSE),VLOOKUP(tables_404010!C255,input_404010!A:H,8,FALSE))</f>
        <v>32.241</v>
      </c>
      <c r="P255" s="46">
        <f t="shared" ca="1" si="10"/>
        <v>3.0531249999999946E-6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input_404010!A$2</f>
        <v>404010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IFERROR(VLOOKUP(B256,input_404010!L:R,7,FALSE),VLOOKUP(tables_404010!C256,input_404010!A:H,8,FALSE))</f>
        <v>85944.880999999994</v>
      </c>
      <c r="P256" s="46">
        <f t="shared" ca="1" si="10"/>
        <v>8.1387197916666515E-3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input_404010!A$2</f>
        <v>404010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IFERROR(VLOOKUP(B257,input_404010!L:R,7,FALSE),VLOOKUP(tables_404010!C257,input_404010!A:H,8,FALSE))</f>
        <v>18095.118999999999</v>
      </c>
      <c r="P257" s="46">
        <f t="shared" ca="1" si="10"/>
        <v>1.7135529356060574E-3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input_404010!A$2</f>
        <v>404010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IFERROR(VLOOKUP(B258,input_404010!L:R,7,FALSE),VLOOKUP(tables_404010!C258,input_404010!A:H,8,FALSE))</f>
        <v>85944.880999999994</v>
      </c>
      <c r="P258" s="46">
        <f t="shared" ref="P258:P294" ca="1" si="13">O258/SUM(O:O)</f>
        <v>8.1387197916666515E-3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input_404010!A$2</f>
        <v>404010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IFERROR(VLOOKUP(B259,input_404010!L:R,7,FALSE),VLOOKUP(tables_404010!C259,input_404010!A:H,8,FALSE))</f>
        <v>18095.118999999999</v>
      </c>
      <c r="P259" s="46">
        <f t="shared" ca="1" si="13"/>
        <v>1.7135529356060574E-3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input_404010!A$2</f>
        <v>404010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IFERROR(VLOOKUP(B260,input_404010!L:R,7,FALSE),VLOOKUP(tables_404010!C260,input_404010!A:H,8,FALSE))</f>
        <v>660</v>
      </c>
      <c r="P260" s="46">
        <f t="shared" ca="1" si="13"/>
        <v>6.2499999999999893E-5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input_404010!A$2</f>
        <v>404010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IFERROR(VLOOKUP(B261,input_404010!L:R,7,FALSE),VLOOKUP(tables_404010!C261,input_404010!A:H,8,FALSE))</f>
        <v>660</v>
      </c>
      <c r="P261" s="46">
        <f t="shared" ca="1" si="13"/>
        <v>6.2499999999999893E-5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input_404010!A$2</f>
        <v>404010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IFERROR(VLOOKUP(B262,input_404010!L:R,7,FALSE),VLOOKUP(tables_404010!C262,input_404010!A:H,8,FALSE))</f>
        <v>594</v>
      </c>
      <c r="P262" s="46">
        <f t="shared" ca="1" si="13"/>
        <v>5.6249999999999904E-5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input_404010!A$2</f>
        <v>404010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IFERROR(VLOOKUP(B263,input_404010!L:R,7,FALSE),VLOOKUP(tables_404010!C263,input_404010!A:H,8,FALSE))</f>
        <v>32.241</v>
      </c>
      <c r="P263" s="46">
        <f t="shared" ca="1" si="13"/>
        <v>3.0531249999999946E-6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input_404010!A$2</f>
        <v>404010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IFERROR(VLOOKUP(B264,input_404010!L:R,7,FALSE),VLOOKUP(tables_404010!C264,input_404010!A:H,8,FALSE))</f>
        <v>594</v>
      </c>
      <c r="P264" s="46">
        <f t="shared" ca="1" si="13"/>
        <v>5.6249999999999904E-5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input_404010!A$2</f>
        <v>404010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IFERROR(VLOOKUP(B265,input_404010!L:R,7,FALSE),VLOOKUP(tables_404010!C265,input_404010!A:H,8,FALSE))</f>
        <v>32.241</v>
      </c>
      <c r="P265" s="46">
        <f t="shared" ca="1" si="13"/>
        <v>3.0531249999999946E-6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input_404010!A$2</f>
        <v>404010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IFERROR(VLOOKUP(B266,input_404010!L:R,7,FALSE),VLOOKUP(tables_404010!C266,input_404010!A:H,8,FALSE))</f>
        <v>46818</v>
      </c>
      <c r="P266" s="46">
        <f t="shared" ca="1" si="13"/>
        <v>4.4335227272727191E-3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input_404010!A$2</f>
        <v>404010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IFERROR(VLOOKUP(B267,input_404010!L:R,7,FALSE),VLOOKUP(tables_404010!C267,input_404010!A:H,8,FALSE))</f>
        <v>46818</v>
      </c>
      <c r="P267" s="46">
        <f t="shared" ca="1" si="13"/>
        <v>4.4335227272727191E-3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input_404010!A$2</f>
        <v>404010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IFERROR(VLOOKUP(B268,input_404010!L:R,7,FALSE),VLOOKUP(tables_404010!C268,input_404010!A:H,8,FALSE))</f>
        <v>5082.3540000000003</v>
      </c>
      <c r="P268" s="46">
        <f t="shared" ca="1" si="13"/>
        <v>4.8128352272727189E-4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input_404010!A$2</f>
        <v>404010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IFERROR(VLOOKUP(B269,input_404010!L:R,7,FALSE),VLOOKUP(tables_404010!C269,input_404010!A:H,8,FALSE))</f>
        <v>46818</v>
      </c>
      <c r="P269" s="46">
        <f t="shared" ca="1" si="13"/>
        <v>4.4335227272727191E-3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input_404010!A$2</f>
        <v>404010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IFERROR(VLOOKUP(B270,input_404010!L:R,7,FALSE),VLOOKUP(tables_404010!C270,input_404010!A:H,8,FALSE))</f>
        <v>46818</v>
      </c>
      <c r="P270" s="46">
        <f t="shared" ca="1" si="13"/>
        <v>4.4335227272727191E-3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input_404010!A$2</f>
        <v>404010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IFERROR(VLOOKUP(B271,input_404010!L:R,7,FALSE),VLOOKUP(tables_404010!C271,input_404010!A:H,8,FALSE))</f>
        <v>5082.3540000000003</v>
      </c>
      <c r="P271" s="46">
        <f t="shared" ca="1" si="13"/>
        <v>4.8128352272727189E-4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input_404010!A$2</f>
        <v>404010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IFERROR(VLOOKUP(B272,input_404010!L:R,7,FALSE),VLOOKUP(tables_404010!C272,input_404010!A:H,8,FALSE))</f>
        <v>660</v>
      </c>
      <c r="P272" s="46">
        <f t="shared" ca="1" si="13"/>
        <v>6.2499999999999893E-5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input_404010!A$2</f>
        <v>404010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IFERROR(VLOOKUP(B273,input_404010!L:R,7,FALSE),VLOOKUP(tables_404010!C273,input_404010!A:H,8,FALSE))</f>
        <v>660</v>
      </c>
      <c r="P273" s="46">
        <f t="shared" ca="1" si="13"/>
        <v>6.2499999999999893E-5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input_404010!A$2</f>
        <v>404010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IFERROR(VLOOKUP(B274,input_404010!L:R,7,FALSE),VLOOKUP(tables_404010!C274,input_404010!A:H,8,FALSE))</f>
        <v>85944.880999999994</v>
      </c>
      <c r="P274" s="46">
        <f t="shared" ca="1" si="13"/>
        <v>8.1387197916666515E-3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input_404010!A$2</f>
        <v>404010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IFERROR(VLOOKUP(B275,input_404010!L:R,7,FALSE),VLOOKUP(tables_404010!C275,input_404010!A:H,8,FALSE))</f>
        <v>18095.118999999999</v>
      </c>
      <c r="P275" s="46">
        <f t="shared" ca="1" si="13"/>
        <v>1.7135529356060574E-3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input_404010!A$2</f>
        <v>404010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IFERROR(VLOOKUP(B276,input_404010!L:R,7,FALSE),VLOOKUP(tables_404010!C276,input_404010!A:H,8,FALSE))</f>
        <v>85944.880999999994</v>
      </c>
      <c r="P276" s="46">
        <f t="shared" ca="1" si="13"/>
        <v>8.1387197916666515E-3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input_404010!A$2</f>
        <v>404010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IFERROR(VLOOKUP(B277,input_404010!L:R,7,FALSE),VLOOKUP(tables_404010!C277,input_404010!A:H,8,FALSE))</f>
        <v>18095.118999999999</v>
      </c>
      <c r="P277" s="46">
        <f t="shared" ca="1" si="13"/>
        <v>1.7135529356060574E-3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input_404010!A$2</f>
        <v>404010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IFERROR(VLOOKUP(B278,input_404010!L:R,7,FALSE),VLOOKUP(tables_404010!C278,input_404010!A:H,8,FALSE))</f>
        <v>85944.880999999994</v>
      </c>
      <c r="P278" s="46">
        <f t="shared" ca="1" si="13"/>
        <v>8.1387197916666515E-3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input_404010!A$2</f>
        <v>404010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IFERROR(VLOOKUP(B279,input_404010!L:R,7,FALSE),VLOOKUP(tables_404010!C279,input_404010!A:H,8,FALSE))</f>
        <v>18095.118999999999</v>
      </c>
      <c r="P279" s="46">
        <f t="shared" ca="1" si="13"/>
        <v>1.7135529356060574E-3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input_404010!A$2</f>
        <v>404010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IFERROR(VLOOKUP(B280,input_404010!L:R,7,FALSE),VLOOKUP(tables_404010!C280,input_404010!A:H,8,FALSE))</f>
        <v>85944.880999999994</v>
      </c>
      <c r="P280" s="46">
        <f t="shared" ca="1" si="13"/>
        <v>8.1387197916666515E-3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input_404010!A$2</f>
        <v>404010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IFERROR(VLOOKUP(B281,input_404010!L:R,7,FALSE),VLOOKUP(tables_404010!C281,input_404010!A:H,8,FALSE))</f>
        <v>18095.118999999999</v>
      </c>
      <c r="P281" s="46">
        <f t="shared" ca="1" si="13"/>
        <v>1.7135529356060574E-3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input_404010!A$2</f>
        <v>404010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IFERROR(VLOOKUP(B282,input_404010!L:R,7,FALSE),VLOOKUP(tables_404010!C282,input_404010!A:H,8,FALSE))</f>
        <v>660</v>
      </c>
      <c r="P282" s="46">
        <f t="shared" ca="1" si="13"/>
        <v>6.2499999999999893E-5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input_404010!A$2</f>
        <v>404010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IFERROR(VLOOKUP(B283,input_404010!L:R,7,FALSE),VLOOKUP(tables_404010!C283,input_404010!A:H,8,FALSE))</f>
        <v>660</v>
      </c>
      <c r="P283" s="46">
        <f t="shared" ca="1" si="13"/>
        <v>6.2499999999999893E-5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input_404010!A$2</f>
        <v>404010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IFERROR(VLOOKUP(B284,input_404010!L:R,7,FALSE),VLOOKUP(tables_404010!C284,input_404010!A:H,8,FALSE))</f>
        <v>660</v>
      </c>
      <c r="P284" s="46">
        <f t="shared" ca="1" si="13"/>
        <v>6.2499999999999893E-5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input_404010!A$2</f>
        <v>404010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IFERROR(VLOOKUP(B285,input_404010!L:R,7,FALSE),VLOOKUP(tables_404010!C285,input_404010!A:H,8,FALSE))</f>
        <v>660</v>
      </c>
      <c r="P285" s="46">
        <f t="shared" ca="1" si="13"/>
        <v>6.2499999999999893E-5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input_404010!A$2</f>
        <v>404010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IFERROR(VLOOKUP(B286,input_404010!L:R,7,FALSE),VLOOKUP(tables_404010!C286,input_404010!A:H,8,FALSE))</f>
        <v>85944.880999999994</v>
      </c>
      <c r="P286" s="46">
        <f t="shared" ca="1" si="13"/>
        <v>8.1387197916666515E-3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input_404010!A$2</f>
        <v>404010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IFERROR(VLOOKUP(B287,input_404010!L:R,7,FALSE),VLOOKUP(tables_404010!C287,input_404010!A:H,8,FALSE))</f>
        <v>18095.118999999999</v>
      </c>
      <c r="P287" s="46">
        <f t="shared" ca="1" si="13"/>
        <v>1.7135529356060574E-3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input_404010!A$2</f>
        <v>404010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IFERROR(VLOOKUP(B288,input_404010!L:R,7,FALSE),VLOOKUP(tables_404010!C288,input_404010!A:H,8,FALSE))</f>
        <v>85944.880999999994</v>
      </c>
      <c r="P288" s="46">
        <f t="shared" ca="1" si="13"/>
        <v>8.1387197916666515E-3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input_404010!A$2</f>
        <v>404010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IFERROR(VLOOKUP(B289,input_404010!L:R,7,FALSE),VLOOKUP(tables_404010!C289,input_404010!A:H,8,FALSE))</f>
        <v>18095.118999999999</v>
      </c>
      <c r="P289" s="46">
        <f t="shared" ca="1" si="13"/>
        <v>1.7135529356060574E-3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input_404010!A$2</f>
        <v>404010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IFERROR(VLOOKUP(B290,input_404010!L:R,7,FALSE),VLOOKUP(tables_404010!C290,input_404010!A:H,8,FALSE))</f>
        <v>660</v>
      </c>
      <c r="P290" s="46">
        <f t="shared" ca="1" si="13"/>
        <v>6.2499999999999893E-5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input_404010!A$2</f>
        <v>404010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IFERROR(VLOOKUP(B291,input_404010!L:R,7,FALSE),VLOOKUP(tables_404010!C291,input_404010!A:H,8,FALSE))</f>
        <v>85944.880999999994</v>
      </c>
      <c r="P291" s="46">
        <f t="shared" ca="1" si="13"/>
        <v>8.1387197916666515E-3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input_404010!A$2</f>
        <v>404010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IFERROR(VLOOKUP(B292,input_404010!L:R,7,FALSE),VLOOKUP(tables_404010!C292,input_404010!A:H,8,FALSE))</f>
        <v>18095.118999999999</v>
      </c>
      <c r="P292" s="46">
        <f t="shared" ca="1" si="13"/>
        <v>1.7135529356060574E-3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input_404010!A$2</f>
        <v>404010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IFERROR(VLOOKUP(B293,input_404010!L:R,7,FALSE),VLOOKUP(tables_404010!C293,input_404010!A:H,8,FALSE))</f>
        <v>660</v>
      </c>
      <c r="P293" s="46">
        <f t="shared" ca="1" si="13"/>
        <v>6.2499999999999893E-5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input_404010!A$2</f>
        <v>404010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IFERROR(VLOOKUP(B294,input_404010!L:R,7,FALSE),VLOOKUP(tables_404010!C294,input_404010!A:H,8,FALSE))</f>
        <v>660</v>
      </c>
      <c r="P294" s="46">
        <f t="shared" ca="1" si="13"/>
        <v>6.2499999999999893E-5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input_404010!A$2</f>
        <v>404010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IFERROR(VLOOKUP(B295,input_404010!L:R,7,FALSE),VLOOKUP(tables_404010!C295,input_404010!A:H,8,FALSE))</f>
        <v>660</v>
      </c>
      <c r="P295" s="46">
        <f t="shared" ref="P295:P299" ca="1" si="18">O295/SUM(O:O)</f>
        <v>6.2499999999999893E-5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input_404010!A$2</f>
        <v>404010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IFERROR(VLOOKUP(B296,input_404010!L:R,7,FALSE),VLOOKUP(tables_404010!C296,input_404010!A:H,8,FALSE))</f>
        <v>660</v>
      </c>
      <c r="P296" s="46">
        <f t="shared" ca="1" si="18"/>
        <v>6.2499999999999893E-5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input_404010!A$2</f>
        <v>404010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IFERROR(VLOOKUP(B297,input_404010!L:R,7,FALSE),VLOOKUP(tables_404010!C297,input_404010!A:H,8,FALSE))</f>
        <v>85944.880999999994</v>
      </c>
      <c r="P297" s="46">
        <f t="shared" ca="1" si="18"/>
        <v>8.1387197916666515E-3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input_404010!A$2</f>
        <v>404010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IFERROR(VLOOKUP(B298,input_404010!L:R,7,FALSE),VLOOKUP(tables_404010!C298,input_404010!A:H,8,FALSE))</f>
        <v>18095.118999999999</v>
      </c>
      <c r="P298" s="46">
        <f t="shared" ca="1" si="18"/>
        <v>1.7135529356060574E-3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input_404010!A$2</f>
        <v>404010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IFERROR(VLOOKUP(B299,input_404010!L:R,7,FALSE),VLOOKUP(tables_404010!C299,input_404010!A:H,8,FALSE))</f>
        <v>660</v>
      </c>
      <c r="P299" s="46">
        <f t="shared" ca="1" si="18"/>
        <v>6.2499999999999893E-5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input_404010!A$2</f>
        <v>404010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IFERROR(VLOOKUP(B300,input_404010!L:R,7,FALSE),VLOOKUP(tables_404010!C300,input_404010!A:H,8,FALSE))</f>
        <v>85944.880999999994</v>
      </c>
      <c r="P300" s="46">
        <f t="shared" ref="P300:P304" ca="1" si="20">O300/SUM(O:O)</f>
        <v>8.1387197916666515E-3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input_404010!A$2</f>
        <v>404010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IFERROR(VLOOKUP(B301,input_404010!L:R,7,FALSE),VLOOKUP(tables_404010!C301,input_404010!A:H,8,FALSE))</f>
        <v>18095.118999999999</v>
      </c>
      <c r="P301" s="46">
        <f t="shared" ca="1" si="20"/>
        <v>1.7135529356060574E-3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input_404010!A$2</f>
        <v>404010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IFERROR(VLOOKUP(B302,input_404010!L:R,7,FALSE),VLOOKUP(tables_404010!C302,input_404010!A:H,8,FALSE))</f>
        <v>660</v>
      </c>
      <c r="P302" s="46">
        <f t="shared" ca="1" si="20"/>
        <v>6.2499999999999893E-5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input_404010!A$2</f>
        <v>404010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IFERROR(VLOOKUP(B303,input_404010!L:R,7,FALSE),VLOOKUP(tables_404010!C303,input_404010!A:H,8,FALSE))</f>
        <v>660</v>
      </c>
      <c r="P303" s="46">
        <f t="shared" ca="1" si="20"/>
        <v>6.2499999999999893E-5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input_404010!A$2</f>
        <v>404010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IFERROR(VLOOKUP(B304,input_404010!L:R,7,FALSE),VLOOKUP(tables_404010!C304,input_404010!A:H,8,FALSE))</f>
        <v>660</v>
      </c>
      <c r="P304" s="46">
        <f t="shared" ca="1" si="20"/>
        <v>6.2499999999999893E-5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input_404010!A$2</f>
        <v>404010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IFERROR(VLOOKUP(B305,input_404010!L:R,7,FALSE),VLOOKUP(tables_404010!C305,input_404010!A:H,8,FALSE))</f>
        <v>85944.880999999994</v>
      </c>
      <c r="P305" s="46">
        <f t="shared" ref="P305:P309" ca="1" si="22">O305/SUM(O:O)</f>
        <v>8.1387197916666515E-3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input_404010!A$2</f>
        <v>404010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IFERROR(VLOOKUP(B306,input_404010!L:R,7,FALSE),VLOOKUP(tables_404010!C306,input_404010!A:H,8,FALSE))</f>
        <v>18095.118999999999</v>
      </c>
      <c r="P306" s="46">
        <f t="shared" ca="1" si="22"/>
        <v>1.7135529356060574E-3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input_404010!A$2</f>
        <v>404010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IFERROR(VLOOKUP(B307,input_404010!L:R,7,FALSE),VLOOKUP(tables_404010!C307,input_404010!A:H,8,FALSE))</f>
        <v>660</v>
      </c>
      <c r="P307" s="46">
        <f t="shared" ca="1" si="22"/>
        <v>6.2499999999999893E-5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input_404010!A$2</f>
        <v>404010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IFERROR(VLOOKUP(B308,input_404010!L:R,7,FALSE),VLOOKUP(tables_404010!C308,input_404010!A:H,8,FALSE))</f>
        <v>660</v>
      </c>
      <c r="P308" s="46">
        <f t="shared" ca="1" si="22"/>
        <v>6.2499999999999893E-5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input_404010!A$2</f>
        <v>404010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IFERROR(VLOOKUP(B309,input_404010!L:R,7,FALSE),VLOOKUP(tables_404010!C309,input_404010!A:H,8,FALSE))</f>
        <v>660</v>
      </c>
      <c r="P309" s="46">
        <f t="shared" ca="1" si="22"/>
        <v>6.2499999999999893E-5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input_404010!A$2</f>
        <v>404010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>IFERROR(VLOOKUP(B310,input_404010!L:R,7,FALSE),VLOOKUP(tables_404010!C310,input_404010!A:H,8,FALSE))</f>
        <v>832656</v>
      </c>
      <c r="P310" s="46">
        <f t="shared" ref="P310:P314" ca="1" si="25">O310/SUM(O:O)</f>
        <v>7.8849999999999865E-2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input_404010!A$2</f>
        <v>404010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>IFERROR(VLOOKUP(B311,input_404010!L:R,7,FALSE),VLOOKUP(tables_404010!C311,input_404010!A:H,8,FALSE))</f>
        <v>43824</v>
      </c>
      <c r="P311" s="46">
        <f t="shared" ca="1" si="25"/>
        <v>4.1499999999999931E-3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input_404010!A$2</f>
        <v>404010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IFERROR(VLOOKUP(B312,input_404010!L:R,7,FALSE),VLOOKUP(tables_404010!C312,input_404010!A:H,8,FALSE))</f>
        <v>190080</v>
      </c>
      <c r="P312" s="46">
        <f t="shared" ca="1" si="25"/>
        <v>1.7999999999999967E-2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input_404010!A$2</f>
        <v>404010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>IFERROR(VLOOKUP(B313,input_404010!L:R,7,FALSE),VLOOKUP(tables_404010!C313,input_404010!A:H,8,FALSE))</f>
        <v>116160</v>
      </c>
      <c r="P313" s="46">
        <f t="shared" ca="1" si="25"/>
        <v>1.099999999999998E-2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input_404010!A$2</f>
        <v>404010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IFERROR(VLOOKUP(B314,input_404010!L:R,7,FALSE),VLOOKUP(tables_404010!C314,input_404010!A:H,8,FALSE))</f>
        <v>190080</v>
      </c>
      <c r="P314" s="46">
        <f t="shared" ca="1" si="25"/>
        <v>1.7999999999999967E-2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workbookViewId="0">
      <selection activeCell="G36" sqref="G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1104</v>
      </c>
      <c r="M3" s="37" t="str">
        <f>VLOOKUP(L3,[1]characters!$A:$C,3,FALSE)</f>
        <v>クリムト</v>
      </c>
      <c r="N3" s="63">
        <v>7.8850000000000003E-2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VLOOKUP(L3,tables_404100!B:C,2,FALSE)</f>
        <v>Premium4R3less</v>
      </c>
      <c r="R3" s="62">
        <f t="shared" ref="R3:R20" si="1">N3*A$36</f>
        <v>832656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1105</v>
      </c>
      <c r="M4" s="37" t="str">
        <f>VLOOKUP(L4,[1]characters!$A:$C,3,FALSE)</f>
        <v>甘美なる背徳 クリムト</v>
      </c>
      <c r="N4" s="63">
        <v>4.15E-3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VLOOKUP(L4,tables_404100!B:C,2,FALSE)</f>
        <v>Premium5R3less</v>
      </c>
      <c r="R4" s="62">
        <f t="shared" si="1"/>
        <v>43824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6.2500000000000056E-5</v>
      </c>
      <c r="F5">
        <f>(COUNTIF(tables_404100!C:C,input_404100!A28)+COUNTIF(tables_404100!C:C,input_404100!A29))</f>
        <v>51</v>
      </c>
      <c r="H5" s="85">
        <v>4.7E-2</v>
      </c>
      <c r="I5" s="31">
        <v>3</v>
      </c>
      <c r="L5" s="82">
        <v>1106</v>
      </c>
      <c r="M5" s="37" t="str">
        <f>VLOOKUP(L5,[1]characters!$A:$C,3,FALSE)</f>
        <v>ラファエロ</v>
      </c>
      <c r="N5" s="63">
        <v>1.7999999999999999E-2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VLOOKUP(L5,tables_404100!B:C,2,FALSE)</f>
        <v>PremiumSS5R5only</v>
      </c>
      <c r="R5" s="62">
        <f t="shared" si="1"/>
        <v>190080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9.8522727272727269E-3</v>
      </c>
      <c r="F6">
        <f>(COUNTIF(tables_404100!C:C,input_404100!A25)+COUNTIF(tables_404100!C:C,input_404100!A18)+COUNTIF(tables_404100!C:C,input_404100!A20)+COUNTIF(tables_404100!C:C,input_404100!A22))</f>
        <v>89</v>
      </c>
      <c r="H6" s="90">
        <v>8.3000000000000004E-2</v>
      </c>
      <c r="I6" s="31">
        <v>1</v>
      </c>
      <c r="L6" s="82">
        <v>1102</v>
      </c>
      <c r="M6" s="37" t="str">
        <f>VLOOKUP(L6,[1]characters!$A:$C,3,FALSE)</f>
        <v>ドガ</v>
      </c>
      <c r="N6" s="63">
        <v>1.0999999999999999E-2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VLOOKUP(L6,tables_404100!B:C,2,FALSE)</f>
        <v>PremiumSS5R5only</v>
      </c>
      <c r="R6" s="62">
        <f t="shared" si="1"/>
        <v>116160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f>10%-B8</f>
        <v>4.8850000000000005E-2</v>
      </c>
      <c r="L7" s="82">
        <v>1100</v>
      </c>
      <c r="M7" s="37" t="str">
        <f>VLOOKUP(L7,[1]characters!$A:$C,3,FALSE)</f>
        <v>北斎</v>
      </c>
      <c r="N7" s="63">
        <v>1.7999999999999999E-2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VLOOKUP(L7,tables_404100!B:C,2,FALSE)</f>
        <v>PremiumSS5R5only</v>
      </c>
      <c r="R7" s="62">
        <f t="shared" si="1"/>
        <v>190080</v>
      </c>
      <c r="S7">
        <v>597</v>
      </c>
      <c r="U7" s="33" t="s">
        <v>196</v>
      </c>
      <c r="V7" s="54">
        <f t="shared" si="0"/>
        <v>7.8850000000000003E-2</v>
      </c>
    </row>
    <row r="8" spans="1:22" x14ac:dyDescent="0.15">
      <c r="A8" s="57"/>
      <c r="B8" s="71">
        <f>N4+N5+N6+N7</f>
        <v>5.1150000000000001E-2</v>
      </c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4.15E-3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COUNTIF(tables_404100!C:C,input_404100!A17)-COUNTIF(Q:Q,A17)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0.19704545454545452</v>
      </c>
      <c r="C18" s="86">
        <f t="shared" si="2"/>
        <v>0</v>
      </c>
      <c r="D18" s="74">
        <f t="shared" si="3"/>
        <v>0.19704545454545452</v>
      </c>
      <c r="E18">
        <f>COUNTIF(tables_404100!C:C,input_404100!A18)-COUNTIF(Q:Q,A18)</f>
        <v>20</v>
      </c>
      <c r="F18" s="43">
        <f>IFERROR(B18/E18,0)</f>
        <v>9.8522727272727269E-3</v>
      </c>
      <c r="G18">
        <f t="shared" si="4"/>
        <v>2080799.9999999998</v>
      </c>
      <c r="H18">
        <f t="shared" si="5"/>
        <v>104040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COUNTIF(tables_404100!C:C,input_404100!A19)-COUNTIF(Q:Q,A19)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E$6*E20*B$6+E34</f>
        <v>0.48939672613636359</v>
      </c>
      <c r="C20" s="86">
        <f t="shared" si="2"/>
        <v>0</v>
      </c>
      <c r="D20" s="74">
        <f t="shared" si="3"/>
        <v>0.48939672613636359</v>
      </c>
      <c r="E20">
        <f>COUNTIF(tables_404100!C:C,input_404100!A20)-COUNTIF(Q:Q,A20)</f>
        <v>52</v>
      </c>
      <c r="F20" s="43">
        <f t="shared" si="8"/>
        <v>9.4114755026223768E-3</v>
      </c>
      <c r="G20">
        <f t="shared" si="4"/>
        <v>5168029.4279999994</v>
      </c>
      <c r="H20">
        <f t="shared" si="5"/>
        <v>99385.18131</v>
      </c>
      <c r="I20">
        <f t="shared" si="6"/>
        <v>0.18130999999993946</v>
      </c>
      <c r="J20">
        <f t="shared" si="7"/>
        <v>5.5154155865662888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2.5026743181818183E-2</v>
      </c>
      <c r="C21" s="86">
        <f t="shared" si="2"/>
        <v>0</v>
      </c>
      <c r="D21" s="74">
        <f t="shared" si="3"/>
        <v>2.5026743181818183E-2</v>
      </c>
      <c r="E21">
        <f>COUNTIF(tables_404100!C:C,input_404100!A21)-COUNTIF(Q:Q,A21)</f>
        <v>52</v>
      </c>
      <c r="F21" s="43">
        <f t="shared" si="8"/>
        <v>4.8128352272727276E-4</v>
      </c>
      <c r="G21">
        <f t="shared" si="4"/>
        <v>264282.408</v>
      </c>
      <c r="H21">
        <f t="shared" si="5"/>
        <v>5082.3540000000003</v>
      </c>
      <c r="I21">
        <f t="shared" si="6"/>
        <v>0.35400000000026921</v>
      </c>
      <c r="J21">
        <f t="shared" si="7"/>
        <v>2.8248587570599986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9.7664637499999984E-2</v>
      </c>
      <c r="C22" s="86">
        <f t="shared" si="2"/>
        <v>7.8850000000000003E-2</v>
      </c>
      <c r="D22" s="74">
        <f t="shared" si="3"/>
        <v>1.8814637499999981E-2</v>
      </c>
      <c r="E22">
        <f>COUNTIF(tables_404100!C:C,input_404100!A22)-COUNTIF(Q:Q,A22)</f>
        <v>12</v>
      </c>
      <c r="F22" s="43">
        <f t="shared" si="8"/>
        <v>8.1387197916666654E-3</v>
      </c>
      <c r="G22">
        <f t="shared" si="4"/>
        <v>1031338.5719999998</v>
      </c>
      <c r="H22">
        <f t="shared" si="5"/>
        <v>85944.880999999994</v>
      </c>
      <c r="I22">
        <f t="shared" si="6"/>
        <v>0.8809999999939464</v>
      </c>
      <c r="J22">
        <f t="shared" si="7"/>
        <v>1.1350737798034862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2.0562635227272731E-2</v>
      </c>
      <c r="C23" s="86">
        <f t="shared" si="2"/>
        <v>4.15E-3</v>
      </c>
      <c r="D23" s="74">
        <f t="shared" si="3"/>
        <v>1.641263522727273E-2</v>
      </c>
      <c r="E23">
        <f>COUNTIF(tables_404100!C:C,input_404100!A23)-COUNTIF(Q:Q,A23)</f>
        <v>12</v>
      </c>
      <c r="F23" s="43">
        <f t="shared" si="8"/>
        <v>1.7135529356060609E-3</v>
      </c>
      <c r="G23">
        <f t="shared" si="4"/>
        <v>217141.42800000004</v>
      </c>
      <c r="H23">
        <f t="shared" si="5"/>
        <v>18095.118999999999</v>
      </c>
      <c r="I23">
        <f t="shared" si="6"/>
        <v>0.11899999999877764</v>
      </c>
      <c r="J23">
        <f t="shared" si="7"/>
        <v>8.403361344624134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COUNTIF(tables_404100!C:C,input_404100!A24)-COUNTIF(Q:Q,A24)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3.5468181818181815E-2</v>
      </c>
      <c r="C25" s="86">
        <f t="shared" si="2"/>
        <v>0</v>
      </c>
      <c r="D25" s="74">
        <f t="shared" si="3"/>
        <v>3.5468181818181815E-2</v>
      </c>
      <c r="E25">
        <f>COUNTIF(tables_404100!C:C,input_404100!A25)-COUNTIF(Q:Q,A25)</f>
        <v>4</v>
      </c>
      <c r="F25" s="43">
        <f t="shared" si="8"/>
        <v>8.8670454545454538E-3</v>
      </c>
      <c r="G25">
        <f t="shared" si="4"/>
        <v>374543.99999999994</v>
      </c>
      <c r="H25">
        <f t="shared" si="5"/>
        <v>93636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1.925134090909091E-3</v>
      </c>
      <c r="C26" s="86">
        <f t="shared" si="2"/>
        <v>0</v>
      </c>
      <c r="D26" s="74">
        <f t="shared" si="3"/>
        <v>1.925134090909091E-3</v>
      </c>
      <c r="E26">
        <f>COUNTIF(tables_404100!C:C,input_404100!A26)-COUNTIF(Q:Q,A26)</f>
        <v>4</v>
      </c>
      <c r="F26" s="43">
        <f t="shared" si="8"/>
        <v>4.8128352272727276E-4</v>
      </c>
      <c r="G26">
        <f t="shared" si="4"/>
        <v>20329.416000000001</v>
      </c>
      <c r="H26">
        <f t="shared" si="5"/>
        <v>5082.3540000000003</v>
      </c>
      <c r="I26">
        <f t="shared" si="6"/>
        <v>0.35400000000026921</v>
      </c>
      <c r="J26">
        <f t="shared" si="7"/>
        <v>2.8248587570599986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1.5750000000000015E-3</v>
      </c>
      <c r="C27" s="86">
        <f t="shared" si="2"/>
        <v>0</v>
      </c>
      <c r="D27" s="74">
        <f t="shared" si="3"/>
        <v>1.5750000000000015E-3</v>
      </c>
      <c r="E27">
        <f>COUNTIF(tables_404100!C:C,input_404100!A27)-COUNTIF(Q:Q,A27)</f>
        <v>28</v>
      </c>
      <c r="F27" s="43">
        <f>IFERROR(B27/E27,0)</f>
        <v>5.6250000000000053E-5</v>
      </c>
      <c r="G27">
        <f t="shared" si="4"/>
        <v>16632.000000000015</v>
      </c>
      <c r="H27">
        <f t="shared" si="5"/>
        <v>594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8.5487500000000079E-5</v>
      </c>
      <c r="C28" s="86">
        <f t="shared" si="2"/>
        <v>0</v>
      </c>
      <c r="D28" s="74">
        <f t="shared" si="3"/>
        <v>8.5487500000000079E-5</v>
      </c>
      <c r="E28">
        <f>COUNTIF(tables_404100!C:C,input_404100!A28)-COUNTIF(Q:Q,A28)</f>
        <v>28</v>
      </c>
      <c r="F28" s="43">
        <f t="shared" si="8"/>
        <v>3.0531250000000026E-6</v>
      </c>
      <c r="G28">
        <f t="shared" si="4"/>
        <v>902.74800000000084</v>
      </c>
      <c r="H28">
        <f t="shared" si="5"/>
        <v>32.241</v>
      </c>
      <c r="I28">
        <f t="shared" si="6"/>
        <v>0.24099999999999966</v>
      </c>
      <c r="J28">
        <f t="shared" si="7"/>
        <v>4.1493775933610015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1.2500000000000011E-3</v>
      </c>
      <c r="C29" s="86">
        <f t="shared" si="2"/>
        <v>4.7E-2</v>
      </c>
      <c r="D29" s="74">
        <f t="shared" si="3"/>
        <v>-4.5749999999999999E-2</v>
      </c>
      <c r="E29">
        <f>COUNTIF(tables_404100!C:C,input_404100!A29)-COUNTIF(Q:Q,A29)</f>
        <v>20</v>
      </c>
      <c r="F29" s="43">
        <f t="shared" si="8"/>
        <v>6.2500000000000056E-5</v>
      </c>
      <c r="G29">
        <f t="shared" si="4"/>
        <v>13200.000000000011</v>
      </c>
      <c r="H29">
        <f t="shared" si="5"/>
        <v>660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COUNTIF(tables_404100!C:C,input_404100!A30)-COUNTIF(Q:Q,A30)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COUNTIF(tables_404100!C:C,input_404100!A31)-COUNTIF(Q:Q,A31)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</v>
      </c>
      <c r="C32" s="41">
        <f>SUM(C19:C31)</f>
        <v>0.13</v>
      </c>
      <c r="D32" s="42">
        <f t="shared" si="3"/>
        <v>0.74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96">
        <v>2.8310362499999964E-2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SUMIF(tables_404100!C:C,input_404100!A40,tables_404100!O:O)</f>
        <v>0</v>
      </c>
      <c r="C40" s="54">
        <f t="shared" ref="C40:C46" ca="1" si="9">B40/B$47</f>
        <v>0</v>
      </c>
      <c r="E40">
        <v>3</v>
      </c>
      <c r="F40">
        <f ca="1">SUMIF(tables_404100!J:J,input_404100!E40,tables_404100!O:O)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SUMIF(tables_404100!C:C,input_404100!A41,tables_404100!O:O)</f>
        <v>5168029.4281199966</v>
      </c>
      <c r="C41" s="54">
        <f t="shared" ca="1" si="9"/>
        <v>0.94828897444174465</v>
      </c>
      <c r="E41">
        <v>4</v>
      </c>
      <c r="F41">
        <f ca="1">SUMIF(tables_404100!J:J,input_404100!E41,tables_404100!O:O)</f>
        <v>9504000.0001199916</v>
      </c>
      <c r="G41">
        <f ca="1">F41/A36</f>
        <v>0.90000000001136282</v>
      </c>
    </row>
    <row r="42" spans="1:7" x14ac:dyDescent="0.15">
      <c r="A42" s="33" t="s">
        <v>106</v>
      </c>
      <c r="B42">
        <f ca="1">SUMIF(tables_404100!C:C,input_404100!A42,tables_404100!O:O)</f>
        <v>16632</v>
      </c>
      <c r="C42" s="54">
        <f t="shared" ca="1" si="9"/>
        <v>3.051829027346028E-3</v>
      </c>
      <c r="E42">
        <v>5</v>
      </c>
      <c r="F42">
        <f ca="1">SUMIF(tables_404100!J:J,input_404100!E42,tables_404100!O:O)</f>
        <v>1056000</v>
      </c>
      <c r="G42">
        <f ca="1">F42/A36</f>
        <v>0.1</v>
      </c>
    </row>
    <row r="43" spans="1:7" x14ac:dyDescent="0.15">
      <c r="A43" s="33" t="s">
        <v>109</v>
      </c>
      <c r="B43">
        <f>SUMIF(tables_404100!C:C,input_404100!A43,tables_404100!O:O)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SUMIF(tables_404100!C:C,input_404100!A44,tables_404100!O:O)</f>
        <v>264282.40799999988</v>
      </c>
      <c r="C44" s="54">
        <f t="shared" ca="1" si="9"/>
        <v>4.8493550033147287E-2</v>
      </c>
      <c r="E44" t="s">
        <v>54</v>
      </c>
      <c r="F44" s="55"/>
    </row>
    <row r="45" spans="1:7" x14ac:dyDescent="0.15">
      <c r="A45" s="33" t="s">
        <v>107</v>
      </c>
      <c r="B45">
        <f ca="1">SUMIF(tables_404100!C:C,input_404100!A45,tables_404100!O:O)</f>
        <v>902.74799999999971</v>
      </c>
      <c r="C45" s="54">
        <f t="shared" ca="1" si="9"/>
        <v>1.6564649776205936E-4</v>
      </c>
      <c r="E45" t="s">
        <v>204</v>
      </c>
      <c r="F45" s="55">
        <f ca="1">SUMIF(tables_404100!I:I,input_404100!E45,tables_404100!P:P)</f>
        <v>0.19704545454321526</v>
      </c>
    </row>
    <row r="46" spans="1:7" x14ac:dyDescent="0.15">
      <c r="A46" s="33" t="s">
        <v>108</v>
      </c>
      <c r="B46">
        <f>SUMIF(tables_404100!C:C,input_404100!A46,tables_404100!O:O)</f>
        <v>0</v>
      </c>
      <c r="C46" s="54">
        <f t="shared" ca="1" si="9"/>
        <v>0</v>
      </c>
      <c r="E46" t="s">
        <v>205</v>
      </c>
      <c r="F46" s="55">
        <f ca="1">SUMIF(tables_404100!I:I,input_404100!E46,tables_404100!P:P)</f>
        <v>0.19622189036424728</v>
      </c>
    </row>
    <row r="47" spans="1:7" x14ac:dyDescent="0.15">
      <c r="A47" s="39" t="s">
        <v>59</v>
      </c>
      <c r="B47">
        <f ca="1">SUM(B40:B46)</f>
        <v>5449846.5841199961</v>
      </c>
      <c r="C47" s="55">
        <f ca="1">SUM(C40:C46)</f>
        <v>1</v>
      </c>
      <c r="E47" t="s">
        <v>206</v>
      </c>
      <c r="F47" s="55">
        <f ca="1">SUMIF(tables_404100!I:I,input_404100!E47,tables_404100!P:P)</f>
        <v>0.55682216759310343</v>
      </c>
    </row>
    <row r="48" spans="1:7" x14ac:dyDescent="0.15">
      <c r="E48" t="s">
        <v>207</v>
      </c>
      <c r="F48" s="55">
        <f ca="1">SUMIF(tables_404100!I:I,input_404100!E48,tables_404100!P:P)</f>
        <v>3.8847987499558492E-2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44" activePane="bottomLeft" state="frozen"/>
      <selection activeCell="D34" sqref="D34"/>
      <selection pane="bottomLeft" activeCell="C310" sqref="C31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input_404100!A$2</f>
        <v>404100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IFERROR(VLOOKUP(B2,input_404100!L:R,7,FALSE),VLOOKUP(tables_404100!C2,input_404100!A:H,8,FALSE))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input_404100!A$2</f>
        <v>404100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IFERROR(VLOOKUP(B3,input_404100!L:R,7,FALSE),VLOOKUP(tables_404100!C3,input_404100!A:H,8,FALSE))</f>
        <v>104040</v>
      </c>
      <c r="P3" s="46">
        <f t="shared" ca="1" si="1"/>
        <v>9.8522727271607591E-3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input_404100!A$2</f>
        <v>404100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IFERROR(VLOOKUP(B4,input_404100!L:R,7,FALSE),VLOOKUP(tables_404100!C4,input_404100!A:H,8,FALSE))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input_404100!A$2</f>
        <v>404100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IFERROR(VLOOKUP(B5,input_404100!L:R,7,FALSE),VLOOKUP(tables_404100!C5,input_404100!A:H,8,FALSE))</f>
        <v>104040</v>
      </c>
      <c r="P5" s="46">
        <f t="shared" ca="1" si="1"/>
        <v>9.8522727271607591E-3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input_404100!A$2</f>
        <v>404100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IFERROR(VLOOKUP(B6,input_404100!L:R,7,FALSE),VLOOKUP(tables_404100!C6,input_404100!A:H,8,FALSE))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input_404100!A$2</f>
        <v>404100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IFERROR(VLOOKUP(B7,input_404100!L:R,7,FALSE),VLOOKUP(tables_404100!C7,input_404100!A:H,8,FALSE))</f>
        <v>104040</v>
      </c>
      <c r="P7" s="46">
        <f t="shared" ca="1" si="1"/>
        <v>9.8522727271607591E-3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input_404100!A$2</f>
        <v>404100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IFERROR(VLOOKUP(B8,input_404100!L:R,7,FALSE),VLOOKUP(tables_404100!C8,input_404100!A:H,8,FALSE))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input_404100!A$2</f>
        <v>404100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IFERROR(VLOOKUP(B9,input_404100!L:R,7,FALSE),VLOOKUP(tables_404100!C9,input_404100!A:H,8,FALSE))</f>
        <v>104040</v>
      </c>
      <c r="P9" s="46">
        <f t="shared" ca="1" si="1"/>
        <v>9.8522727271607591E-3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input_404100!A$2</f>
        <v>404100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IFERROR(VLOOKUP(B10,input_404100!L:R,7,FALSE),VLOOKUP(tables_404100!C10,input_404100!A:H,8,FALSE))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input_404100!A$2</f>
        <v>404100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IFERROR(VLOOKUP(B11,input_404100!L:R,7,FALSE),VLOOKUP(tables_404100!C11,input_404100!A:H,8,FALSE))</f>
        <v>104040</v>
      </c>
      <c r="P11" s="46">
        <f t="shared" ca="1" si="1"/>
        <v>9.8522727271607591E-3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input_404100!A$2</f>
        <v>404100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IFERROR(VLOOKUP(B12,input_404100!L:R,7,FALSE),VLOOKUP(tables_404100!C12,input_404100!A:H,8,FALSE))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input_404100!A$2</f>
        <v>404100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IFERROR(VLOOKUP(B13,input_404100!L:R,7,FALSE),VLOOKUP(tables_404100!C13,input_404100!A:H,8,FALSE))</f>
        <v>104040</v>
      </c>
      <c r="P13" s="46">
        <f t="shared" ca="1" si="1"/>
        <v>9.8522727271607591E-3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input_404100!A$2</f>
        <v>404100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IFERROR(VLOOKUP(B14,input_404100!L:R,7,FALSE),VLOOKUP(tables_404100!C14,input_404100!A:H,8,FALSE))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input_404100!A$2</f>
        <v>404100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IFERROR(VLOOKUP(B15,input_404100!L:R,7,FALSE),VLOOKUP(tables_404100!C15,input_404100!A:H,8,FALSE))</f>
        <v>104040</v>
      </c>
      <c r="P15" s="46">
        <f t="shared" ca="1" si="1"/>
        <v>9.8522727271607591E-3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input_404100!A$2</f>
        <v>404100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IFERROR(VLOOKUP(B16,input_404100!L:R,7,FALSE),VLOOKUP(tables_404100!C16,input_404100!A:H,8,FALSE))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input_404100!A$2</f>
        <v>404100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IFERROR(VLOOKUP(B17,input_404100!L:R,7,FALSE),VLOOKUP(tables_404100!C17,input_404100!A:H,8,FALSE))</f>
        <v>104040</v>
      </c>
      <c r="P17" s="46">
        <f t="shared" ca="1" si="1"/>
        <v>9.8522727271607591E-3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input_404100!A$2</f>
        <v>404100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IFERROR(VLOOKUP(B18,input_404100!L:R,7,FALSE),VLOOKUP(tables_404100!C18,input_404100!A:H,8,FALSE))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input_404100!A$2</f>
        <v>404100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IFERROR(VLOOKUP(B19,input_404100!L:R,7,FALSE),VLOOKUP(tables_404100!C19,input_404100!A:H,8,FALSE))</f>
        <v>104040</v>
      </c>
      <c r="P19" s="46">
        <f t="shared" ca="1" si="1"/>
        <v>9.8522727271607591E-3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input_404100!A$2</f>
        <v>404100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IFERROR(VLOOKUP(B20,input_404100!L:R,7,FALSE),VLOOKUP(tables_404100!C20,input_404100!A:H,8,FALSE))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input_404100!A$2</f>
        <v>404100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IFERROR(VLOOKUP(B21,input_404100!L:R,7,FALSE),VLOOKUP(tables_404100!C21,input_404100!A:H,8,FALSE))</f>
        <v>104040</v>
      </c>
      <c r="P21" s="46">
        <f t="shared" ca="1" si="1"/>
        <v>9.8522727271607591E-3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input_404100!A$2</f>
        <v>404100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IFERROR(VLOOKUP(B22,input_404100!L:R,7,FALSE),VLOOKUP(tables_404100!C22,input_404100!A:H,8,FALSE))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input_404100!A$2</f>
        <v>404100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IFERROR(VLOOKUP(B23,input_404100!L:R,7,FALSE),VLOOKUP(tables_404100!C23,input_404100!A:H,8,FALSE))</f>
        <v>104040</v>
      </c>
      <c r="P23" s="46">
        <f t="shared" ca="1" si="1"/>
        <v>9.8522727271607591E-3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input_404100!A$2</f>
        <v>404100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IFERROR(VLOOKUP(B24,input_404100!L:R,7,FALSE),VLOOKUP(tables_404100!C24,input_404100!A:H,8,FALSE))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input_404100!A$2</f>
        <v>404100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IFERROR(VLOOKUP(B25,input_404100!L:R,7,FALSE),VLOOKUP(tables_404100!C25,input_404100!A:H,8,FALSE))</f>
        <v>104040</v>
      </c>
      <c r="P25" s="46">
        <f t="shared" ca="1" si="1"/>
        <v>9.8522727271607591E-3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input_404100!A$2</f>
        <v>404100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IFERROR(VLOOKUP(B26,input_404100!L:R,7,FALSE),VLOOKUP(tables_404100!C26,input_404100!A:H,8,FALSE))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input_404100!A$2</f>
        <v>404100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IFERROR(VLOOKUP(B27,input_404100!L:R,7,FALSE),VLOOKUP(tables_404100!C27,input_404100!A:H,8,FALSE))</f>
        <v>104040</v>
      </c>
      <c r="P27" s="46">
        <f t="shared" ca="1" si="1"/>
        <v>9.8522727271607591E-3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input_404100!A$2</f>
        <v>404100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IFERROR(VLOOKUP(B28,input_404100!L:R,7,FALSE),VLOOKUP(tables_404100!C28,input_404100!A:H,8,FALSE))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input_404100!A$2</f>
        <v>404100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IFERROR(VLOOKUP(B29,input_404100!L:R,7,FALSE),VLOOKUP(tables_404100!C29,input_404100!A:H,8,FALSE))</f>
        <v>104040</v>
      </c>
      <c r="P29" s="46">
        <f t="shared" ca="1" si="1"/>
        <v>9.8522727271607591E-3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input_404100!A$2</f>
        <v>404100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IFERROR(VLOOKUP(B30,input_404100!L:R,7,FALSE),VLOOKUP(tables_404100!C30,input_404100!A:H,8,FALSE))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input_404100!A$2</f>
        <v>404100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IFERROR(VLOOKUP(B31,input_404100!L:R,7,FALSE),VLOOKUP(tables_404100!C31,input_404100!A:H,8,FALSE))</f>
        <v>104040</v>
      </c>
      <c r="P31" s="46">
        <f t="shared" ca="1" si="1"/>
        <v>9.8522727271607591E-3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input_404100!A$2</f>
        <v>404100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IFERROR(VLOOKUP(B32,input_404100!L:R,7,FALSE),VLOOKUP(tables_404100!C32,input_404100!A:H,8,FALSE))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input_404100!A$2</f>
        <v>404100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IFERROR(VLOOKUP(B33,input_404100!L:R,7,FALSE),VLOOKUP(tables_404100!C33,input_404100!A:H,8,FALSE))</f>
        <v>104040</v>
      </c>
      <c r="P33" s="46">
        <f t="shared" ca="1" si="1"/>
        <v>9.8522727271607591E-3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input_404100!A$2</f>
        <v>404100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IFERROR(VLOOKUP(B34,input_404100!L:R,7,FALSE),VLOOKUP(tables_404100!C34,input_404100!A:H,8,FALSE))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input_404100!A$2</f>
        <v>404100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IFERROR(VLOOKUP(B35,input_404100!L:R,7,FALSE),VLOOKUP(tables_404100!C35,input_404100!A:H,8,FALSE))</f>
        <v>104040</v>
      </c>
      <c r="P35" s="46">
        <f t="shared" ca="1" si="1"/>
        <v>9.8522727271607591E-3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input_404100!A$2</f>
        <v>404100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IFERROR(VLOOKUP(B36,input_404100!L:R,7,FALSE),VLOOKUP(tables_404100!C36,input_404100!A:H,8,FALSE))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input_404100!A$2</f>
        <v>404100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IFERROR(VLOOKUP(B37,input_404100!L:R,7,FALSE),VLOOKUP(tables_404100!C37,input_404100!A:H,8,FALSE))</f>
        <v>104040</v>
      </c>
      <c r="P37" s="46">
        <f t="shared" ca="1" si="1"/>
        <v>9.8522727271607591E-3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input_404100!A$2</f>
        <v>404100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IFERROR(VLOOKUP(B38,input_404100!L:R,7,FALSE),VLOOKUP(tables_404100!C38,input_404100!A:H,8,FALSE))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input_404100!A$2</f>
        <v>404100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IFERROR(VLOOKUP(B39,input_404100!L:R,7,FALSE),VLOOKUP(tables_404100!C39,input_404100!A:H,8,FALSE))</f>
        <v>104040</v>
      </c>
      <c r="P39" s="46">
        <f t="shared" ca="1" si="1"/>
        <v>9.8522727271607591E-3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input_404100!A$2</f>
        <v>404100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IFERROR(VLOOKUP(B40,input_404100!L:R,7,FALSE),VLOOKUP(tables_404100!C40,input_404100!A:H,8,FALSE))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input_404100!A$2</f>
        <v>404100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IFERROR(VLOOKUP(B41,input_404100!L:R,7,FALSE),VLOOKUP(tables_404100!C41,input_404100!A:H,8,FALSE))</f>
        <v>104040</v>
      </c>
      <c r="P41" s="46">
        <f t="shared" ca="1" si="1"/>
        <v>9.8522727271607591E-3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input_404100!A$2</f>
        <v>404100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IFERROR(VLOOKUP(B42,input_404100!L:R,7,FALSE),VLOOKUP(tables_404100!C42,input_404100!A:H,8,FALSE))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input_404100!A$2</f>
        <v>404100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IFERROR(VLOOKUP(B43,input_404100!L:R,7,FALSE),VLOOKUP(tables_404100!C43,input_404100!A:H,8,FALSE))</f>
        <v>93636</v>
      </c>
      <c r="P43" s="46">
        <f t="shared" ca="1" si="1"/>
        <v>8.867045454444682E-3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input_404100!A$2</f>
        <v>404100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IFERROR(VLOOKUP(B44,input_404100!L:R,7,FALSE),VLOOKUP(tables_404100!C44,input_404100!A:H,8,FALSE))</f>
        <v>5082.3540000000003</v>
      </c>
      <c r="P44" s="46">
        <f t="shared" ca="1" si="1"/>
        <v>4.8128352272180306E-4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input_404100!A$2</f>
        <v>404100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IFERROR(VLOOKUP(B45,input_404100!L:R,7,FALSE),VLOOKUP(tables_404100!C45,input_404100!A:H,8,FALSE))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input_404100!A$2</f>
        <v>404100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IFERROR(VLOOKUP(B46,input_404100!L:R,7,FALSE),VLOOKUP(tables_404100!C46,input_404100!A:H,8,FALSE))</f>
        <v>93636</v>
      </c>
      <c r="P46" s="46">
        <f t="shared" ca="1" si="1"/>
        <v>8.867045454444682E-3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input_404100!A$2</f>
        <v>404100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IFERROR(VLOOKUP(B47,input_404100!L:R,7,FALSE),VLOOKUP(tables_404100!C47,input_404100!A:H,8,FALSE))</f>
        <v>5082.3540000000003</v>
      </c>
      <c r="P47" s="46">
        <f t="shared" ca="1" si="1"/>
        <v>4.8128352272180306E-4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input_404100!A$2</f>
        <v>404100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IFERROR(VLOOKUP(B48,input_404100!L:R,7,FALSE),VLOOKUP(tables_404100!C48,input_404100!A:H,8,FALSE))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input_404100!A$2</f>
        <v>404100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IFERROR(VLOOKUP(B49,input_404100!L:R,7,FALSE),VLOOKUP(tables_404100!C49,input_404100!A:H,8,FALSE))</f>
        <v>93636</v>
      </c>
      <c r="P49" s="46">
        <f t="shared" ca="1" si="1"/>
        <v>8.867045454444682E-3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input_404100!A$2</f>
        <v>404100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IFERROR(VLOOKUP(B50,input_404100!L:R,7,FALSE),VLOOKUP(tables_404100!C50,input_404100!A:H,8,FALSE))</f>
        <v>5082.3540000000003</v>
      </c>
      <c r="P50" s="46">
        <f t="shared" ca="1" si="1"/>
        <v>4.8128352272180306E-4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input_404100!A$2</f>
        <v>404100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IFERROR(VLOOKUP(B51,input_404100!L:R,7,FALSE),VLOOKUP(tables_404100!C51,input_404100!A:H,8,FALSE))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input_404100!A$2</f>
        <v>404100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IFERROR(VLOOKUP(B52,input_404100!L:R,7,FALSE),VLOOKUP(tables_404100!C52,input_404100!A:H,8,FALSE))</f>
        <v>99385.18131</v>
      </c>
      <c r="P52" s="46">
        <f t="shared" ca="1" si="1"/>
        <v>9.411475502733949E-3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input_404100!A$2</f>
        <v>404100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IFERROR(VLOOKUP(B53,input_404100!L:R,7,FALSE),VLOOKUP(tables_404100!C53,input_404100!A:H,8,FALSE))</f>
        <v>5082.3540000000003</v>
      </c>
      <c r="P53" s="46">
        <f t="shared" ca="1" si="1"/>
        <v>4.8128352272180306E-4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input_404100!A$2</f>
        <v>404100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IFERROR(VLOOKUP(B54,input_404100!L:R,7,FALSE),VLOOKUP(tables_404100!C54,input_404100!A:H,8,FALSE))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input_404100!A$2</f>
        <v>404100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IFERROR(VLOOKUP(B55,input_404100!L:R,7,FALSE),VLOOKUP(tables_404100!C55,input_404100!A:H,8,FALSE))</f>
        <v>99385.18131</v>
      </c>
      <c r="P55" s="46">
        <f t="shared" ca="1" si="1"/>
        <v>9.411475502733949E-3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input_404100!A$2</f>
        <v>404100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IFERROR(VLOOKUP(B56,input_404100!L:R,7,FALSE),VLOOKUP(tables_404100!C56,input_404100!A:H,8,FALSE))</f>
        <v>5082.3540000000003</v>
      </c>
      <c r="P56" s="46">
        <f t="shared" ca="1" si="1"/>
        <v>4.8128352272180306E-4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input_404100!A$2</f>
        <v>404100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IFERROR(VLOOKUP(B57,input_404100!L:R,7,FALSE),VLOOKUP(tables_404100!C57,input_404100!A:H,8,FALSE))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input_404100!A$2</f>
        <v>404100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IFERROR(VLOOKUP(B58,input_404100!L:R,7,FALSE),VLOOKUP(tables_404100!C58,input_404100!A:H,8,FALSE))</f>
        <v>99385.18131</v>
      </c>
      <c r="P58" s="46">
        <f t="shared" ca="1" si="1"/>
        <v>9.411475502733949E-3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input_404100!A$2</f>
        <v>404100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IFERROR(VLOOKUP(B59,input_404100!L:R,7,FALSE),VLOOKUP(tables_404100!C59,input_404100!A:H,8,FALSE))</f>
        <v>5082.3540000000003</v>
      </c>
      <c r="P59" s="46">
        <f t="shared" ca="1" si="1"/>
        <v>4.8128352272180306E-4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input_404100!A$2</f>
        <v>404100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IFERROR(VLOOKUP(B60,input_404100!L:R,7,FALSE),VLOOKUP(tables_404100!C60,input_404100!A:H,8,FALSE))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input_404100!A$2</f>
        <v>404100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IFERROR(VLOOKUP(B61,input_404100!L:R,7,FALSE),VLOOKUP(tables_404100!C61,input_404100!A:H,8,FALSE))</f>
        <v>99385.18131</v>
      </c>
      <c r="P61" s="46">
        <f t="shared" ca="1" si="1"/>
        <v>9.411475502733949E-3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input_404100!A$2</f>
        <v>404100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IFERROR(VLOOKUP(B62,input_404100!L:R,7,FALSE),VLOOKUP(tables_404100!C62,input_404100!A:H,8,FALSE))</f>
        <v>5082.3540000000003</v>
      </c>
      <c r="P62" s="46">
        <f t="shared" ca="1" si="1"/>
        <v>4.8128352272180306E-4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input_404100!A$2</f>
        <v>404100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IFERROR(VLOOKUP(B63,input_404100!L:R,7,FALSE),VLOOKUP(tables_404100!C63,input_404100!A:H,8,FALSE))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input_404100!A$2</f>
        <v>404100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IFERROR(VLOOKUP(B64,input_404100!L:R,7,FALSE),VLOOKUP(tables_404100!C64,input_404100!A:H,8,FALSE))</f>
        <v>99385.18131</v>
      </c>
      <c r="P64" s="46">
        <f t="shared" ca="1" si="1"/>
        <v>9.411475502733949E-3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input_404100!A$2</f>
        <v>404100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IFERROR(VLOOKUP(B65,input_404100!L:R,7,FALSE),VLOOKUP(tables_404100!C65,input_404100!A:H,8,FALSE))</f>
        <v>5082.3540000000003</v>
      </c>
      <c r="P65" s="46">
        <f t="shared" ca="1" si="1"/>
        <v>4.8128352272180306E-4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input_404100!A$2</f>
        <v>404100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IFERROR(VLOOKUP(B66,input_404100!L:R,7,FALSE),VLOOKUP(tables_404100!C66,input_404100!A:H,8,FALSE))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input_404100!A$2</f>
        <v>404100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IFERROR(VLOOKUP(B67,input_404100!L:R,7,FALSE),VLOOKUP(tables_404100!C67,input_404100!A:H,8,FALSE))</f>
        <v>99385.18131</v>
      </c>
      <c r="P67" s="46">
        <f t="shared" ca="1" si="4"/>
        <v>9.411475502733949E-3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input_404100!A$2</f>
        <v>404100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IFERROR(VLOOKUP(B68,input_404100!L:R,7,FALSE),VLOOKUP(tables_404100!C68,input_404100!A:H,8,FALSE))</f>
        <v>5082.3540000000003</v>
      </c>
      <c r="P68" s="46">
        <f t="shared" ca="1" si="4"/>
        <v>4.8128352272180306E-4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input_404100!A$2</f>
        <v>404100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IFERROR(VLOOKUP(B69,input_404100!L:R,7,FALSE),VLOOKUP(tables_404100!C69,input_404100!A:H,8,FALSE))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input_404100!A$2</f>
        <v>404100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IFERROR(VLOOKUP(B70,input_404100!L:R,7,FALSE),VLOOKUP(tables_404100!C70,input_404100!A:H,8,FALSE))</f>
        <v>99385.18131</v>
      </c>
      <c r="P70" s="46">
        <f t="shared" ca="1" si="4"/>
        <v>9.411475502733949E-3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input_404100!A$2</f>
        <v>404100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IFERROR(VLOOKUP(B71,input_404100!L:R,7,FALSE),VLOOKUP(tables_404100!C71,input_404100!A:H,8,FALSE))</f>
        <v>5082.3540000000003</v>
      </c>
      <c r="P71" s="46">
        <f t="shared" ca="1" si="4"/>
        <v>4.8128352272180306E-4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input_404100!A$2</f>
        <v>404100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IFERROR(VLOOKUP(B72,input_404100!L:R,7,FALSE),VLOOKUP(tables_404100!C72,input_404100!A:H,8,FALSE))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input_404100!A$2</f>
        <v>404100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IFERROR(VLOOKUP(B73,input_404100!L:R,7,FALSE),VLOOKUP(tables_404100!C73,input_404100!A:H,8,FALSE))</f>
        <v>99385.18131</v>
      </c>
      <c r="P73" s="46">
        <f t="shared" ca="1" si="4"/>
        <v>9.411475502733949E-3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input_404100!A$2</f>
        <v>404100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IFERROR(VLOOKUP(B74,input_404100!L:R,7,FALSE),VLOOKUP(tables_404100!C74,input_404100!A:H,8,FALSE))</f>
        <v>5082.3540000000003</v>
      </c>
      <c r="P74" s="46">
        <f t="shared" ca="1" si="4"/>
        <v>4.8128352272180306E-4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input_404100!A$2</f>
        <v>404100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IFERROR(VLOOKUP(B75,input_404100!L:R,7,FALSE),VLOOKUP(tables_404100!C75,input_404100!A:H,8,FALSE))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input_404100!A$2</f>
        <v>404100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IFERROR(VLOOKUP(B76,input_404100!L:R,7,FALSE),VLOOKUP(tables_404100!C76,input_404100!A:H,8,FALSE))</f>
        <v>99385.18131</v>
      </c>
      <c r="P76" s="46">
        <f t="shared" ca="1" si="4"/>
        <v>9.411475502733949E-3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input_404100!A$2</f>
        <v>404100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IFERROR(VLOOKUP(B77,input_404100!L:R,7,FALSE),VLOOKUP(tables_404100!C77,input_404100!A:H,8,FALSE))</f>
        <v>5082.3540000000003</v>
      </c>
      <c r="P77" s="46">
        <f t="shared" ca="1" si="4"/>
        <v>4.8128352272180306E-4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input_404100!A$2</f>
        <v>404100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IFERROR(VLOOKUP(B78,input_404100!L:R,7,FALSE),VLOOKUP(tables_404100!C78,input_404100!A:H,8,FALSE))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input_404100!A$2</f>
        <v>404100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IFERROR(VLOOKUP(B79,input_404100!L:R,7,FALSE),VLOOKUP(tables_404100!C79,input_404100!A:H,8,FALSE))</f>
        <v>99385.18131</v>
      </c>
      <c r="P79" s="46">
        <f t="shared" ca="1" si="4"/>
        <v>9.411475502733949E-3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input_404100!A$2</f>
        <v>404100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IFERROR(VLOOKUP(B80,input_404100!L:R,7,FALSE),VLOOKUP(tables_404100!C80,input_404100!A:H,8,FALSE))</f>
        <v>5082.3540000000003</v>
      </c>
      <c r="P80" s="46">
        <f t="shared" ca="1" si="4"/>
        <v>4.8128352272180306E-4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input_404100!A$2</f>
        <v>404100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IFERROR(VLOOKUP(B81,input_404100!L:R,7,FALSE),VLOOKUP(tables_404100!C81,input_404100!A:H,8,FALSE))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input_404100!A$2</f>
        <v>404100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IFERROR(VLOOKUP(B82,input_404100!L:R,7,FALSE),VLOOKUP(tables_404100!C82,input_404100!A:H,8,FALSE))</f>
        <v>99385.18131</v>
      </c>
      <c r="P82" s="46">
        <f t="shared" ca="1" si="4"/>
        <v>9.411475502733949E-3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input_404100!A$2</f>
        <v>404100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IFERROR(VLOOKUP(B83,input_404100!L:R,7,FALSE),VLOOKUP(tables_404100!C83,input_404100!A:H,8,FALSE))</f>
        <v>5082.3540000000003</v>
      </c>
      <c r="P83" s="46">
        <f t="shared" ca="1" si="4"/>
        <v>4.8128352272180306E-4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input_404100!A$2</f>
        <v>404100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IFERROR(VLOOKUP(B84,input_404100!L:R,7,FALSE),VLOOKUP(tables_404100!C84,input_404100!A:H,8,FALSE))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input_404100!A$2</f>
        <v>404100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IFERROR(VLOOKUP(B85,input_404100!L:R,7,FALSE),VLOOKUP(tables_404100!C85,input_404100!A:H,8,FALSE))</f>
        <v>99385.18131</v>
      </c>
      <c r="P85" s="46">
        <f t="shared" ca="1" si="4"/>
        <v>9.411475502733949E-3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input_404100!A$2</f>
        <v>404100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IFERROR(VLOOKUP(B86,input_404100!L:R,7,FALSE),VLOOKUP(tables_404100!C86,input_404100!A:H,8,FALSE))</f>
        <v>5082.3540000000003</v>
      </c>
      <c r="P86" s="46">
        <f t="shared" ca="1" si="4"/>
        <v>4.8128352272180306E-4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input_404100!A$2</f>
        <v>404100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IFERROR(VLOOKUP(B87,input_404100!L:R,7,FALSE),VLOOKUP(tables_404100!C87,input_404100!A:H,8,FALSE))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input_404100!A$2</f>
        <v>404100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IFERROR(VLOOKUP(B88,input_404100!L:R,7,FALSE),VLOOKUP(tables_404100!C88,input_404100!A:H,8,FALSE))</f>
        <v>99385.18131</v>
      </c>
      <c r="P88" s="46">
        <f t="shared" ca="1" si="4"/>
        <v>9.411475502733949E-3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input_404100!A$2</f>
        <v>404100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IFERROR(VLOOKUP(B89,input_404100!L:R,7,FALSE),VLOOKUP(tables_404100!C89,input_404100!A:H,8,FALSE))</f>
        <v>5082.3540000000003</v>
      </c>
      <c r="P89" s="46">
        <f t="shared" ca="1" si="4"/>
        <v>4.8128352272180306E-4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input_404100!A$2</f>
        <v>404100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IFERROR(VLOOKUP(B90,input_404100!L:R,7,FALSE),VLOOKUP(tables_404100!C90,input_404100!A:H,8,FALSE))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input_404100!A$2</f>
        <v>404100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IFERROR(VLOOKUP(B91,input_404100!L:R,7,FALSE),VLOOKUP(tables_404100!C91,input_404100!A:H,8,FALSE))</f>
        <v>99385.18131</v>
      </c>
      <c r="P91" s="46">
        <f t="shared" ca="1" si="4"/>
        <v>9.411475502733949E-3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input_404100!A$2</f>
        <v>404100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IFERROR(VLOOKUP(B92,input_404100!L:R,7,FALSE),VLOOKUP(tables_404100!C92,input_404100!A:H,8,FALSE))</f>
        <v>5082.3540000000003</v>
      </c>
      <c r="P92" s="46">
        <f t="shared" ca="1" si="4"/>
        <v>4.8128352272180306E-4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input_404100!A$2</f>
        <v>404100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IFERROR(VLOOKUP(B93,input_404100!L:R,7,FALSE),VLOOKUP(tables_404100!C93,input_404100!A:H,8,FALSE))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input_404100!A$2</f>
        <v>404100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IFERROR(VLOOKUP(B94,input_404100!L:R,7,FALSE),VLOOKUP(tables_404100!C94,input_404100!A:H,8,FALSE))</f>
        <v>99385.18131</v>
      </c>
      <c r="P94" s="46">
        <f t="shared" ca="1" si="4"/>
        <v>9.411475502733949E-3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input_404100!A$2</f>
        <v>404100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IFERROR(VLOOKUP(B95,input_404100!L:R,7,FALSE),VLOOKUP(tables_404100!C95,input_404100!A:H,8,FALSE))</f>
        <v>5082.3540000000003</v>
      </c>
      <c r="P95" s="46">
        <f t="shared" ca="1" si="4"/>
        <v>4.8128352272180306E-4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input_404100!A$2</f>
        <v>404100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IFERROR(VLOOKUP(B96,input_404100!L:R,7,FALSE),VLOOKUP(tables_404100!C96,input_404100!A:H,8,FALSE))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input_404100!A$2</f>
        <v>404100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IFERROR(VLOOKUP(B97,input_404100!L:R,7,FALSE),VLOOKUP(tables_404100!C97,input_404100!A:H,8,FALSE))</f>
        <v>99385.18131</v>
      </c>
      <c r="P97" s="46">
        <f t="shared" ca="1" si="4"/>
        <v>9.411475502733949E-3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input_404100!A$2</f>
        <v>404100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IFERROR(VLOOKUP(B98,input_404100!L:R,7,FALSE),VLOOKUP(tables_404100!C98,input_404100!A:H,8,FALSE))</f>
        <v>5082.3540000000003</v>
      </c>
      <c r="P98" s="46">
        <f t="shared" ca="1" si="4"/>
        <v>4.8128352272180306E-4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input_404100!A$2</f>
        <v>404100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IFERROR(VLOOKUP(B99,input_404100!L:R,7,FALSE),VLOOKUP(tables_404100!C99,input_404100!A:H,8,FALSE))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input_404100!A$2</f>
        <v>404100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IFERROR(VLOOKUP(B100,input_404100!L:R,7,FALSE),VLOOKUP(tables_404100!C100,input_404100!A:H,8,FALSE))</f>
        <v>99385.18131</v>
      </c>
      <c r="P100" s="46">
        <f t="shared" ca="1" si="4"/>
        <v>9.411475502733949E-3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input_404100!A$2</f>
        <v>404100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IFERROR(VLOOKUP(B101,input_404100!L:R,7,FALSE),VLOOKUP(tables_404100!C101,input_404100!A:H,8,FALSE))</f>
        <v>5082.3540000000003</v>
      </c>
      <c r="P101" s="46">
        <f t="shared" ca="1" si="4"/>
        <v>4.8128352272180306E-4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input_404100!A$2</f>
        <v>404100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IFERROR(VLOOKUP(B102,input_404100!L:R,7,FALSE),VLOOKUP(tables_404100!C102,input_404100!A:H,8,FALSE))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input_404100!A$2</f>
        <v>404100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IFERROR(VLOOKUP(B103,input_404100!L:R,7,FALSE),VLOOKUP(tables_404100!C103,input_404100!A:H,8,FALSE))</f>
        <v>99385.18131</v>
      </c>
      <c r="P103" s="46">
        <f t="shared" ca="1" si="4"/>
        <v>9.411475502733949E-3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input_404100!A$2</f>
        <v>404100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IFERROR(VLOOKUP(B104,input_404100!L:R,7,FALSE),VLOOKUP(tables_404100!C104,input_404100!A:H,8,FALSE))</f>
        <v>5082.3540000000003</v>
      </c>
      <c r="P104" s="46">
        <f t="shared" ca="1" si="4"/>
        <v>4.8128352272180306E-4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input_404100!A$2</f>
        <v>404100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IFERROR(VLOOKUP(B105,input_404100!L:R,7,FALSE),VLOOKUP(tables_404100!C105,input_404100!A:H,8,FALSE))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input_404100!A$2</f>
        <v>404100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IFERROR(VLOOKUP(B106,input_404100!L:R,7,FALSE),VLOOKUP(tables_404100!C106,input_404100!A:H,8,FALSE))</f>
        <v>99385.18131</v>
      </c>
      <c r="P106" s="46">
        <f t="shared" ca="1" si="4"/>
        <v>9.411475502733949E-3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input_404100!A$2</f>
        <v>404100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IFERROR(VLOOKUP(B107,input_404100!L:R,7,FALSE),VLOOKUP(tables_404100!C107,input_404100!A:H,8,FALSE))</f>
        <v>5082.3540000000003</v>
      </c>
      <c r="P107" s="46">
        <f t="shared" ca="1" si="4"/>
        <v>4.8128352272180306E-4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input_404100!A$2</f>
        <v>404100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IFERROR(VLOOKUP(B108,input_404100!L:R,7,FALSE),VLOOKUP(tables_404100!C108,input_404100!A:H,8,FALSE))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input_404100!A$2</f>
        <v>404100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IFERROR(VLOOKUP(B109,input_404100!L:R,7,FALSE),VLOOKUP(tables_404100!C109,input_404100!A:H,8,FALSE))</f>
        <v>99385.18131</v>
      </c>
      <c r="P109" s="46">
        <f t="shared" ca="1" si="4"/>
        <v>9.411475502733949E-3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input_404100!A$2</f>
        <v>404100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IFERROR(VLOOKUP(B110,input_404100!L:R,7,FALSE),VLOOKUP(tables_404100!C110,input_404100!A:H,8,FALSE))</f>
        <v>5082.3540000000003</v>
      </c>
      <c r="P110" s="46">
        <f t="shared" ca="1" si="4"/>
        <v>4.8128352272180306E-4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input_404100!A$2</f>
        <v>404100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IFERROR(VLOOKUP(B111,input_404100!L:R,7,FALSE),VLOOKUP(tables_404100!C111,input_404100!A:H,8,FALSE))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input_404100!A$2</f>
        <v>404100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IFERROR(VLOOKUP(B112,input_404100!L:R,7,FALSE),VLOOKUP(tables_404100!C112,input_404100!A:H,8,FALSE))</f>
        <v>93636</v>
      </c>
      <c r="P112" s="46">
        <f t="shared" ca="1" si="4"/>
        <v>8.867045454444682E-3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input_404100!A$2</f>
        <v>404100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IFERROR(VLOOKUP(B113,input_404100!L:R,7,FALSE),VLOOKUP(tables_404100!C113,input_404100!A:H,8,FALSE))</f>
        <v>5082.3540000000003</v>
      </c>
      <c r="P113" s="46">
        <f t="shared" ca="1" si="4"/>
        <v>4.8128352272180306E-4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input_404100!A$2</f>
        <v>404100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IFERROR(VLOOKUP(B114,input_404100!L:R,7,FALSE),VLOOKUP(tables_404100!C114,input_404100!A:H,8,FALSE))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input_404100!A$2</f>
        <v>404100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IFERROR(VLOOKUP(B115,input_404100!L:R,7,FALSE),VLOOKUP(tables_404100!C115,input_404100!A:H,8,FALSE))</f>
        <v>99385.18131</v>
      </c>
      <c r="P115" s="46">
        <f t="shared" ca="1" si="4"/>
        <v>9.411475502733949E-3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input_404100!A$2</f>
        <v>404100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IFERROR(VLOOKUP(B116,input_404100!L:R,7,FALSE),VLOOKUP(tables_404100!C116,input_404100!A:H,8,FALSE))</f>
        <v>5082.3540000000003</v>
      </c>
      <c r="P116" s="46">
        <f t="shared" ca="1" si="4"/>
        <v>4.8128352272180306E-4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input_404100!A$2</f>
        <v>404100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IFERROR(VLOOKUP(B117,input_404100!L:R,7,FALSE),VLOOKUP(tables_404100!C117,input_404100!A:H,8,FALSE))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input_404100!A$2</f>
        <v>404100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IFERROR(VLOOKUP(B118,input_404100!L:R,7,FALSE),VLOOKUP(tables_404100!C118,input_404100!A:H,8,FALSE))</f>
        <v>99385.18131</v>
      </c>
      <c r="P118" s="46">
        <f t="shared" ca="1" si="4"/>
        <v>9.411475502733949E-3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input_404100!A$2</f>
        <v>404100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IFERROR(VLOOKUP(B119,input_404100!L:R,7,FALSE),VLOOKUP(tables_404100!C119,input_404100!A:H,8,FALSE))</f>
        <v>5082.3540000000003</v>
      </c>
      <c r="P119" s="46">
        <f t="shared" ca="1" si="4"/>
        <v>4.8128352272180306E-4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input_404100!A$2</f>
        <v>404100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IFERROR(VLOOKUP(B120,input_404100!L:R,7,FALSE),VLOOKUP(tables_404100!C120,input_404100!A:H,8,FALSE))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input_404100!A$2</f>
        <v>404100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IFERROR(VLOOKUP(B121,input_404100!L:R,7,FALSE),VLOOKUP(tables_404100!C121,input_404100!A:H,8,FALSE))</f>
        <v>99385.18131</v>
      </c>
      <c r="P121" s="46">
        <f t="shared" ca="1" si="4"/>
        <v>9.411475502733949E-3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input_404100!A$2</f>
        <v>404100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IFERROR(VLOOKUP(B122,input_404100!L:R,7,FALSE),VLOOKUP(tables_404100!C122,input_404100!A:H,8,FALSE))</f>
        <v>5082.3540000000003</v>
      </c>
      <c r="P122" s="46">
        <f t="shared" ca="1" si="4"/>
        <v>4.8128352272180306E-4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input_404100!A$2</f>
        <v>404100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IFERROR(VLOOKUP(B123,input_404100!L:R,7,FALSE),VLOOKUP(tables_404100!C123,input_404100!A:H,8,FALSE))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input_404100!A$2</f>
        <v>404100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IFERROR(VLOOKUP(B124,input_404100!L:R,7,FALSE),VLOOKUP(tables_404100!C124,input_404100!A:H,8,FALSE))</f>
        <v>99385.18131</v>
      </c>
      <c r="P124" s="46">
        <f t="shared" ca="1" si="4"/>
        <v>9.411475502733949E-3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input_404100!A$2</f>
        <v>404100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IFERROR(VLOOKUP(B125,input_404100!L:R,7,FALSE),VLOOKUP(tables_404100!C125,input_404100!A:H,8,FALSE))</f>
        <v>5082.3540000000003</v>
      </c>
      <c r="P125" s="46">
        <f t="shared" ca="1" si="4"/>
        <v>4.8128352272180306E-4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input_404100!A$2</f>
        <v>404100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IFERROR(VLOOKUP(B126,input_404100!L:R,7,FALSE),VLOOKUP(tables_404100!C126,input_404100!A:H,8,FALSE))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input_404100!A$2</f>
        <v>404100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IFERROR(VLOOKUP(B127,input_404100!L:R,7,FALSE),VLOOKUP(tables_404100!C127,input_404100!A:H,8,FALSE))</f>
        <v>99385.18131</v>
      </c>
      <c r="P127" s="46">
        <f t="shared" ca="1" si="4"/>
        <v>9.411475502733949E-3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input_404100!A$2</f>
        <v>404100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IFERROR(VLOOKUP(B128,input_404100!L:R,7,FALSE),VLOOKUP(tables_404100!C128,input_404100!A:H,8,FALSE))</f>
        <v>5082.3540000000003</v>
      </c>
      <c r="P128" s="46">
        <f t="shared" ca="1" si="4"/>
        <v>4.8128352272180306E-4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input_404100!A$2</f>
        <v>404100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IFERROR(VLOOKUP(B129,input_404100!L:R,7,FALSE),VLOOKUP(tables_404100!C129,input_404100!A:H,8,FALSE))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input_404100!A$2</f>
        <v>404100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IFERROR(VLOOKUP(B130,input_404100!L:R,7,FALSE),VLOOKUP(tables_404100!C130,input_404100!A:H,8,FALSE))</f>
        <v>99385.18131</v>
      </c>
      <c r="P130" s="46">
        <f t="shared" ref="P130:P193" ca="1" si="7">O130/SUM(O:O)</f>
        <v>9.411475502733949E-3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input_404100!A$2</f>
        <v>404100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IFERROR(VLOOKUP(B131,input_404100!L:R,7,FALSE),VLOOKUP(tables_404100!C131,input_404100!A:H,8,FALSE))</f>
        <v>5082.3540000000003</v>
      </c>
      <c r="P131" s="46">
        <f t="shared" ca="1" si="7"/>
        <v>4.8128352272180306E-4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input_404100!A$2</f>
        <v>404100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IFERROR(VLOOKUP(B132,input_404100!L:R,7,FALSE),VLOOKUP(tables_404100!C132,input_404100!A:H,8,FALSE))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input_404100!A$2</f>
        <v>404100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IFERROR(VLOOKUP(B133,input_404100!L:R,7,FALSE),VLOOKUP(tables_404100!C133,input_404100!A:H,8,FALSE))</f>
        <v>99385.18131</v>
      </c>
      <c r="P133" s="46">
        <f t="shared" ca="1" si="7"/>
        <v>9.411475502733949E-3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input_404100!A$2</f>
        <v>404100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IFERROR(VLOOKUP(B134,input_404100!L:R,7,FALSE),VLOOKUP(tables_404100!C134,input_404100!A:H,8,FALSE))</f>
        <v>5082.3540000000003</v>
      </c>
      <c r="P134" s="46">
        <f t="shared" ca="1" si="7"/>
        <v>4.8128352272180306E-4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input_404100!A$2</f>
        <v>404100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IFERROR(VLOOKUP(B135,input_404100!L:R,7,FALSE),VLOOKUP(tables_404100!C135,input_404100!A:H,8,FALSE))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input_404100!A$2</f>
        <v>404100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IFERROR(VLOOKUP(B136,input_404100!L:R,7,FALSE),VLOOKUP(tables_404100!C136,input_404100!A:H,8,FALSE))</f>
        <v>99385.18131</v>
      </c>
      <c r="P136" s="46">
        <f t="shared" ca="1" si="7"/>
        <v>9.411475502733949E-3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input_404100!A$2</f>
        <v>404100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IFERROR(VLOOKUP(B137,input_404100!L:R,7,FALSE),VLOOKUP(tables_404100!C137,input_404100!A:H,8,FALSE))</f>
        <v>5082.3540000000003</v>
      </c>
      <c r="P137" s="46">
        <f t="shared" ca="1" si="7"/>
        <v>4.8128352272180306E-4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input_404100!A$2</f>
        <v>404100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IFERROR(VLOOKUP(B138,input_404100!L:R,7,FALSE),VLOOKUP(tables_404100!C138,input_404100!A:H,8,FALSE))</f>
        <v>594</v>
      </c>
      <c r="P138" s="46">
        <f t="shared" ca="1" si="7"/>
        <v>5.6249999999360733E-5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input_404100!A$2</f>
        <v>404100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IFERROR(VLOOKUP(B139,input_404100!L:R,7,FALSE),VLOOKUP(tables_404100!C139,input_404100!A:H,8,FALSE))</f>
        <v>32.241</v>
      </c>
      <c r="P139" s="46">
        <f t="shared" ca="1" si="7"/>
        <v>3.0531249999653018E-6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input_404100!A$2</f>
        <v>404100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IFERROR(VLOOKUP(B140,input_404100!L:R,7,FALSE),VLOOKUP(tables_404100!C140,input_404100!A:H,8,FALSE))</f>
        <v>594</v>
      </c>
      <c r="P140" s="46">
        <f t="shared" ca="1" si="7"/>
        <v>5.6249999999360733E-5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input_404100!A$2</f>
        <v>404100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IFERROR(VLOOKUP(B141,input_404100!L:R,7,FALSE),VLOOKUP(tables_404100!C141,input_404100!A:H,8,FALSE))</f>
        <v>32.241</v>
      </c>
      <c r="P141" s="46">
        <f t="shared" ca="1" si="7"/>
        <v>3.0531249999653018E-6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input_404100!A$2</f>
        <v>404100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IFERROR(VLOOKUP(B142,input_404100!L:R,7,FALSE),VLOOKUP(tables_404100!C142,input_404100!A:H,8,FALSE))</f>
        <v>594</v>
      </c>
      <c r="P142" s="46">
        <f t="shared" ca="1" si="7"/>
        <v>5.6249999999360733E-5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input_404100!A$2</f>
        <v>404100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IFERROR(VLOOKUP(B143,input_404100!L:R,7,FALSE),VLOOKUP(tables_404100!C143,input_404100!A:H,8,FALSE))</f>
        <v>32.241</v>
      </c>
      <c r="P143" s="46">
        <f t="shared" ca="1" si="7"/>
        <v>3.0531249999653018E-6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input_404100!A$2</f>
        <v>404100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IFERROR(VLOOKUP(B144,input_404100!L:R,7,FALSE),VLOOKUP(tables_404100!C144,input_404100!A:H,8,FALSE))</f>
        <v>594</v>
      </c>
      <c r="P144" s="46">
        <f t="shared" ca="1" si="7"/>
        <v>5.6249999999360733E-5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input_404100!A$2</f>
        <v>404100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IFERROR(VLOOKUP(B145,input_404100!L:R,7,FALSE),VLOOKUP(tables_404100!C145,input_404100!A:H,8,FALSE))</f>
        <v>32.241</v>
      </c>
      <c r="P145" s="46">
        <f t="shared" ca="1" si="7"/>
        <v>3.0531249999653018E-6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input_404100!A$2</f>
        <v>404100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IFERROR(VLOOKUP(B146,input_404100!L:R,7,FALSE),VLOOKUP(tables_404100!C146,input_404100!A:H,8,FALSE))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input_404100!A$2</f>
        <v>404100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IFERROR(VLOOKUP(B147,input_404100!L:R,7,FALSE),VLOOKUP(tables_404100!C147,input_404100!A:H,8,FALSE))</f>
        <v>99385.18131</v>
      </c>
      <c r="P147" s="46">
        <f t="shared" ca="1" si="7"/>
        <v>9.411475502733949E-3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input_404100!A$2</f>
        <v>404100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IFERROR(VLOOKUP(B148,input_404100!L:R,7,FALSE),VLOOKUP(tables_404100!C148,input_404100!A:H,8,FALSE))</f>
        <v>5082.3540000000003</v>
      </c>
      <c r="P148" s="46">
        <f t="shared" ca="1" si="7"/>
        <v>4.8128352272180306E-4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input_404100!A$2</f>
        <v>404100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IFERROR(VLOOKUP(B149,input_404100!L:R,7,FALSE),VLOOKUP(tables_404100!C149,input_404100!A:H,8,FALSE))</f>
        <v>594</v>
      </c>
      <c r="P149" s="46">
        <f t="shared" ca="1" si="7"/>
        <v>5.6249999999360733E-5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input_404100!A$2</f>
        <v>404100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IFERROR(VLOOKUP(B150,input_404100!L:R,7,FALSE),VLOOKUP(tables_404100!C150,input_404100!A:H,8,FALSE))</f>
        <v>32.241</v>
      </c>
      <c r="P150" s="46">
        <f t="shared" ca="1" si="7"/>
        <v>3.0531249999653018E-6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input_404100!A$2</f>
        <v>404100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IFERROR(VLOOKUP(B151,input_404100!L:R,7,FALSE),VLOOKUP(tables_404100!C151,input_404100!A:H,8,FALSE))</f>
        <v>594</v>
      </c>
      <c r="P151" s="46">
        <f t="shared" ca="1" si="7"/>
        <v>5.6249999999360733E-5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input_404100!A$2</f>
        <v>404100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IFERROR(VLOOKUP(B152,input_404100!L:R,7,FALSE),VLOOKUP(tables_404100!C152,input_404100!A:H,8,FALSE))</f>
        <v>32.241</v>
      </c>
      <c r="P152" s="46">
        <f t="shared" ca="1" si="7"/>
        <v>3.0531249999653018E-6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input_404100!A$2</f>
        <v>404100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IFERROR(VLOOKUP(B153,input_404100!L:R,7,FALSE),VLOOKUP(tables_404100!C153,input_404100!A:H,8,FALSE))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input_404100!A$2</f>
        <v>404100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IFERROR(VLOOKUP(B154,input_404100!L:R,7,FALSE),VLOOKUP(tables_404100!C154,input_404100!A:H,8,FALSE))</f>
        <v>99385.18131</v>
      </c>
      <c r="P154" s="46">
        <f t="shared" ca="1" si="7"/>
        <v>9.411475502733949E-3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input_404100!A$2</f>
        <v>404100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IFERROR(VLOOKUP(B155,input_404100!L:R,7,FALSE),VLOOKUP(tables_404100!C155,input_404100!A:H,8,FALSE))</f>
        <v>5082.3540000000003</v>
      </c>
      <c r="P155" s="46">
        <f t="shared" ca="1" si="7"/>
        <v>4.8128352272180306E-4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input_404100!A$2</f>
        <v>404100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IFERROR(VLOOKUP(B156,input_404100!L:R,7,FALSE),VLOOKUP(tables_404100!C156,input_404100!A:H,8,FALSE))</f>
        <v>594</v>
      </c>
      <c r="P156" s="46">
        <f t="shared" ca="1" si="7"/>
        <v>5.6249999999360733E-5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input_404100!A$2</f>
        <v>404100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IFERROR(VLOOKUP(B157,input_404100!L:R,7,FALSE),VLOOKUP(tables_404100!C157,input_404100!A:H,8,FALSE))</f>
        <v>32.241</v>
      </c>
      <c r="P157" s="46">
        <f t="shared" ca="1" si="7"/>
        <v>3.0531249999653018E-6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input_404100!A$2</f>
        <v>404100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IFERROR(VLOOKUP(B158,input_404100!L:R,7,FALSE),VLOOKUP(tables_404100!C158,input_404100!A:H,8,FALSE))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input_404100!A$2</f>
        <v>404100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IFERROR(VLOOKUP(B159,input_404100!L:R,7,FALSE),VLOOKUP(tables_404100!C159,input_404100!A:H,8,FALSE))</f>
        <v>99385.18131</v>
      </c>
      <c r="P159" s="46">
        <f t="shared" ca="1" si="7"/>
        <v>9.411475502733949E-3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input_404100!A$2</f>
        <v>404100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IFERROR(VLOOKUP(B160,input_404100!L:R,7,FALSE),VLOOKUP(tables_404100!C160,input_404100!A:H,8,FALSE))</f>
        <v>5082.3540000000003</v>
      </c>
      <c r="P160" s="46">
        <f t="shared" ca="1" si="7"/>
        <v>4.8128352272180306E-4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input_404100!A$2</f>
        <v>404100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IFERROR(VLOOKUP(B161,input_404100!L:R,7,FALSE),VLOOKUP(tables_404100!C161,input_404100!A:H,8,FALSE))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input_404100!A$2</f>
        <v>404100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IFERROR(VLOOKUP(B162,input_404100!L:R,7,FALSE),VLOOKUP(tables_404100!C162,input_404100!A:H,8,FALSE))</f>
        <v>99385.18131</v>
      </c>
      <c r="P162" s="46">
        <f t="shared" ca="1" si="7"/>
        <v>9.411475502733949E-3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input_404100!A$2</f>
        <v>404100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IFERROR(VLOOKUP(B163,input_404100!L:R,7,FALSE),VLOOKUP(tables_404100!C163,input_404100!A:H,8,FALSE))</f>
        <v>5082.3540000000003</v>
      </c>
      <c r="P163" s="46">
        <f t="shared" ca="1" si="7"/>
        <v>4.8128352272180306E-4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input_404100!A$2</f>
        <v>404100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IFERROR(VLOOKUP(B164,input_404100!L:R,7,FALSE),VLOOKUP(tables_404100!C164,input_404100!A:H,8,FALSE))</f>
        <v>594</v>
      </c>
      <c r="P164" s="46">
        <f t="shared" ca="1" si="7"/>
        <v>5.6249999999360733E-5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input_404100!A$2</f>
        <v>404100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IFERROR(VLOOKUP(B165,input_404100!L:R,7,FALSE),VLOOKUP(tables_404100!C165,input_404100!A:H,8,FALSE))</f>
        <v>32.241</v>
      </c>
      <c r="P165" s="46">
        <f t="shared" ca="1" si="7"/>
        <v>3.0531249999653018E-6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input_404100!A$2</f>
        <v>404100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IFERROR(VLOOKUP(B166,input_404100!L:R,7,FALSE),VLOOKUP(tables_404100!C166,input_404100!A:H,8,FALSE))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input_404100!A$2</f>
        <v>404100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IFERROR(VLOOKUP(B167,input_404100!L:R,7,FALSE),VLOOKUP(tables_404100!C167,input_404100!A:H,8,FALSE))</f>
        <v>99385.18131</v>
      </c>
      <c r="P167" s="46">
        <f t="shared" ca="1" si="7"/>
        <v>9.411475502733949E-3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input_404100!A$2</f>
        <v>404100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IFERROR(VLOOKUP(B168,input_404100!L:R,7,FALSE),VLOOKUP(tables_404100!C168,input_404100!A:H,8,FALSE))</f>
        <v>5082.3540000000003</v>
      </c>
      <c r="P168" s="46">
        <f t="shared" ca="1" si="7"/>
        <v>4.8128352272180306E-4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input_404100!A$2</f>
        <v>404100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IFERROR(VLOOKUP(B169,input_404100!L:R,7,FALSE),VLOOKUP(tables_404100!C169,input_404100!A:H,8,FALSE))</f>
        <v>594</v>
      </c>
      <c r="P169" s="46">
        <f t="shared" ca="1" si="7"/>
        <v>5.6249999999360733E-5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input_404100!A$2</f>
        <v>404100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IFERROR(VLOOKUP(B170,input_404100!L:R,7,FALSE),VLOOKUP(tables_404100!C170,input_404100!A:H,8,FALSE))</f>
        <v>32.241</v>
      </c>
      <c r="P170" s="46">
        <f t="shared" ca="1" si="7"/>
        <v>3.0531249999653018E-6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input_404100!A$2</f>
        <v>404100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IFERROR(VLOOKUP(B171,input_404100!L:R,7,FALSE),VLOOKUP(tables_404100!C171,input_404100!A:H,8,FALSE))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input_404100!A$2</f>
        <v>404100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IFERROR(VLOOKUP(B172,input_404100!L:R,7,FALSE),VLOOKUP(tables_404100!C172,input_404100!A:H,8,FALSE))</f>
        <v>99385.18131</v>
      </c>
      <c r="P172" s="46">
        <f t="shared" ca="1" si="7"/>
        <v>9.411475502733949E-3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input_404100!A$2</f>
        <v>404100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IFERROR(VLOOKUP(B173,input_404100!L:R,7,FALSE),VLOOKUP(tables_404100!C173,input_404100!A:H,8,FALSE))</f>
        <v>5082.3540000000003</v>
      </c>
      <c r="P173" s="46">
        <f t="shared" ca="1" si="7"/>
        <v>4.8128352272180306E-4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input_404100!A$2</f>
        <v>404100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IFERROR(VLOOKUP(B174,input_404100!L:R,7,FALSE),VLOOKUP(tables_404100!C174,input_404100!A:H,8,FALSE))</f>
        <v>594</v>
      </c>
      <c r="P174" s="46">
        <f t="shared" ca="1" si="7"/>
        <v>5.6249999999360733E-5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input_404100!A$2</f>
        <v>404100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IFERROR(VLOOKUP(B175,input_404100!L:R,7,FALSE),VLOOKUP(tables_404100!C175,input_404100!A:H,8,FALSE))</f>
        <v>32.241</v>
      </c>
      <c r="P175" s="46">
        <f t="shared" ca="1" si="7"/>
        <v>3.0531249999653018E-6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input_404100!A$2</f>
        <v>404100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IFERROR(VLOOKUP(B176,input_404100!L:R,7,FALSE),VLOOKUP(tables_404100!C176,input_404100!A:H,8,FALSE))</f>
        <v>594</v>
      </c>
      <c r="P176" s="46">
        <f t="shared" ca="1" si="7"/>
        <v>5.6249999999360733E-5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input_404100!A$2</f>
        <v>404100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IFERROR(VLOOKUP(B177,input_404100!L:R,7,FALSE),VLOOKUP(tables_404100!C177,input_404100!A:H,8,FALSE))</f>
        <v>32.241</v>
      </c>
      <c r="P177" s="46">
        <f t="shared" ca="1" si="7"/>
        <v>3.0531249999653018E-6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input_404100!A$2</f>
        <v>404100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IFERROR(VLOOKUP(B178,input_404100!L:R,7,FALSE),VLOOKUP(tables_404100!C178,input_404100!A:H,8,FALSE))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input_404100!A$2</f>
        <v>404100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IFERROR(VLOOKUP(B179,input_404100!L:R,7,FALSE),VLOOKUP(tables_404100!C179,input_404100!A:H,8,FALSE))</f>
        <v>99385.18131</v>
      </c>
      <c r="P179" s="46">
        <f t="shared" ca="1" si="7"/>
        <v>9.411475502733949E-3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input_404100!A$2</f>
        <v>404100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IFERROR(VLOOKUP(B180,input_404100!L:R,7,FALSE),VLOOKUP(tables_404100!C180,input_404100!A:H,8,FALSE))</f>
        <v>5082.3540000000003</v>
      </c>
      <c r="P180" s="46">
        <f t="shared" ca="1" si="7"/>
        <v>4.8128352272180306E-4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input_404100!A$2</f>
        <v>404100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IFERROR(VLOOKUP(B181,input_404100!L:R,7,FALSE),VLOOKUP(tables_404100!C181,input_404100!A:H,8,FALSE))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input_404100!A$2</f>
        <v>404100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IFERROR(VLOOKUP(B182,input_404100!L:R,7,FALSE),VLOOKUP(tables_404100!C182,input_404100!A:H,8,FALSE))</f>
        <v>99385.18131</v>
      </c>
      <c r="P182" s="46">
        <f t="shared" ca="1" si="7"/>
        <v>9.411475502733949E-3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input_404100!A$2</f>
        <v>404100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IFERROR(VLOOKUP(B183,input_404100!L:R,7,FALSE),VLOOKUP(tables_404100!C183,input_404100!A:H,8,FALSE))</f>
        <v>5082.3540000000003</v>
      </c>
      <c r="P183" s="46">
        <f t="shared" ca="1" si="7"/>
        <v>4.8128352272180306E-4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input_404100!A$2</f>
        <v>404100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IFERROR(VLOOKUP(B184,input_404100!L:R,7,FALSE),VLOOKUP(tables_404100!C184,input_404100!A:H,8,FALSE))</f>
        <v>594</v>
      </c>
      <c r="P184" s="46">
        <f t="shared" ca="1" si="7"/>
        <v>5.6249999999360733E-5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input_404100!A$2</f>
        <v>404100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IFERROR(VLOOKUP(B185,input_404100!L:R,7,FALSE),VLOOKUP(tables_404100!C185,input_404100!A:H,8,FALSE))</f>
        <v>32.241</v>
      </c>
      <c r="P185" s="46">
        <f t="shared" ca="1" si="7"/>
        <v>3.0531249999653018E-6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input_404100!A$2</f>
        <v>404100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IFERROR(VLOOKUP(B186,input_404100!L:R,7,FALSE),VLOOKUP(tables_404100!C186,input_404100!A:H,8,FALSE))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input_404100!A$2</f>
        <v>404100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IFERROR(VLOOKUP(B187,input_404100!L:R,7,FALSE),VLOOKUP(tables_404100!C187,input_404100!A:H,8,FALSE))</f>
        <v>99385.18131</v>
      </c>
      <c r="P187" s="46">
        <f t="shared" ca="1" si="7"/>
        <v>9.411475502733949E-3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input_404100!A$2</f>
        <v>404100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IFERROR(VLOOKUP(B188,input_404100!L:R,7,FALSE),VLOOKUP(tables_404100!C188,input_404100!A:H,8,FALSE))</f>
        <v>5082.3540000000003</v>
      </c>
      <c r="P188" s="46">
        <f t="shared" ca="1" si="7"/>
        <v>4.8128352272180306E-4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input_404100!A$2</f>
        <v>404100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IFERROR(VLOOKUP(B189,input_404100!L:R,7,FALSE),VLOOKUP(tables_404100!C189,input_404100!A:H,8,FALSE))</f>
        <v>594</v>
      </c>
      <c r="P189" s="46">
        <f t="shared" ca="1" si="7"/>
        <v>5.6249999999360733E-5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input_404100!A$2</f>
        <v>404100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IFERROR(VLOOKUP(B190,input_404100!L:R,7,FALSE),VLOOKUP(tables_404100!C190,input_404100!A:H,8,FALSE))</f>
        <v>32.241</v>
      </c>
      <c r="P190" s="46">
        <f t="shared" ca="1" si="7"/>
        <v>3.0531249999653018E-6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input_404100!A$2</f>
        <v>404100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IFERROR(VLOOKUP(B191,input_404100!L:R,7,FALSE),VLOOKUP(tables_404100!C191,input_404100!A:H,8,FALSE))</f>
        <v>594</v>
      </c>
      <c r="P191" s="46">
        <f t="shared" ca="1" si="7"/>
        <v>5.6249999999360733E-5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input_404100!A$2</f>
        <v>404100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IFERROR(VLOOKUP(B192,input_404100!L:R,7,FALSE),VLOOKUP(tables_404100!C192,input_404100!A:H,8,FALSE))</f>
        <v>32.241</v>
      </c>
      <c r="P192" s="46">
        <f t="shared" ca="1" si="7"/>
        <v>3.0531249999653018E-6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input_404100!A$2</f>
        <v>404100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IFERROR(VLOOKUP(B193,input_404100!L:R,7,FALSE),VLOOKUP(tables_404100!C193,input_404100!A:H,8,FALSE))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input_404100!A$2</f>
        <v>404100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IFERROR(VLOOKUP(B194,input_404100!L:R,7,FALSE),VLOOKUP(tables_404100!C194,input_404100!A:H,8,FALSE))</f>
        <v>99385.18131</v>
      </c>
      <c r="P194" s="46">
        <f t="shared" ref="P194:P257" ca="1" si="10">O194/SUM(O:O)</f>
        <v>9.411475502733949E-3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input_404100!A$2</f>
        <v>404100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IFERROR(VLOOKUP(B195,input_404100!L:R,7,FALSE),VLOOKUP(tables_404100!C195,input_404100!A:H,8,FALSE))</f>
        <v>5082.3540000000003</v>
      </c>
      <c r="P195" s="46">
        <f t="shared" ca="1" si="10"/>
        <v>4.8128352272180306E-4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input_404100!A$2</f>
        <v>404100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IFERROR(VLOOKUP(B196,input_404100!L:R,7,FALSE),VLOOKUP(tables_404100!C196,input_404100!A:H,8,FALSE))</f>
        <v>594</v>
      </c>
      <c r="P196" s="46">
        <f t="shared" ca="1" si="10"/>
        <v>5.6249999999360733E-5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input_404100!A$2</f>
        <v>404100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IFERROR(VLOOKUP(B197,input_404100!L:R,7,FALSE),VLOOKUP(tables_404100!C197,input_404100!A:H,8,FALSE))</f>
        <v>32.241</v>
      </c>
      <c r="P197" s="46">
        <f t="shared" ca="1" si="10"/>
        <v>3.0531249999653018E-6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input_404100!A$2</f>
        <v>404100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IFERROR(VLOOKUP(B198,input_404100!L:R,7,FALSE),VLOOKUP(tables_404100!C198,input_404100!A:H,8,FALSE))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input_404100!A$2</f>
        <v>404100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IFERROR(VLOOKUP(B199,input_404100!L:R,7,FALSE),VLOOKUP(tables_404100!C199,input_404100!A:H,8,FALSE))</f>
        <v>99385.18131</v>
      </c>
      <c r="P199" s="46">
        <f t="shared" ca="1" si="10"/>
        <v>9.411475502733949E-3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input_404100!A$2</f>
        <v>404100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IFERROR(VLOOKUP(B200,input_404100!L:R,7,FALSE),VLOOKUP(tables_404100!C200,input_404100!A:H,8,FALSE))</f>
        <v>5082.3540000000003</v>
      </c>
      <c r="P200" s="46">
        <f t="shared" ca="1" si="10"/>
        <v>4.8128352272180306E-4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input_404100!A$2</f>
        <v>404100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IFERROR(VLOOKUP(B201,input_404100!L:R,7,FALSE),VLOOKUP(tables_404100!C201,input_404100!A:H,8,FALSE))</f>
        <v>594</v>
      </c>
      <c r="P201" s="46">
        <f t="shared" ca="1" si="10"/>
        <v>5.6249999999360733E-5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input_404100!A$2</f>
        <v>404100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IFERROR(VLOOKUP(B202,input_404100!L:R,7,FALSE),VLOOKUP(tables_404100!C202,input_404100!A:H,8,FALSE))</f>
        <v>32.241</v>
      </c>
      <c r="P202" s="46">
        <f t="shared" ca="1" si="10"/>
        <v>3.0531249999653018E-6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input_404100!A$2</f>
        <v>404100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IFERROR(VLOOKUP(B203,input_404100!L:R,7,FALSE),VLOOKUP(tables_404100!C203,input_404100!A:H,8,FALSE))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input_404100!A$2</f>
        <v>404100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IFERROR(VLOOKUP(B204,input_404100!L:R,7,FALSE),VLOOKUP(tables_404100!C204,input_404100!A:H,8,FALSE))</f>
        <v>99385.18131</v>
      </c>
      <c r="P204" s="46">
        <f t="shared" ca="1" si="10"/>
        <v>9.411475502733949E-3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input_404100!A$2</f>
        <v>404100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IFERROR(VLOOKUP(B205,input_404100!L:R,7,FALSE),VLOOKUP(tables_404100!C205,input_404100!A:H,8,FALSE))</f>
        <v>5082.3540000000003</v>
      </c>
      <c r="P205" s="46">
        <f t="shared" ca="1" si="10"/>
        <v>4.8128352272180306E-4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input_404100!A$2</f>
        <v>404100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IFERROR(VLOOKUP(B206,input_404100!L:R,7,FALSE),VLOOKUP(tables_404100!C206,input_404100!A:H,8,FALSE))</f>
        <v>594</v>
      </c>
      <c r="P206" s="46">
        <f t="shared" ca="1" si="10"/>
        <v>5.6249999999360733E-5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input_404100!A$2</f>
        <v>404100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IFERROR(VLOOKUP(B207,input_404100!L:R,7,FALSE),VLOOKUP(tables_404100!C207,input_404100!A:H,8,FALSE))</f>
        <v>32.241</v>
      </c>
      <c r="P207" s="46">
        <f t="shared" ca="1" si="10"/>
        <v>3.0531249999653018E-6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input_404100!A$2</f>
        <v>404100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IFERROR(VLOOKUP(B208,input_404100!L:R,7,FALSE),VLOOKUP(tables_404100!C208,input_404100!A:H,8,FALSE))</f>
        <v>594</v>
      </c>
      <c r="P208" s="46">
        <f t="shared" ca="1" si="10"/>
        <v>5.6249999999360733E-5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input_404100!A$2</f>
        <v>404100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IFERROR(VLOOKUP(B209,input_404100!L:R,7,FALSE),VLOOKUP(tables_404100!C209,input_404100!A:H,8,FALSE))</f>
        <v>32.241</v>
      </c>
      <c r="P209" s="46">
        <f t="shared" ca="1" si="10"/>
        <v>3.0531249999653018E-6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input_404100!A$2</f>
        <v>404100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IFERROR(VLOOKUP(B210,input_404100!L:R,7,FALSE),VLOOKUP(tables_404100!C210,input_404100!A:H,8,FALSE))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input_404100!A$2</f>
        <v>404100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IFERROR(VLOOKUP(B211,input_404100!L:R,7,FALSE),VLOOKUP(tables_404100!C211,input_404100!A:H,8,FALSE))</f>
        <v>99385.18131</v>
      </c>
      <c r="P211" s="46">
        <f t="shared" ca="1" si="10"/>
        <v>9.411475502733949E-3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input_404100!A$2</f>
        <v>404100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IFERROR(VLOOKUP(B212,input_404100!L:R,7,FALSE),VLOOKUP(tables_404100!C212,input_404100!A:H,8,FALSE))</f>
        <v>5082.3540000000003</v>
      </c>
      <c r="P212" s="46">
        <f t="shared" ca="1" si="10"/>
        <v>4.8128352272180306E-4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input_404100!A$2</f>
        <v>404100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IFERROR(VLOOKUP(B213,input_404100!L:R,7,FALSE),VLOOKUP(tables_404100!C213,input_404100!A:H,8,FALSE))</f>
        <v>594</v>
      </c>
      <c r="P213" s="46">
        <f t="shared" ca="1" si="10"/>
        <v>5.6249999999360733E-5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input_404100!A$2</f>
        <v>404100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IFERROR(VLOOKUP(B214,input_404100!L:R,7,FALSE),VLOOKUP(tables_404100!C214,input_404100!A:H,8,FALSE))</f>
        <v>32.241</v>
      </c>
      <c r="P214" s="46">
        <f t="shared" ca="1" si="10"/>
        <v>3.0531249999653018E-6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input_404100!A$2</f>
        <v>404100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IFERROR(VLOOKUP(B215,input_404100!L:R,7,FALSE),VLOOKUP(tables_404100!C215,input_404100!A:H,8,FALSE))</f>
        <v>594</v>
      </c>
      <c r="P215" s="46">
        <f t="shared" ca="1" si="10"/>
        <v>5.6249999999360733E-5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input_404100!A$2</f>
        <v>404100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IFERROR(VLOOKUP(B216,input_404100!L:R,7,FALSE),VLOOKUP(tables_404100!C216,input_404100!A:H,8,FALSE))</f>
        <v>32.241</v>
      </c>
      <c r="P216" s="46">
        <f t="shared" ca="1" si="10"/>
        <v>3.0531249999653018E-6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input_404100!A$2</f>
        <v>404100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IFERROR(VLOOKUP(B217,input_404100!L:R,7,FALSE),VLOOKUP(tables_404100!C217,input_404100!A:H,8,FALSE))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input_404100!A$2</f>
        <v>404100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IFERROR(VLOOKUP(B218,input_404100!L:R,7,FALSE),VLOOKUP(tables_404100!C218,input_404100!A:H,8,FALSE))</f>
        <v>99385.18131</v>
      </c>
      <c r="P218" s="46">
        <f t="shared" ca="1" si="10"/>
        <v>9.411475502733949E-3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input_404100!A$2</f>
        <v>404100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IFERROR(VLOOKUP(B219,input_404100!L:R,7,FALSE),VLOOKUP(tables_404100!C219,input_404100!A:H,8,FALSE))</f>
        <v>5082.3540000000003</v>
      </c>
      <c r="P219" s="46">
        <f t="shared" ca="1" si="10"/>
        <v>4.8128352272180306E-4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input_404100!A$2</f>
        <v>404100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IFERROR(VLOOKUP(B220,input_404100!L:R,7,FALSE),VLOOKUP(tables_404100!C220,input_404100!A:H,8,FALSE))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input_404100!A$2</f>
        <v>404100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IFERROR(VLOOKUP(B221,input_404100!L:R,7,FALSE),VLOOKUP(tables_404100!C221,input_404100!A:H,8,FALSE))</f>
        <v>99385.18131</v>
      </c>
      <c r="P221" s="46">
        <f t="shared" ca="1" si="10"/>
        <v>9.411475502733949E-3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input_404100!A$2</f>
        <v>404100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IFERROR(VLOOKUP(B222,input_404100!L:R,7,FALSE),VLOOKUP(tables_404100!C222,input_404100!A:H,8,FALSE))</f>
        <v>5082.3540000000003</v>
      </c>
      <c r="P222" s="46">
        <f t="shared" ca="1" si="10"/>
        <v>4.8128352272180306E-4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input_404100!A$2</f>
        <v>404100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IFERROR(VLOOKUP(B223,input_404100!L:R,7,FALSE),VLOOKUP(tables_404100!C223,input_404100!A:H,8,FALSE))</f>
        <v>594</v>
      </c>
      <c r="P223" s="46">
        <f t="shared" ca="1" si="10"/>
        <v>5.6249999999360733E-5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input_404100!A$2</f>
        <v>404100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IFERROR(VLOOKUP(B224,input_404100!L:R,7,FALSE),VLOOKUP(tables_404100!C224,input_404100!A:H,8,FALSE))</f>
        <v>32.241</v>
      </c>
      <c r="P224" s="46">
        <f t="shared" ca="1" si="10"/>
        <v>3.0531249999653018E-6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input_404100!A$2</f>
        <v>404100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IFERROR(VLOOKUP(B225,input_404100!L:R,7,FALSE),VLOOKUP(tables_404100!C225,input_404100!A:H,8,FALSE))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input_404100!A$2</f>
        <v>404100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IFERROR(VLOOKUP(B226,input_404100!L:R,7,FALSE),VLOOKUP(tables_404100!C226,input_404100!A:H,8,FALSE))</f>
        <v>99385.18131</v>
      </c>
      <c r="P226" s="46">
        <f t="shared" ca="1" si="10"/>
        <v>9.411475502733949E-3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input_404100!A$2</f>
        <v>404100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IFERROR(VLOOKUP(B227,input_404100!L:R,7,FALSE),VLOOKUP(tables_404100!C227,input_404100!A:H,8,FALSE))</f>
        <v>5082.3540000000003</v>
      </c>
      <c r="P227" s="46">
        <f t="shared" ca="1" si="10"/>
        <v>4.8128352272180306E-4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input_404100!A$2</f>
        <v>404100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IFERROR(VLOOKUP(B228,input_404100!L:R,7,FALSE),VLOOKUP(tables_404100!C228,input_404100!A:H,8,FALSE))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input_404100!A$2</f>
        <v>404100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IFERROR(VLOOKUP(B229,input_404100!L:R,7,FALSE),VLOOKUP(tables_404100!C229,input_404100!A:H,8,FALSE))</f>
        <v>99385.18131</v>
      </c>
      <c r="P229" s="46">
        <f t="shared" ca="1" si="10"/>
        <v>9.411475502733949E-3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input_404100!A$2</f>
        <v>404100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IFERROR(VLOOKUP(B230,input_404100!L:R,7,FALSE),VLOOKUP(tables_404100!C230,input_404100!A:H,8,FALSE))</f>
        <v>5082.3540000000003</v>
      </c>
      <c r="P230" s="46">
        <f t="shared" ca="1" si="10"/>
        <v>4.8128352272180306E-4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input_404100!A$2</f>
        <v>404100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IFERROR(VLOOKUP(B231,input_404100!L:R,7,FALSE),VLOOKUP(tables_404100!C231,input_404100!A:H,8,FALSE))</f>
        <v>594</v>
      </c>
      <c r="P231" s="46">
        <f t="shared" ca="1" si="10"/>
        <v>5.6249999999360733E-5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input_404100!A$2</f>
        <v>404100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IFERROR(VLOOKUP(B232,input_404100!L:R,7,FALSE),VLOOKUP(tables_404100!C232,input_404100!A:H,8,FALSE))</f>
        <v>32.241</v>
      </c>
      <c r="P232" s="46">
        <f t="shared" ca="1" si="10"/>
        <v>3.0531249999653018E-6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input_404100!A$2</f>
        <v>404100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IFERROR(VLOOKUP(B233,input_404100!L:R,7,FALSE),VLOOKUP(tables_404100!C233,input_404100!A:H,8,FALSE))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input_404100!A$2</f>
        <v>404100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IFERROR(VLOOKUP(B234,input_404100!L:R,7,FALSE),VLOOKUP(tables_404100!C234,input_404100!A:H,8,FALSE))</f>
        <v>99385.18131</v>
      </c>
      <c r="P234" s="46">
        <f t="shared" ca="1" si="10"/>
        <v>9.411475502733949E-3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input_404100!A$2</f>
        <v>404100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IFERROR(VLOOKUP(B235,input_404100!L:R,7,FALSE),VLOOKUP(tables_404100!C235,input_404100!A:H,8,FALSE))</f>
        <v>5082.3540000000003</v>
      </c>
      <c r="P235" s="46">
        <f t="shared" ca="1" si="10"/>
        <v>4.8128352272180306E-4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input_404100!A$2</f>
        <v>404100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IFERROR(VLOOKUP(B236,input_404100!L:R,7,FALSE),VLOOKUP(tables_404100!C236,input_404100!A:H,8,FALSE))</f>
        <v>594</v>
      </c>
      <c r="P236" s="46">
        <f t="shared" ca="1" si="10"/>
        <v>5.6249999999360733E-5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input_404100!A$2</f>
        <v>404100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IFERROR(VLOOKUP(B237,input_404100!L:R,7,FALSE),VLOOKUP(tables_404100!C237,input_404100!A:H,8,FALSE))</f>
        <v>32.241</v>
      </c>
      <c r="P237" s="46">
        <f t="shared" ca="1" si="10"/>
        <v>3.0531249999653018E-6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input_404100!A$2</f>
        <v>404100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IFERROR(VLOOKUP(B238,input_404100!L:R,7,FALSE),VLOOKUP(tables_404100!C238,input_404100!A:H,8,FALSE))</f>
        <v>594</v>
      </c>
      <c r="P238" s="46">
        <f t="shared" ca="1" si="10"/>
        <v>5.6249999999360733E-5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input_404100!A$2</f>
        <v>404100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IFERROR(VLOOKUP(B239,input_404100!L:R,7,FALSE),VLOOKUP(tables_404100!C239,input_404100!A:H,8,FALSE))</f>
        <v>32.241</v>
      </c>
      <c r="P239" s="46">
        <f t="shared" ca="1" si="10"/>
        <v>3.0531249999653018E-6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input_404100!A$2</f>
        <v>404100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IFERROR(VLOOKUP(B240,input_404100!L:R,7,FALSE),VLOOKUP(tables_404100!C240,input_404100!A:H,8,FALSE))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input_404100!A$2</f>
        <v>404100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IFERROR(VLOOKUP(B241,input_404100!L:R,7,FALSE),VLOOKUP(tables_404100!C241,input_404100!A:H,8,FALSE))</f>
        <v>99385.18131</v>
      </c>
      <c r="P241" s="46">
        <f t="shared" ca="1" si="10"/>
        <v>9.411475502733949E-3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input_404100!A$2</f>
        <v>404100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IFERROR(VLOOKUP(B242,input_404100!L:R,7,FALSE),VLOOKUP(tables_404100!C242,input_404100!A:H,8,FALSE))</f>
        <v>5082.3540000000003</v>
      </c>
      <c r="P242" s="46">
        <f t="shared" ca="1" si="10"/>
        <v>4.8128352272180306E-4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input_404100!A$2</f>
        <v>404100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IFERROR(VLOOKUP(B243,input_404100!L:R,7,FALSE),VLOOKUP(tables_404100!C243,input_404100!A:H,8,FALSE))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input_404100!A$2</f>
        <v>404100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IFERROR(VLOOKUP(B244,input_404100!L:R,7,FALSE),VLOOKUP(tables_404100!C244,input_404100!A:H,8,FALSE))</f>
        <v>99385.18131</v>
      </c>
      <c r="P244" s="46">
        <f t="shared" ca="1" si="10"/>
        <v>9.411475502733949E-3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input_404100!A$2</f>
        <v>404100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IFERROR(VLOOKUP(B245,input_404100!L:R,7,FALSE),VLOOKUP(tables_404100!C245,input_404100!A:H,8,FALSE))</f>
        <v>5082.3540000000003</v>
      </c>
      <c r="P245" s="46">
        <f t="shared" ca="1" si="10"/>
        <v>4.8128352272180306E-4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input_404100!A$2</f>
        <v>404100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IFERROR(VLOOKUP(B246,input_404100!L:R,7,FALSE),VLOOKUP(tables_404100!C246,input_404100!A:H,8,FALSE))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input_404100!A$2</f>
        <v>404100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IFERROR(VLOOKUP(B247,input_404100!L:R,7,FALSE),VLOOKUP(tables_404100!C247,input_404100!A:H,8,FALSE))</f>
        <v>99385.18131</v>
      </c>
      <c r="P247" s="46">
        <f t="shared" ca="1" si="10"/>
        <v>9.411475502733949E-3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input_404100!A$2</f>
        <v>404100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IFERROR(VLOOKUP(B248,input_404100!L:R,7,FALSE),VLOOKUP(tables_404100!C248,input_404100!A:H,8,FALSE))</f>
        <v>5082.3540000000003</v>
      </c>
      <c r="P248" s="46">
        <f t="shared" ca="1" si="10"/>
        <v>4.8128352272180306E-4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input_404100!A$2</f>
        <v>404100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IFERROR(VLOOKUP(B249,input_404100!L:R,7,FALSE),VLOOKUP(tables_404100!C249,input_404100!A:H,8,FALSE))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input_404100!A$2</f>
        <v>404100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IFERROR(VLOOKUP(B250,input_404100!L:R,7,FALSE),VLOOKUP(tables_404100!C250,input_404100!A:H,8,FALSE))</f>
        <v>99385.18131</v>
      </c>
      <c r="P250" s="46">
        <f t="shared" ca="1" si="10"/>
        <v>9.411475502733949E-3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input_404100!A$2</f>
        <v>404100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IFERROR(VLOOKUP(B251,input_404100!L:R,7,FALSE),VLOOKUP(tables_404100!C251,input_404100!A:H,8,FALSE))</f>
        <v>5082.3540000000003</v>
      </c>
      <c r="P251" s="46">
        <f t="shared" ca="1" si="10"/>
        <v>4.8128352272180306E-4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input_404100!A$2</f>
        <v>404100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IFERROR(VLOOKUP(B252,input_404100!L:R,7,FALSE),VLOOKUP(tables_404100!C252,input_404100!A:H,8,FALSE))</f>
        <v>594</v>
      </c>
      <c r="P252" s="46">
        <f t="shared" ca="1" si="10"/>
        <v>5.6249999999360733E-5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input_404100!A$2</f>
        <v>404100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IFERROR(VLOOKUP(B253,input_404100!L:R,7,FALSE),VLOOKUP(tables_404100!C253,input_404100!A:H,8,FALSE))</f>
        <v>32.241</v>
      </c>
      <c r="P253" s="46">
        <f t="shared" ca="1" si="10"/>
        <v>3.0531249999653018E-6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input_404100!A$2</f>
        <v>404100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IFERROR(VLOOKUP(B254,input_404100!L:R,7,FALSE),VLOOKUP(tables_404100!C254,input_404100!A:H,8,FALSE))</f>
        <v>594</v>
      </c>
      <c r="P254" s="46">
        <f t="shared" ca="1" si="10"/>
        <v>5.6249999999360733E-5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input_404100!A$2</f>
        <v>404100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IFERROR(VLOOKUP(B255,input_404100!L:R,7,FALSE),VLOOKUP(tables_404100!C255,input_404100!A:H,8,FALSE))</f>
        <v>32.241</v>
      </c>
      <c r="P255" s="46">
        <f t="shared" ca="1" si="10"/>
        <v>3.0531249999653018E-6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input_404100!A$2</f>
        <v>404100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IFERROR(VLOOKUP(B256,input_404100!L:R,7,FALSE),VLOOKUP(tables_404100!C256,input_404100!A:H,8,FALSE))</f>
        <v>85944.880999999994</v>
      </c>
      <c r="P256" s="46">
        <f t="shared" ca="1" si="10"/>
        <v>8.1387197915741716E-3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input_404100!A$2</f>
        <v>404100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IFERROR(VLOOKUP(B257,input_404100!L:R,7,FALSE),VLOOKUP(tables_404100!C257,input_404100!A:H,8,FALSE))</f>
        <v>18095.118999999999</v>
      </c>
      <c r="P257" s="46">
        <f t="shared" ca="1" si="10"/>
        <v>1.7135529355865864E-3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input_404100!A$2</f>
        <v>404100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IFERROR(VLOOKUP(B258,input_404100!L:R,7,FALSE),VLOOKUP(tables_404100!C258,input_404100!A:H,8,FALSE))</f>
        <v>85944.880999999994</v>
      </c>
      <c r="P258" s="46">
        <f t="shared" ref="P258:P294" ca="1" si="13">O258/SUM(O:O)</f>
        <v>8.1387197915741716E-3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input_404100!A$2</f>
        <v>404100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IFERROR(VLOOKUP(B259,input_404100!L:R,7,FALSE),VLOOKUP(tables_404100!C259,input_404100!A:H,8,FALSE))</f>
        <v>18095.118999999999</v>
      </c>
      <c r="P259" s="46">
        <f t="shared" ca="1" si="13"/>
        <v>1.7135529355865864E-3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input_404100!A$2</f>
        <v>404100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IFERROR(VLOOKUP(B260,input_404100!L:R,7,FALSE),VLOOKUP(tables_404100!C260,input_404100!A:H,8,FALSE))</f>
        <v>660</v>
      </c>
      <c r="P260" s="46">
        <f t="shared" ca="1" si="13"/>
        <v>6.24999999992897E-5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input_404100!A$2</f>
        <v>404100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IFERROR(VLOOKUP(B261,input_404100!L:R,7,FALSE),VLOOKUP(tables_404100!C261,input_404100!A:H,8,FALSE))</f>
        <v>660</v>
      </c>
      <c r="P261" s="46">
        <f t="shared" ca="1" si="13"/>
        <v>6.24999999992897E-5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input_404100!A$2</f>
        <v>404100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IFERROR(VLOOKUP(B262,input_404100!L:R,7,FALSE),VLOOKUP(tables_404100!C262,input_404100!A:H,8,FALSE))</f>
        <v>594</v>
      </c>
      <c r="P262" s="46">
        <f t="shared" ca="1" si="13"/>
        <v>5.6249999999360733E-5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input_404100!A$2</f>
        <v>404100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IFERROR(VLOOKUP(B263,input_404100!L:R,7,FALSE),VLOOKUP(tables_404100!C263,input_404100!A:H,8,FALSE))</f>
        <v>32.241</v>
      </c>
      <c r="P263" s="46">
        <f t="shared" ca="1" si="13"/>
        <v>3.0531249999653018E-6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input_404100!A$2</f>
        <v>404100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IFERROR(VLOOKUP(B264,input_404100!L:R,7,FALSE),VLOOKUP(tables_404100!C264,input_404100!A:H,8,FALSE))</f>
        <v>594</v>
      </c>
      <c r="P264" s="46">
        <f t="shared" ca="1" si="13"/>
        <v>5.6249999999360733E-5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input_404100!A$2</f>
        <v>404100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IFERROR(VLOOKUP(B265,input_404100!L:R,7,FALSE),VLOOKUP(tables_404100!C265,input_404100!A:H,8,FALSE))</f>
        <v>32.241</v>
      </c>
      <c r="P265" s="46">
        <f t="shared" ca="1" si="13"/>
        <v>3.0531249999653018E-6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input_404100!A$2</f>
        <v>404100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IFERROR(VLOOKUP(B266,input_404100!L:R,7,FALSE),VLOOKUP(tables_404100!C266,input_404100!A:H,8,FALSE))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input_404100!A$2</f>
        <v>404100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IFERROR(VLOOKUP(B267,input_404100!L:R,7,FALSE),VLOOKUP(tables_404100!C267,input_404100!A:H,8,FALSE))</f>
        <v>99385.18131</v>
      </c>
      <c r="P267" s="46">
        <f t="shared" ca="1" si="13"/>
        <v>9.411475502733949E-3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input_404100!A$2</f>
        <v>404100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IFERROR(VLOOKUP(B268,input_404100!L:R,7,FALSE),VLOOKUP(tables_404100!C268,input_404100!A:H,8,FALSE))</f>
        <v>5082.3540000000003</v>
      </c>
      <c r="P268" s="46">
        <f t="shared" ca="1" si="13"/>
        <v>4.8128352272180306E-4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input_404100!A$2</f>
        <v>404100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IFERROR(VLOOKUP(B269,input_404100!L:R,7,FALSE),VLOOKUP(tables_404100!C269,input_404100!A:H,8,FALSE))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input_404100!A$2</f>
        <v>404100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IFERROR(VLOOKUP(B270,input_404100!L:R,7,FALSE),VLOOKUP(tables_404100!C270,input_404100!A:H,8,FALSE))</f>
        <v>99385.18131</v>
      </c>
      <c r="P270" s="46">
        <f t="shared" ca="1" si="13"/>
        <v>9.411475502733949E-3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input_404100!A$2</f>
        <v>404100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IFERROR(VLOOKUP(B271,input_404100!L:R,7,FALSE),VLOOKUP(tables_404100!C271,input_404100!A:H,8,FALSE))</f>
        <v>5082.3540000000003</v>
      </c>
      <c r="P271" s="46">
        <f t="shared" ca="1" si="13"/>
        <v>4.8128352272180306E-4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input_404100!A$2</f>
        <v>404100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IFERROR(VLOOKUP(B272,input_404100!L:R,7,FALSE),VLOOKUP(tables_404100!C272,input_404100!A:H,8,FALSE))</f>
        <v>660</v>
      </c>
      <c r="P272" s="46">
        <f t="shared" ca="1" si="13"/>
        <v>6.24999999992897E-5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input_404100!A$2</f>
        <v>404100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IFERROR(VLOOKUP(B273,input_404100!L:R,7,FALSE),VLOOKUP(tables_404100!C273,input_404100!A:H,8,FALSE))</f>
        <v>660</v>
      </c>
      <c r="P273" s="46">
        <f t="shared" ca="1" si="13"/>
        <v>6.24999999992897E-5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input_404100!A$2</f>
        <v>404100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IFERROR(VLOOKUP(B274,input_404100!L:R,7,FALSE),VLOOKUP(tables_404100!C274,input_404100!A:H,8,FALSE))</f>
        <v>85944.880999999994</v>
      </c>
      <c r="P274" s="46">
        <f t="shared" ca="1" si="13"/>
        <v>8.1387197915741716E-3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input_404100!A$2</f>
        <v>404100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IFERROR(VLOOKUP(B275,input_404100!L:R,7,FALSE),VLOOKUP(tables_404100!C275,input_404100!A:H,8,FALSE))</f>
        <v>18095.118999999999</v>
      </c>
      <c r="P275" s="46">
        <f t="shared" ca="1" si="13"/>
        <v>1.7135529355865864E-3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input_404100!A$2</f>
        <v>404100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IFERROR(VLOOKUP(B276,input_404100!L:R,7,FALSE),VLOOKUP(tables_404100!C276,input_404100!A:H,8,FALSE))</f>
        <v>85944.880999999994</v>
      </c>
      <c r="P276" s="46">
        <f t="shared" ca="1" si="13"/>
        <v>8.1387197915741716E-3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input_404100!A$2</f>
        <v>404100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IFERROR(VLOOKUP(B277,input_404100!L:R,7,FALSE),VLOOKUP(tables_404100!C277,input_404100!A:H,8,FALSE))</f>
        <v>18095.118999999999</v>
      </c>
      <c r="P277" s="46">
        <f t="shared" ca="1" si="13"/>
        <v>1.7135529355865864E-3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input_404100!A$2</f>
        <v>404100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IFERROR(VLOOKUP(B278,input_404100!L:R,7,FALSE),VLOOKUP(tables_404100!C278,input_404100!A:H,8,FALSE))</f>
        <v>85944.880999999994</v>
      </c>
      <c r="P278" s="46">
        <f t="shared" ca="1" si="13"/>
        <v>8.1387197915741716E-3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input_404100!A$2</f>
        <v>404100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IFERROR(VLOOKUP(B279,input_404100!L:R,7,FALSE),VLOOKUP(tables_404100!C279,input_404100!A:H,8,FALSE))</f>
        <v>18095.118999999999</v>
      </c>
      <c r="P279" s="46">
        <f t="shared" ca="1" si="13"/>
        <v>1.7135529355865864E-3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input_404100!A$2</f>
        <v>404100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IFERROR(VLOOKUP(B280,input_404100!L:R,7,FALSE),VLOOKUP(tables_404100!C280,input_404100!A:H,8,FALSE))</f>
        <v>85944.880999999994</v>
      </c>
      <c r="P280" s="46">
        <f t="shared" ca="1" si="13"/>
        <v>8.1387197915741716E-3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input_404100!A$2</f>
        <v>404100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IFERROR(VLOOKUP(B281,input_404100!L:R,7,FALSE),VLOOKUP(tables_404100!C281,input_404100!A:H,8,FALSE))</f>
        <v>18095.118999999999</v>
      </c>
      <c r="P281" s="46">
        <f t="shared" ca="1" si="13"/>
        <v>1.7135529355865864E-3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input_404100!A$2</f>
        <v>404100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IFERROR(VLOOKUP(B282,input_404100!L:R,7,FALSE),VLOOKUP(tables_404100!C282,input_404100!A:H,8,FALSE))</f>
        <v>660</v>
      </c>
      <c r="P282" s="46">
        <f t="shared" ca="1" si="13"/>
        <v>6.24999999992897E-5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input_404100!A$2</f>
        <v>404100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IFERROR(VLOOKUP(B283,input_404100!L:R,7,FALSE),VLOOKUP(tables_404100!C283,input_404100!A:H,8,FALSE))</f>
        <v>660</v>
      </c>
      <c r="P283" s="46">
        <f t="shared" ca="1" si="13"/>
        <v>6.24999999992897E-5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input_404100!A$2</f>
        <v>404100</v>
      </c>
      <c r="B284" s="92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IFERROR(VLOOKUP(B284,input_404100!L:R,7,FALSE),VLOOKUP(tables_404100!C284,input_404100!A:H,8,FALSE))</f>
        <v>660</v>
      </c>
      <c r="P284" s="46">
        <f t="shared" ca="1" si="13"/>
        <v>6.24999999992897E-5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input_404100!A$2</f>
        <v>404100</v>
      </c>
      <c r="B285" s="92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IFERROR(VLOOKUP(B285,input_404100!L:R,7,FALSE),VLOOKUP(tables_404100!C285,input_404100!A:H,8,FALSE))</f>
        <v>660</v>
      </c>
      <c r="P285" s="46">
        <f t="shared" ca="1" si="13"/>
        <v>6.24999999992897E-5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input_404100!A$2</f>
        <v>404100</v>
      </c>
      <c r="B286" s="92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IFERROR(VLOOKUP(B286,input_404100!L:R,7,FALSE),VLOOKUP(tables_404100!C286,input_404100!A:H,8,FALSE))</f>
        <v>85944.880999999994</v>
      </c>
      <c r="P286" s="46">
        <f t="shared" ca="1" si="13"/>
        <v>8.1387197915741716E-3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input_404100!A$2</f>
        <v>404100</v>
      </c>
      <c r="B287" s="92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IFERROR(VLOOKUP(B287,input_404100!L:R,7,FALSE),VLOOKUP(tables_404100!C287,input_404100!A:H,8,FALSE))</f>
        <v>18095.118999999999</v>
      </c>
      <c r="P287" s="46">
        <f t="shared" ca="1" si="13"/>
        <v>1.7135529355865864E-3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input_404100!A$2</f>
        <v>404100</v>
      </c>
      <c r="B288" s="92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IFERROR(VLOOKUP(B288,input_404100!L:R,7,FALSE),VLOOKUP(tables_404100!C288,input_404100!A:H,8,FALSE))</f>
        <v>85944.880999999994</v>
      </c>
      <c r="P288" s="46">
        <f t="shared" ca="1" si="13"/>
        <v>8.1387197915741716E-3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input_404100!A$2</f>
        <v>404100</v>
      </c>
      <c r="B289" s="92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IFERROR(VLOOKUP(B289,input_404100!L:R,7,FALSE),VLOOKUP(tables_404100!C289,input_404100!A:H,8,FALSE))</f>
        <v>18095.118999999999</v>
      </c>
      <c r="P289" s="46">
        <f t="shared" ca="1" si="13"/>
        <v>1.7135529355865864E-3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input_404100!A$2</f>
        <v>404100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IFERROR(VLOOKUP(B290,input_404100!L:R,7,FALSE),VLOOKUP(tables_404100!C290,input_404100!A:H,8,FALSE))</f>
        <v>660</v>
      </c>
      <c r="P290" s="46">
        <f t="shared" ca="1" si="13"/>
        <v>6.24999999992897E-5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input_404100!A$2</f>
        <v>404100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IFERROR(VLOOKUP(B291,input_404100!L:R,7,FALSE),VLOOKUP(tables_404100!C291,input_404100!A:H,8,FALSE))</f>
        <v>85944.880999999994</v>
      </c>
      <c r="P291" s="46">
        <f t="shared" ca="1" si="13"/>
        <v>8.1387197915741716E-3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input_404100!A$2</f>
        <v>404100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IFERROR(VLOOKUP(B292,input_404100!L:R,7,FALSE),VLOOKUP(tables_404100!C292,input_404100!A:H,8,FALSE))</f>
        <v>18095.118999999999</v>
      </c>
      <c r="P292" s="46">
        <f t="shared" ca="1" si="13"/>
        <v>1.7135529355865864E-3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input_404100!A$2</f>
        <v>404100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IFERROR(VLOOKUP(B293,input_404100!L:R,7,FALSE),VLOOKUP(tables_404100!C293,input_404100!A:H,8,FALSE))</f>
        <v>660</v>
      </c>
      <c r="P293" s="46">
        <f t="shared" ca="1" si="13"/>
        <v>6.24999999992897E-5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input_404100!A$2</f>
        <v>404100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IFERROR(VLOOKUP(B294,input_404100!L:R,7,FALSE),VLOOKUP(tables_404100!C294,input_404100!A:H,8,FALSE))</f>
        <v>660</v>
      </c>
      <c r="P294" s="46">
        <f t="shared" ca="1" si="13"/>
        <v>6.24999999992897E-5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input_404100!A$2</f>
        <v>404100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IFERROR(VLOOKUP(B295,input_404100!L:R,7,FALSE),VLOOKUP(tables_404100!C295,input_404100!A:H,8,FALSE))</f>
        <v>660</v>
      </c>
      <c r="P295" s="46">
        <f t="shared" ref="P295:P299" ca="1" si="20">O295/SUM(O:O)</f>
        <v>6.24999999992897E-5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input_404100!A$2</f>
        <v>404100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IFERROR(VLOOKUP(B296,input_404100!L:R,7,FALSE),VLOOKUP(tables_404100!C296,input_404100!A:H,8,FALSE))</f>
        <v>660</v>
      </c>
      <c r="P296" s="46">
        <f t="shared" ca="1" si="20"/>
        <v>6.24999999992897E-5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input_404100!A$2</f>
        <v>404100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IFERROR(VLOOKUP(B297,input_404100!L:R,7,FALSE),VLOOKUP(tables_404100!C297,input_404100!A:H,8,FALSE))</f>
        <v>85944.880999999994</v>
      </c>
      <c r="P297" s="46">
        <f t="shared" ca="1" si="20"/>
        <v>8.1387197915741716E-3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input_404100!A$2</f>
        <v>404100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IFERROR(VLOOKUP(B298,input_404100!L:R,7,FALSE),VLOOKUP(tables_404100!C298,input_404100!A:H,8,FALSE))</f>
        <v>18095.118999999999</v>
      </c>
      <c r="P298" s="46">
        <f t="shared" ca="1" si="20"/>
        <v>1.7135529355865864E-3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input_404100!A$2</f>
        <v>404100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IFERROR(VLOOKUP(B299,input_404100!L:R,7,FALSE),VLOOKUP(tables_404100!C299,input_404100!A:H,8,FALSE))</f>
        <v>660</v>
      </c>
      <c r="P299" s="46">
        <f t="shared" ca="1" si="20"/>
        <v>6.24999999992897E-5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input_404100!A$2</f>
        <v>404100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IFERROR(VLOOKUP(B300,input_404100!L:R,7,FALSE),VLOOKUP(tables_404100!C300,input_404100!A:H,8,FALSE))</f>
        <v>85944.880999999994</v>
      </c>
      <c r="P300" s="46">
        <f t="shared" ref="P300:P304" ca="1" si="22">O300/SUM(O:O)</f>
        <v>8.1387197915741716E-3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input_404100!A$2</f>
        <v>404100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IFERROR(VLOOKUP(B301,input_404100!L:R,7,FALSE),VLOOKUP(tables_404100!C301,input_404100!A:H,8,FALSE))</f>
        <v>18095.118999999999</v>
      </c>
      <c r="P301" s="46">
        <f t="shared" ca="1" si="22"/>
        <v>1.7135529355865864E-3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input_404100!A$2</f>
        <v>404100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IFERROR(VLOOKUP(B302,input_404100!L:R,7,FALSE),VLOOKUP(tables_404100!C302,input_404100!A:H,8,FALSE))</f>
        <v>660</v>
      </c>
      <c r="P302" s="46">
        <f t="shared" ca="1" si="22"/>
        <v>6.24999999992897E-5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input_404100!A$2</f>
        <v>404100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IFERROR(VLOOKUP(B303,input_404100!L:R,7,FALSE),VLOOKUP(tables_404100!C303,input_404100!A:H,8,FALSE))</f>
        <v>660</v>
      </c>
      <c r="P303" s="46">
        <f t="shared" ca="1" si="22"/>
        <v>6.24999999992897E-5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input_404100!A$2</f>
        <v>404100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IFERROR(VLOOKUP(B304,input_404100!L:R,7,FALSE),VLOOKUP(tables_404100!C304,input_404100!A:H,8,FALSE))</f>
        <v>660</v>
      </c>
      <c r="P304" s="46">
        <f t="shared" ca="1" si="22"/>
        <v>6.24999999992897E-5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input_404100!A$2</f>
        <v>404100</v>
      </c>
      <c r="B305" s="5">
        <v>1067</v>
      </c>
      <c r="C305" s="7" t="str">
        <f t="shared" ref="C305:C309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IFERROR(VLOOKUP(B305,input_404100!L:R,7,FALSE),VLOOKUP(tables_404100!C305,input_404100!A:H,8,FALSE))</f>
        <v>85944.880999999994</v>
      </c>
      <c r="P305" s="46">
        <f t="shared" ref="P305:P309" ca="1" si="24">O305/SUM(O:O)</f>
        <v>8.1387197915741716E-3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input_404100!A$2</f>
        <v>404100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IFERROR(VLOOKUP(B306,input_404100!L:R,7,FALSE),VLOOKUP(tables_404100!C306,input_404100!A:H,8,FALSE))</f>
        <v>18095.118999999999</v>
      </c>
      <c r="P306" s="46">
        <f t="shared" ca="1" si="24"/>
        <v>1.7135529355865864E-3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input_404100!A$2</f>
        <v>404100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IFERROR(VLOOKUP(B307,input_404100!L:R,7,FALSE),VLOOKUP(tables_404100!C307,input_404100!A:H,8,FALSE))</f>
        <v>660</v>
      </c>
      <c r="P307" s="46">
        <f t="shared" ca="1" si="24"/>
        <v>6.24999999992897E-5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input_404100!A$2</f>
        <v>404100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IFERROR(VLOOKUP(B308,input_404100!L:R,7,FALSE),VLOOKUP(tables_404100!C308,input_404100!A:H,8,FALSE))</f>
        <v>660</v>
      </c>
      <c r="P308" s="46">
        <f t="shared" ca="1" si="24"/>
        <v>6.24999999992897E-5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input_404100!A$2</f>
        <v>404100</v>
      </c>
      <c r="B309" s="5">
        <v>1074</v>
      </c>
      <c r="C309" s="7" t="str">
        <f t="shared" si="23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IFERROR(VLOOKUP(B309,input_404100!L:R,7,FALSE),VLOOKUP(tables_404100!C309,input_404100!A:H,8,FALSE))</f>
        <v>660</v>
      </c>
      <c r="P309" s="46">
        <f t="shared" ca="1" si="24"/>
        <v>6.24999999992897E-5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input_404100!A$2</f>
        <v>404100</v>
      </c>
      <c r="B310" s="5">
        <v>1104</v>
      </c>
      <c r="C310" s="7" t="str">
        <f t="shared" ref="C310:C314" si="25">D310&amp;J310&amp;E310&amp;F310&amp;G310</f>
        <v>Premium4R3less</v>
      </c>
      <c r="D310" s="7" t="str">
        <f t="shared" ref="D310:D314" si="26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>IFERROR(VLOOKUP(B310,input_404100!L:R,7,FALSE),VLOOKUP(tables_404100!C310,input_404100!A:H,8,FALSE))</f>
        <v>832656</v>
      </c>
      <c r="P310" s="46">
        <f t="shared" ref="P310:P314" ca="1" si="27">O310/SUM(O:O)</f>
        <v>7.8849999999103887E-2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input_404100!A$2</f>
        <v>404100</v>
      </c>
      <c r="B311" s="5">
        <v>1105</v>
      </c>
      <c r="C311" s="7" t="str">
        <f t="shared" si="25"/>
        <v>Premium5R3less</v>
      </c>
      <c r="D311" s="7" t="str">
        <f t="shared" si="26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>IFERROR(VLOOKUP(B311,input_404100!L:R,7,FALSE),VLOOKUP(tables_404100!C311,input_404100!A:H,8,FALSE))</f>
        <v>43824</v>
      </c>
      <c r="P311" s="46">
        <f t="shared" ca="1" si="27"/>
        <v>4.1499999999528364E-3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input_404100!A$2</f>
        <v>404100</v>
      </c>
      <c r="B312" s="5">
        <v>1106</v>
      </c>
      <c r="C312" s="7" t="str">
        <f t="shared" si="25"/>
        <v>PremiumSS5R5only</v>
      </c>
      <c r="D312" s="7" t="str">
        <f t="shared" si="26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IFERROR(VLOOKUP(B312,input_404100!L:R,7,FALSE),VLOOKUP(tables_404100!C312,input_404100!A:H,8,FALSE))</f>
        <v>190080</v>
      </c>
      <c r="P312" s="46">
        <f t="shared" ca="1" si="27"/>
        <v>1.7999999999795433E-2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input_404100!A$2</f>
        <v>404100</v>
      </c>
      <c r="B313" s="5">
        <v>1102</v>
      </c>
      <c r="C313" s="7" t="str">
        <f t="shared" si="25"/>
        <v>PremiumSS5R5only</v>
      </c>
      <c r="D313" s="7" t="str">
        <f t="shared" si="26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>IFERROR(VLOOKUP(B313,input_404100!L:R,7,FALSE),VLOOKUP(tables_404100!C313,input_404100!A:H,8,FALSE))</f>
        <v>116160</v>
      </c>
      <c r="P313" s="46">
        <f t="shared" ca="1" si="27"/>
        <v>1.0999999999874988E-2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input_404100!A$2</f>
        <v>404100</v>
      </c>
      <c r="B314" s="5">
        <v>1100</v>
      </c>
      <c r="C314" s="7" t="str">
        <f t="shared" si="25"/>
        <v>PremiumSS5R5only</v>
      </c>
      <c r="D314" s="7" t="str">
        <f t="shared" si="26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IFERROR(VLOOKUP(B314,input_404100!L:R,7,FALSE),VLOOKUP(tables_404100!C314,input_404100!A:H,8,FALSE))</f>
        <v>190080</v>
      </c>
      <c r="P314" s="46">
        <f t="shared" ca="1" si="27"/>
        <v>1.7999999999795433E-2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6" sqref="D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input_404100!A$2</f>
        <v>404100</v>
      </c>
      <c r="B2" s="5">
        <v>1067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ウシュムガル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dragon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input_404100!A$2</f>
        <v>404100</v>
      </c>
      <c r="B3" s="5">
        <v>1068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想母の羽龍 ウシュムガル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input_404100!A$2</f>
        <v>404100</v>
      </c>
      <c r="B4" s="5">
        <v>1069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イシュタル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input_404100!A$2</f>
        <v>404100</v>
      </c>
      <c r="B5" s="5">
        <v>1072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エンキドゥ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input_404100!A$2</f>
        <v>404100</v>
      </c>
      <c r="B6" s="5">
        <v>1074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マルドゥク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/>
      <c r="B2" s="79"/>
      <c r="C2" s="80"/>
      <c r="D2" s="80"/>
      <c r="E2" s="80"/>
      <c r="F2" s="80"/>
      <c r="G2" s="1"/>
      <c r="H2" s="1"/>
      <c r="I2" s="1"/>
      <c r="J2" s="1"/>
      <c r="K2" s="1"/>
      <c r="L2" s="1"/>
      <c r="M2" s="1"/>
      <c r="N2" s="80"/>
      <c r="O2" s="80"/>
      <c r="P2" s="80"/>
      <c r="Q2" s="81"/>
    </row>
    <row r="3" spans="1:17" ht="21" customHeight="1" x14ac:dyDescent="0.15">
      <c r="A3" s="79"/>
      <c r="B3" s="79"/>
      <c r="G3" s="87"/>
      <c r="H3" s="87"/>
      <c r="I3" s="87"/>
      <c r="J3" s="87"/>
      <c r="K3" s="87"/>
      <c r="L3" s="87"/>
      <c r="M3" s="87"/>
      <c r="N3" s="80"/>
      <c r="O3" s="80"/>
      <c r="P3" s="80"/>
      <c r="Q3" s="81"/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input_404010</vt:lpstr>
      <vt:lpstr>tables_404010</vt:lpstr>
      <vt:lpstr>input_404100</vt:lpstr>
      <vt:lpstr>tables_404100</vt:lpstr>
      <vt:lpstr>tables_settle_404100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2016-09-14T06:05:49Z</dcterms:modified>
</cp:coreProperties>
</file>