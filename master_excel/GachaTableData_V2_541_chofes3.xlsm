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3200" yWindow="1480" windowWidth="25600" windowHeight="14180" tabRatio="943" firstSheet="1" activeTab="3"/>
  </bookViews>
  <sheets>
    <sheet name="確率の考え方" sheetId="110" r:id="rId1"/>
    <sheet name="Sheet1" sheetId="107" r:id="rId2"/>
    <sheet name="output" sheetId="103" r:id="rId3"/>
    <sheet name="input_settle_541100" sheetId="157" r:id="rId4"/>
    <sheet name="tables_settle_541100" sheetId="158" r:id="rId5"/>
    <sheet name="input_541100" sheetId="153" r:id="rId6"/>
    <sheet name="tables_541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6" hidden="1">tables_541100!$A$1:$V$294</definedName>
    <definedName name="_xlnm._FilterDatabase" localSheetId="4" hidden="1">tables_settle_541100!$A$1:$V$358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8" l="1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I357" i="158"/>
  <c r="D357" i="158"/>
  <c r="J357" i="158"/>
  <c r="E357" i="158"/>
  <c r="C357" i="158"/>
  <c r="I358" i="158"/>
  <c r="D358" i="158"/>
  <c r="J358" i="158"/>
  <c r="E358" i="158"/>
  <c r="C358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F6" i="157"/>
  <c r="E6" i="157"/>
  <c r="B23" i="157"/>
  <c r="E26" i="157"/>
  <c r="B26" i="157"/>
  <c r="F5" i="157"/>
  <c r="E5" i="157"/>
  <c r="E28" i="157"/>
  <c r="B28" i="157"/>
  <c r="E29" i="157"/>
  <c r="B29" i="157"/>
  <c r="C31" i="157"/>
  <c r="B21" i="157"/>
  <c r="E19" i="157"/>
  <c r="B19" i="157"/>
  <c r="E24" i="157"/>
  <c r="B24" i="157"/>
  <c r="B17" i="157"/>
  <c r="E20" i="157"/>
  <c r="B20" i="157"/>
  <c r="E25" i="157"/>
  <c r="B25" i="157"/>
  <c r="E27" i="157"/>
  <c r="B27" i="157"/>
  <c r="B30" i="157"/>
  <c r="F353" i="158"/>
  <c r="H353" i="158"/>
  <c r="K353" i="158"/>
  <c r="L353" i="158"/>
  <c r="M353" i="158"/>
  <c r="N353" i="158"/>
  <c r="A2" i="157"/>
  <c r="F354" i="158"/>
  <c r="F355" i="158"/>
  <c r="F356" i="158"/>
  <c r="F357" i="158"/>
  <c r="F358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A36" i="157"/>
  <c r="G29" i="157"/>
  <c r="H29" i="157"/>
  <c r="O353" i="158"/>
  <c r="G17" i="157"/>
  <c r="E17" i="157"/>
  <c r="H17" i="157"/>
  <c r="O2" i="158"/>
  <c r="C30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E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4" i="158"/>
  <c r="O355" i="158"/>
  <c r="G30" i="157"/>
  <c r="E30" i="157"/>
  <c r="H30" i="157"/>
  <c r="R3" i="157"/>
  <c r="O356" i="158"/>
  <c r="G31" i="157"/>
  <c r="E31" i="157"/>
  <c r="H31" i="157"/>
  <c r="R4" i="157"/>
  <c r="O357" i="158"/>
  <c r="R5" i="157"/>
  <c r="O358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H356" i="158"/>
  <c r="K356" i="158"/>
  <c r="L356" i="158"/>
  <c r="M356" i="158"/>
  <c r="N356" i="158"/>
  <c r="P356" i="158"/>
  <c r="H357" i="158"/>
  <c r="K357" i="158"/>
  <c r="L357" i="158"/>
  <c r="M357" i="158"/>
  <c r="N357" i="158"/>
  <c r="P357" i="158"/>
  <c r="H358" i="158"/>
  <c r="K358" i="158"/>
  <c r="L358" i="158"/>
  <c r="M358" i="158"/>
  <c r="N358" i="158"/>
  <c r="P358" i="158"/>
  <c r="A358" i="158"/>
  <c r="A357" i="158"/>
  <c r="A356" i="158"/>
  <c r="A355" i="158"/>
  <c r="A354" i="158"/>
  <c r="A353" i="158"/>
  <c r="I358" i="154"/>
  <c r="D358" i="154"/>
  <c r="J358" i="154"/>
  <c r="E358" i="154"/>
  <c r="F358" i="154"/>
  <c r="C358" i="154"/>
  <c r="A2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F5" i="153"/>
  <c r="F6" i="153"/>
  <c r="A36" i="153"/>
  <c r="G31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1" i="153"/>
  <c r="H31" i="153"/>
  <c r="R5" i="153"/>
  <c r="O358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B23" i="153"/>
  <c r="B22" i="153"/>
  <c r="E25" i="153"/>
  <c r="B25" i="153"/>
  <c r="E5" i="153"/>
  <c r="E27" i="153"/>
  <c r="B27" i="153"/>
  <c r="C30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E29" i="153"/>
  <c r="B29" i="153"/>
  <c r="C31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G30" i="153"/>
  <c r="E30" i="153"/>
  <c r="H30" i="153"/>
  <c r="R3" i="153"/>
  <c r="O356" i="154"/>
  <c r="R4" i="153"/>
  <c r="O357" i="154"/>
  <c r="P358" i="154"/>
  <c r="N358" i="154"/>
  <c r="M358" i="154"/>
  <c r="L358" i="154"/>
  <c r="K358" i="154"/>
  <c r="H358" i="154"/>
  <c r="A358" i="154"/>
  <c r="F353" i="154"/>
  <c r="H353" i="154"/>
  <c r="K353" i="154"/>
  <c r="L353" i="154"/>
  <c r="M353" i="154"/>
  <c r="N353" i="154"/>
  <c r="F354" i="154"/>
  <c r="F355" i="154"/>
  <c r="F356" i="154"/>
  <c r="F357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P356" i="154"/>
  <c r="H357" i="154"/>
  <c r="K357" i="154"/>
  <c r="L357" i="154"/>
  <c r="M357" i="154"/>
  <c r="N357" i="154"/>
  <c r="P357" i="154"/>
  <c r="A357" i="154"/>
  <c r="A356" i="154"/>
  <c r="A355" i="154"/>
  <c r="A354" i="154"/>
  <c r="A353" i="154"/>
  <c r="A351" i="158"/>
  <c r="H351" i="158"/>
  <c r="K351" i="158"/>
  <c r="L351" i="158"/>
  <c r="M351" i="158"/>
  <c r="N351" i="158"/>
  <c r="B10" i="157"/>
  <c r="P351" i="158"/>
  <c r="A352" i="158"/>
  <c r="H352" i="158"/>
  <c r="K352" i="158"/>
  <c r="L352" i="158"/>
  <c r="M352" i="158"/>
  <c r="N352" i="158"/>
  <c r="P352" i="158"/>
  <c r="B6" i="153"/>
  <c r="B10" i="153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B30" i="153"/>
  <c r="A351" i="154"/>
  <c r="H351" i="154"/>
  <c r="K351" i="154"/>
  <c r="L351" i="154"/>
  <c r="M351" i="154"/>
  <c r="N351" i="154"/>
  <c r="P351" i="154"/>
  <c r="A352" i="154"/>
  <c r="H352" i="154"/>
  <c r="K352" i="154"/>
  <c r="L352" i="154"/>
  <c r="M352" i="154"/>
  <c r="N352" i="154"/>
  <c r="P352" i="154"/>
  <c r="C2" i="103"/>
  <c r="A350" i="154"/>
  <c r="A346" i="154"/>
  <c r="A347" i="154"/>
  <c r="A348" i="154"/>
  <c r="A349" i="154"/>
  <c r="H346" i="154"/>
  <c r="K346" i="154"/>
  <c r="L346" i="154"/>
  <c r="M346" i="154"/>
  <c r="N346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350" i="158"/>
  <c r="H350" i="158"/>
  <c r="K350" i="158"/>
  <c r="L350" i="158"/>
  <c r="M350" i="158"/>
  <c r="N350" i="158"/>
  <c r="P350" i="158"/>
  <c r="A346" i="158"/>
  <c r="H346" i="158"/>
  <c r="K346" i="158"/>
  <c r="L346" i="158"/>
  <c r="M346" i="158"/>
  <c r="N346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A341" i="158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R6" i="153"/>
  <c r="F41" i="153"/>
  <c r="G41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<sst xmlns="http://schemas.openxmlformats.org/spreadsheetml/2006/main" count="513" uniqueCount="256">
  <si>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</si>
  <si>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</si>
  <si>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</si>
  <si>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</si>
  <si>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</si>
  <si>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</si>
  <si>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</si>
  <si>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</si>
  <si>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</si>
  <si>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</si>
  <si>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</si>
  <si>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</si>
  <si>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</si>
  <si>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</si>
  <si>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</si>
  <si>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</si>
  <si>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</si>
  <si>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</si>
  <si>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</si>
  <si>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</si>
  <si>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</si>
  <si>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</si>
  <si>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</si>
  <si>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</si>
  <si>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</si>
  <si>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</si>
  <si>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</si>
  <si>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</si>
  <si>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</si>
  <si>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</si>
  <si>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</si>
  <si>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</si>
  <si>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</si>
  <si>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</si>
  <si>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</si>
  <si>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</si>
  <si>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</si>
  <si>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</si>
  <si>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</si>
  <si>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</si>
  <si>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</si>
  <si>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</si>
  <si>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</si>
  <si>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</si>
  <si>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</si>
  <si>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</si>
  <si>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</si>
  <si>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</si>
  <si>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</si>
  <si>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</si>
  <si>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</si>
  <si>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</si>
  <si>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</si>
  <si>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</si>
  <si>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</si>
  <si>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</si>
  <si>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</si>
  <si>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</si>
  <si>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</si>
  <si>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</si>
  <si>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</si>
  <si>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</si>
  <si>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</si>
  <si>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</si>
  <si>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</si>
  <si>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</si>
  <si>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</si>
  <si>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</si>
  <si>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</si>
  <si>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</si>
  <si>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</si>
  <si>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</si>
  <si>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</si>
  <si>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</si>
  <si>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</si>
  <si>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</si>
  <si>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</si>
  <si>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</si>
  <si>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</si>
  <si>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</si>
  <si>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</si>
  <si>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</si>
  <si>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</si>
  <si>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</si>
  <si>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</si>
  <si>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</si>
  <si>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</si>
  <si>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</si>
  <si>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</si>
  <si>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</si>
  <si>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</si>
  <si>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</si>
  <si>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</si>
  <si>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</si>
  <si>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</si>
  <si>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</si>
  <si>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</si>
  <si>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</si>
  <si>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</si>
  <si>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</si>
  <si>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</si>
  <si>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</si>
  <si>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</si>
  <si>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</si>
  <si>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</si>
  <si>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</si>
  <si>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</si>
  <si>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</si>
  <si>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</si>
  <si>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</si>
  <si>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</si>
  <si>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</si>
  <si>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</si>
  <si>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</si>
  <si>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</si>
  <si>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</si>
  <si>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</si>
  <si>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</si>
  <si>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</si>
  <si>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</si>
  <si>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</si>
  <si>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</si>
  <si>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</si>
  <si>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</si>
  <si>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</si>
  <si>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</si>
  <si>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</si>
  <si>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</si>
  <si>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</si>
  <si>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</si>
  <si>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</si>
  <si>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</si>
  <si>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</si>
  <si>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</si>
  <si>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</si>
  <si>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</si>
  <si>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</si>
  <si>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</si>
  <si>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</si>
  <si>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</si>
  <si>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</si>
  <si>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</si>
  <si>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</si>
  <si>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</si>
  <si>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</si>
  <si>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</si>
  <si>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</si>
  <si>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</si>
  <si>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</si>
  <si>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</si>
  <si>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</si>
  <si>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</si>
  <si>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</si>
  <si>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</si>
  <si>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</si>
  <si>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</si>
  <si>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</si>
  <si>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</si>
  <si>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</si>
  <si>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</si>
  <si>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</si>
  <si>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</si>
  <si>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</si>
  <si>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</si>
  <si>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</si>
  <si>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</si>
  <si>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</si>
  <si>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</si>
  <si>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</si>
  <si>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</si>
  <si>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</si>
  <si>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</si>
  <si>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</si>
  <si>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</si>
  <si>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</si>
  <si>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</si>
  <si>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</si>
  <si>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</si>
  <si>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</si>
  <si>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</si>
  <si>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</si>
  <si>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</si>
  <si>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</si>
  <si>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</si>
  <si>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</si>
  <si>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</si>
  <si>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</si>
  <si>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</si>
  <si>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</si>
  <si>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</si>
  <si>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</si>
  <si>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</si>
  <si>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</si>
  <si>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</si>
  <si>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</si>
  <si>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</si>
  <si>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</si>
  <si>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</si>
  <si>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</si>
  <si>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</si>
  <si>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</si>
  <si>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</si>
  <si>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</si>
  <si>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</si>
  <si>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</si>
  <si>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</si>
  <si>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</si>
  <si>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</si>
  <si>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</si>
  <si>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</si>
  <si>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</si>
  <si>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</si>
  <si>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</si>
  <si>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</si>
  <si>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</si>
  <si>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</si>
  <si>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</si>
  <si>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</si>
  <si>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</si>
  <si>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</si>
  <si>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</si>
  <si>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</si>
  <si>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</si>
  <si>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</si>
  <si>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</si>
  <si>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</si>
  <si>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</si>
  <si>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</si>
  <si>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</si>
  <si>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</si>
  <si>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</si>
  <si>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</si>
  <si>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</si>
  <si>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</si>
  <si>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</si>
  <si>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</si>
  <si>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</si>
  <si>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</si>
  <si>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</si>
  <si>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</si>
  <si>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</si>
  <si>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</si>
  <si>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</si>
  <si>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</si>
  <si>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</si>
  <si>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</si>
  <si>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</si>
  <si>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</si>
  <si>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</si>
  <si>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</si>
  <si>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</si>
  <si>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</si>
  <si>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超フェス確率</t>
    <rPh sb="0" eb="1">
      <t>チョウf</t>
    </rPh>
    <phoneticPr fontId="21"/>
  </si>
  <si>
    <t>tables_541100</t>
    <phoneticPr fontId="21"/>
  </si>
  <si>
    <t>tables_541010</t>
    <phoneticPr fontId="21"/>
  </si>
  <si>
    <t>tables_settle_541100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</si>
</sst>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1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  <xf numFmtId="0" fontId="26" fillId="4" borderId="0" xfId="2" applyFont="1" applyFill="1" applyAlignment="1">
      <alignment vertical="center"/>
    </xf>
    <xf numFmtId="177" fontId="0" fillId="0" borderId="0" xfId="0" applyNumberFormat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1409</v>
          </cell>
          <cell r="B1382" t="str">
            <v>ja</v>
          </cell>
          <cell r="C1382" t="str">
            <v>ましろR5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heal</v>
          </cell>
          <cell r="L1382" t="str">
            <v>回復タイプ</v>
          </cell>
          <cell r="M1382" t="str">
            <v>human</v>
          </cell>
        </row>
        <row r="1383">
          <cell r="A1383">
            <v>1410</v>
          </cell>
          <cell r="B1383" t="str">
            <v>ja</v>
          </cell>
          <cell r="C1383" t="str">
            <v>ましろR6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heal</v>
          </cell>
          <cell r="L1383" t="str">
            <v>回復タイプ</v>
          </cell>
          <cell r="M1383" t="str">
            <v>human</v>
          </cell>
        </row>
        <row r="1384">
          <cell r="A1384">
            <v>1414</v>
          </cell>
          <cell r="B1384" t="str">
            <v>ja</v>
          </cell>
          <cell r="C1384" t="str">
            <v>炎のミリオンダック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red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1415</v>
          </cell>
          <cell r="B1385" t="str">
            <v>ja</v>
          </cell>
          <cell r="C1385" t="str">
            <v>森のミリオンダック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green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1416</v>
          </cell>
          <cell r="B1386" t="str">
            <v>ja</v>
          </cell>
          <cell r="C1386" t="str">
            <v>水のミリオンダック 7</v>
          </cell>
          <cell r="D1386" t="str">
            <v>未定</v>
          </cell>
          <cell r="E1386" t="str">
            <v>執行者</v>
          </cell>
          <cell r="F1386" t="str">
            <v>格好いい</v>
          </cell>
          <cell r="G1386" t="str">
            <v>不明</v>
          </cell>
          <cell r="H1386" t="str">
            <v>blue</v>
          </cell>
          <cell r="I1386">
            <v>6</v>
          </cell>
          <cell r="J1386" t="str">
            <v>Material</v>
          </cell>
          <cell r="K1386" t="str">
            <v>exp</v>
          </cell>
          <cell r="L1386" t="str">
            <v>強化素材タイプ</v>
          </cell>
          <cell r="M1386" t="str">
            <v>unknown</v>
          </cell>
        </row>
        <row r="1387">
          <cell r="A1387">
            <v>1417</v>
          </cell>
          <cell r="B1387" t="str">
            <v>ja</v>
          </cell>
          <cell r="C1387" t="str">
            <v>雷のミリオンダック 7</v>
          </cell>
          <cell r="D1387" t="str">
            <v>未定</v>
          </cell>
          <cell r="E1387" t="str">
            <v>執行者</v>
          </cell>
          <cell r="F1387" t="str">
            <v>格好いい</v>
          </cell>
          <cell r="G1387" t="str">
            <v>不明</v>
          </cell>
          <cell r="H1387" t="str">
            <v>yellow</v>
          </cell>
          <cell r="I1387">
            <v>6</v>
          </cell>
          <cell r="J1387" t="str">
            <v>Material</v>
          </cell>
          <cell r="K1387" t="str">
            <v>exp</v>
          </cell>
          <cell r="L1387" t="str">
            <v>強化素材タイプ</v>
          </cell>
          <cell r="M1387" t="str">
            <v>unknown</v>
          </cell>
        </row>
        <row r="1388">
          <cell r="A1388">
            <v>1418</v>
          </cell>
          <cell r="B1388" t="str">
            <v>ja</v>
          </cell>
          <cell r="C1388" t="str">
            <v>メリッサR5</v>
          </cell>
          <cell r="H1388" t="str">
            <v>red</v>
          </cell>
          <cell r="I1388">
            <v>5</v>
          </cell>
          <cell r="J1388" t="str">
            <v>DropWizS</v>
          </cell>
          <cell r="K1388" t="str">
            <v>technical</v>
          </cell>
          <cell r="L1388" t="str">
            <v>テクニカルタイプ</v>
          </cell>
          <cell r="M1388" t="str">
            <v>unknown</v>
          </cell>
        </row>
        <row r="1389">
          <cell r="A1389">
            <v>1419</v>
          </cell>
          <cell r="B1389" t="str">
            <v>ja</v>
          </cell>
          <cell r="C1389" t="str">
            <v>メリッサR6</v>
          </cell>
          <cell r="H1389" t="str">
            <v>red</v>
          </cell>
          <cell r="I1389">
            <v>6</v>
          </cell>
          <cell r="J1389" t="str">
            <v>DropWizS</v>
          </cell>
          <cell r="K1389" t="str">
            <v>technical</v>
          </cell>
          <cell r="L1389" t="str">
            <v>テクニカルタイプ</v>
          </cell>
          <cell r="M1389" t="str">
            <v>unknown</v>
          </cell>
        </row>
        <row r="1390">
          <cell r="A1390">
            <v>1420</v>
          </cell>
          <cell r="B1390" t="str">
            <v>ja</v>
          </cell>
          <cell r="C1390" t="str">
            <v>モリスR5</v>
          </cell>
          <cell r="H1390" t="str">
            <v>blue</v>
          </cell>
          <cell r="I1390">
            <v>5</v>
          </cell>
          <cell r="J1390" t="str">
            <v>DropWizS</v>
          </cell>
          <cell r="K1390" t="str">
            <v>balance</v>
          </cell>
          <cell r="L1390" t="str">
            <v>バランスタイプ</v>
          </cell>
          <cell r="M1390" t="str">
            <v>unknown</v>
          </cell>
        </row>
        <row r="1391">
          <cell r="A1391">
            <v>1421</v>
          </cell>
          <cell r="B1391" t="str">
            <v>ja</v>
          </cell>
          <cell r="C1391" t="str">
            <v>モリスR6</v>
          </cell>
          <cell r="H1391" t="str">
            <v>blue</v>
          </cell>
          <cell r="I1391">
            <v>6</v>
          </cell>
          <cell r="J1391" t="str">
            <v>DropWizS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1422</v>
          </cell>
          <cell r="B1392" t="str">
            <v>ja</v>
          </cell>
          <cell r="C1392" t="str">
            <v>解錠放散性ニムダE</v>
          </cell>
          <cell r="H1392" t="str">
            <v>yellow</v>
          </cell>
          <cell r="I1392">
            <v>5</v>
          </cell>
          <cell r="J1392" t="str">
            <v>DropWizS</v>
          </cell>
          <cell r="K1392" t="str">
            <v>hp</v>
          </cell>
          <cell r="L1392" t="str">
            <v>体力タイプ</v>
          </cell>
          <cell r="M1392" t="str">
            <v>unknown</v>
          </cell>
        </row>
        <row r="1393">
          <cell r="A1393">
            <v>1423</v>
          </cell>
          <cell r="B1393" t="str">
            <v>ja</v>
          </cell>
          <cell r="C1393" t="str">
            <v>電播する環染 ニムダ</v>
          </cell>
          <cell r="H1393" t="str">
            <v>yellow</v>
          </cell>
          <cell r="I1393">
            <v>6</v>
          </cell>
          <cell r="J1393" t="str">
            <v>DropWizS</v>
          </cell>
          <cell r="K1393" t="str">
            <v>hp</v>
          </cell>
          <cell r="L1393" t="str">
            <v>体力タイプ</v>
          </cell>
          <cell r="M1393" t="str">
            <v>unknown</v>
          </cell>
        </row>
        <row r="1394">
          <cell r="A1394">
            <v>1424</v>
          </cell>
          <cell r="B1394" t="str">
            <v>ja</v>
          </cell>
          <cell r="C1394" t="str">
            <v>波打際の宴麗 フロイト</v>
          </cell>
          <cell r="H1394" t="str">
            <v>blue</v>
          </cell>
          <cell r="I1394">
            <v>6</v>
          </cell>
          <cell r="J1394" t="str">
            <v>PremiumSSS</v>
          </cell>
          <cell r="K1394" t="str">
            <v>balance</v>
          </cell>
          <cell r="L1394" t="str">
            <v>バランスタイプ</v>
          </cell>
          <cell r="M1394" t="str">
            <v>academia</v>
          </cell>
        </row>
        <row r="1395">
          <cell r="A1395">
            <v>1504</v>
          </cell>
          <cell r="B1395" t="str">
            <v>ja</v>
          </cell>
          <cell r="C1395" t="str">
            <v>magenta01</v>
          </cell>
          <cell r="H1395" t="str">
            <v>red</v>
          </cell>
          <cell r="I1395">
            <v>1</v>
          </cell>
          <cell r="J1395" t="str">
            <v>Drop1T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1505</v>
          </cell>
          <cell r="B1396" t="str">
            <v>ja</v>
          </cell>
          <cell r="C1396" t="str">
            <v>amber01</v>
          </cell>
          <cell r="H1396" t="str">
            <v>green</v>
          </cell>
          <cell r="I1396">
            <v>1</v>
          </cell>
          <cell r="J1396" t="str">
            <v>Drop1T</v>
          </cell>
          <cell r="K1396" t="str">
            <v>hp</v>
          </cell>
          <cell r="L1396" t="str">
            <v>体力タイプ</v>
          </cell>
          <cell r="M1396" t="str">
            <v>unknown</v>
          </cell>
        </row>
        <row r="1397">
          <cell r="A1397">
            <v>1506</v>
          </cell>
          <cell r="B1397" t="str">
            <v>ja</v>
          </cell>
          <cell r="C1397" t="str">
            <v>pumpkin01</v>
          </cell>
          <cell r="H1397" t="str">
            <v>yellow</v>
          </cell>
          <cell r="I1397">
            <v>2</v>
          </cell>
          <cell r="J1397" t="str">
            <v>Drop1S</v>
          </cell>
          <cell r="K1397" t="str">
            <v>attack</v>
          </cell>
          <cell r="L1397" t="str">
            <v>攻撃タイプ</v>
          </cell>
          <cell r="M1397" t="str">
            <v>unknown</v>
          </cell>
        </row>
        <row r="1398">
          <cell r="A1398">
            <v>1507</v>
          </cell>
          <cell r="B1398" t="str">
            <v>ja</v>
          </cell>
          <cell r="C1398" t="str">
            <v>rose01</v>
          </cell>
          <cell r="H1398" t="str">
            <v>blue</v>
          </cell>
          <cell r="I1398">
            <v>3</v>
          </cell>
          <cell r="J1398" t="str">
            <v>Drop2N</v>
          </cell>
          <cell r="K1398" t="str">
            <v>technical</v>
          </cell>
          <cell r="L1398" t="str">
            <v>テクニカルタイプ</v>
          </cell>
          <cell r="M1398" t="str">
            <v>unknown</v>
          </cell>
        </row>
        <row r="1399">
          <cell r="A1399">
            <v>1508</v>
          </cell>
          <cell r="B1399" t="str">
            <v>ja</v>
          </cell>
          <cell r="C1399" t="str">
            <v>burgundy01</v>
          </cell>
          <cell r="H1399" t="str">
            <v>red</v>
          </cell>
          <cell r="I1399">
            <v>4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unknown</v>
          </cell>
        </row>
        <row r="1400">
          <cell r="A1400">
            <v>1509</v>
          </cell>
          <cell r="B1400" t="str">
            <v>ja</v>
          </cell>
          <cell r="C1400" t="str">
            <v>cyan01</v>
          </cell>
          <cell r="H1400" t="str">
            <v>green</v>
          </cell>
          <cell r="I1400">
            <v>5</v>
          </cell>
          <cell r="J1400" t="str">
            <v>Drop2N</v>
          </cell>
          <cell r="K1400" t="str">
            <v>hp</v>
          </cell>
          <cell r="L1400" t="str">
            <v>体力タイプ</v>
          </cell>
          <cell r="M1400" t="str">
            <v>god</v>
          </cell>
        </row>
        <row r="1401">
          <cell r="A1401">
            <v>1510</v>
          </cell>
          <cell r="B1401" t="str">
            <v>ja</v>
          </cell>
          <cell r="C1401" t="str">
            <v>scarlet01</v>
          </cell>
          <cell r="H1401" t="str">
            <v>yellow</v>
          </cell>
          <cell r="I1401">
            <v>4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god</v>
          </cell>
        </row>
        <row r="1402">
          <cell r="A1402">
            <v>1511</v>
          </cell>
          <cell r="B1402" t="str">
            <v>ja</v>
          </cell>
          <cell r="C1402" t="str">
            <v>scarlet02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1512</v>
          </cell>
          <cell r="B1403" t="str">
            <v>ja</v>
          </cell>
          <cell r="C1403" t="str">
            <v>scarlet03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1513</v>
          </cell>
          <cell r="B1404" t="str">
            <v>ja</v>
          </cell>
          <cell r="C1404" t="str">
            <v>gold01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coin</v>
          </cell>
          <cell r="L1404" t="str">
            <v>コインタイプ</v>
          </cell>
          <cell r="M1404" t="str">
            <v>unknown</v>
          </cell>
        </row>
        <row r="1405">
          <cell r="A1405">
            <v>1514</v>
          </cell>
          <cell r="B1405" t="str">
            <v>ja</v>
          </cell>
          <cell r="C1405" t="str">
            <v>gold02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coin</v>
          </cell>
          <cell r="L1405" t="str">
            <v>コインタイプ</v>
          </cell>
          <cell r="M1405" t="str">
            <v>unknown</v>
          </cell>
        </row>
        <row r="1406">
          <cell r="A1406">
            <v>1515</v>
          </cell>
          <cell r="B1406" t="str">
            <v>ja</v>
          </cell>
          <cell r="C1406" t="str">
            <v>red01</v>
          </cell>
          <cell r="H1406" t="str">
            <v>red</v>
          </cell>
          <cell r="I1406">
            <v>4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1516</v>
          </cell>
          <cell r="B1407" t="str">
            <v>ja</v>
          </cell>
          <cell r="C1407" t="str">
            <v>red02</v>
          </cell>
          <cell r="H1407" t="str">
            <v>red</v>
          </cell>
          <cell r="I1407">
            <v>5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1517</v>
          </cell>
          <cell r="B1408" t="str">
            <v>ja</v>
          </cell>
          <cell r="C1408" t="str">
            <v>blue01</v>
          </cell>
          <cell r="H1408" t="str">
            <v>blue</v>
          </cell>
          <cell r="I1408">
            <v>4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1518</v>
          </cell>
          <cell r="B1409" t="str">
            <v>ja</v>
          </cell>
          <cell r="C1409" t="str">
            <v>blue02</v>
          </cell>
          <cell r="H1409" t="str">
            <v>blue</v>
          </cell>
          <cell r="I1409">
            <v>5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1519</v>
          </cell>
          <cell r="B1410" t="str">
            <v>ja</v>
          </cell>
          <cell r="C1410" t="str">
            <v>green01</v>
          </cell>
          <cell r="H1410" t="str">
            <v>green</v>
          </cell>
          <cell r="I1410">
            <v>4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1520</v>
          </cell>
          <cell r="B1411" t="str">
            <v>ja</v>
          </cell>
          <cell r="C1411" t="str">
            <v>green02</v>
          </cell>
          <cell r="H1411" t="str">
            <v>green</v>
          </cell>
          <cell r="I1411">
            <v>5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1521</v>
          </cell>
          <cell r="B1412" t="str">
            <v>ja</v>
          </cell>
          <cell r="C1412" t="str">
            <v>yellow01</v>
          </cell>
          <cell r="H1412" t="str">
            <v>yellow</v>
          </cell>
          <cell r="I1412">
            <v>4</v>
          </cell>
          <cell r="J1412" t="str">
            <v>Material</v>
          </cell>
          <cell r="K1412" t="str">
            <v>exp</v>
          </cell>
          <cell r="L1412" t="str">
            <v>強化素材タイプ</v>
          </cell>
          <cell r="M1412" t="str">
            <v>unknown</v>
          </cell>
        </row>
        <row r="1413">
          <cell r="A1413">
            <v>1522</v>
          </cell>
          <cell r="B1413" t="str">
            <v>ja</v>
          </cell>
          <cell r="C1413" t="str">
            <v>yellow02</v>
          </cell>
          <cell r="H1413" t="str">
            <v>yellow</v>
          </cell>
          <cell r="I1413">
            <v>5</v>
          </cell>
          <cell r="J1413" t="str">
            <v>Material</v>
          </cell>
          <cell r="K1413" t="str">
            <v>exp</v>
          </cell>
          <cell r="L1413" t="str">
            <v>強化素材タイプ</v>
          </cell>
          <cell r="M1413" t="str">
            <v>unknown</v>
          </cell>
        </row>
        <row r="1414">
          <cell r="A1414">
            <v>1523</v>
          </cell>
          <cell r="B1414" t="str">
            <v>ja</v>
          </cell>
          <cell r="C1414" t="str">
            <v>olive01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animal</v>
          </cell>
        </row>
        <row r="1415">
          <cell r="A1415">
            <v>1524</v>
          </cell>
          <cell r="B1415" t="str">
            <v>ja</v>
          </cell>
          <cell r="C1415" t="str">
            <v>olive02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animal</v>
          </cell>
        </row>
        <row r="1416">
          <cell r="A1416">
            <v>1525</v>
          </cell>
          <cell r="B1416" t="str">
            <v>ja</v>
          </cell>
          <cell r="C1416" t="str">
            <v>white01</v>
          </cell>
          <cell r="H1416" t="str">
            <v>red</v>
          </cell>
          <cell r="I1416">
            <v>5</v>
          </cell>
          <cell r="J1416" t="str">
            <v>DropWizSS</v>
          </cell>
          <cell r="K1416" t="str">
            <v>balance</v>
          </cell>
          <cell r="L1416" t="str">
            <v>バランスタイプ</v>
          </cell>
          <cell r="M1416" t="str">
            <v>animal</v>
          </cell>
        </row>
        <row r="1417">
          <cell r="A1417">
            <v>1526</v>
          </cell>
          <cell r="B1417" t="str">
            <v>ja</v>
          </cell>
          <cell r="C1417" t="str">
            <v>white02</v>
          </cell>
          <cell r="H1417" t="str">
            <v>red</v>
          </cell>
          <cell r="I1417">
            <v>6</v>
          </cell>
          <cell r="J1417" t="str">
            <v>DropWizSS</v>
          </cell>
          <cell r="K1417" t="str">
            <v>balance</v>
          </cell>
          <cell r="L1417" t="str">
            <v>バランスタイプ</v>
          </cell>
          <cell r="M1417" t="str">
            <v>animal</v>
          </cell>
        </row>
        <row r="1418">
          <cell r="A1418">
            <v>1527</v>
          </cell>
          <cell r="B1418" t="str">
            <v>ja</v>
          </cell>
          <cell r="C1418" t="str">
            <v>violet01</v>
          </cell>
          <cell r="H1418" t="str">
            <v>red</v>
          </cell>
          <cell r="I1418">
            <v>4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animal</v>
          </cell>
        </row>
        <row r="1419">
          <cell r="A1419">
            <v>1528</v>
          </cell>
          <cell r="B1419" t="str">
            <v>ja</v>
          </cell>
          <cell r="C1419" t="str">
            <v>violet02</v>
          </cell>
          <cell r="H1419" t="str">
            <v>red</v>
          </cell>
          <cell r="I1419">
            <v>5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animal</v>
          </cell>
        </row>
        <row r="1420">
          <cell r="A1420">
            <v>1529</v>
          </cell>
          <cell r="B1420" t="str">
            <v>ja</v>
          </cell>
          <cell r="C1420" t="str">
            <v>mint01</v>
          </cell>
          <cell r="H1420" t="str">
            <v>blue</v>
          </cell>
          <cell r="I1420">
            <v>4</v>
          </cell>
          <cell r="J1420" t="str">
            <v>PremiumS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1530</v>
          </cell>
          <cell r="B1421" t="str">
            <v>ja</v>
          </cell>
          <cell r="C1421" t="str">
            <v>mint02</v>
          </cell>
          <cell r="H1421" t="str">
            <v>blue</v>
          </cell>
          <cell r="I1421">
            <v>5</v>
          </cell>
          <cell r="J1421" t="str">
            <v>PremiumS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1531</v>
          </cell>
          <cell r="B1422" t="str">
            <v>ja</v>
          </cell>
          <cell r="C1422" t="str">
            <v>gray01</v>
          </cell>
          <cell r="H1422" t="str">
            <v>green</v>
          </cell>
          <cell r="I1422">
            <v>4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animal</v>
          </cell>
        </row>
        <row r="1423">
          <cell r="A1423">
            <v>1532</v>
          </cell>
          <cell r="B1423" t="str">
            <v>ja</v>
          </cell>
          <cell r="C1423" t="str">
            <v>gray02</v>
          </cell>
          <cell r="H1423" t="str">
            <v>green</v>
          </cell>
          <cell r="I1423">
            <v>5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animal</v>
          </cell>
        </row>
        <row r="1424">
          <cell r="A1424">
            <v>1533</v>
          </cell>
          <cell r="B1424" t="str">
            <v>ja</v>
          </cell>
          <cell r="C1424" t="str">
            <v>maroon01</v>
          </cell>
          <cell r="H1424" t="str">
            <v>yellow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animal</v>
          </cell>
        </row>
        <row r="1425">
          <cell r="A1425">
            <v>1534</v>
          </cell>
          <cell r="B1425" t="str">
            <v>ja</v>
          </cell>
          <cell r="C1425" t="str">
            <v>maroon02</v>
          </cell>
          <cell r="H1425" t="str">
            <v>yellow</v>
          </cell>
          <cell r="I1425">
            <v>5</v>
          </cell>
          <cell r="J1425" t="str">
            <v>PremiumS</v>
          </cell>
          <cell r="K1425" t="str">
            <v>attack</v>
          </cell>
          <cell r="L1425" t="str">
            <v>攻撃タイプ</v>
          </cell>
          <cell r="M1425" t="str">
            <v>animal</v>
          </cell>
        </row>
        <row r="1426">
          <cell r="A1426">
            <v>1535</v>
          </cell>
          <cell r="B1426" t="str">
            <v>ja</v>
          </cell>
          <cell r="C1426" t="str">
            <v>pink01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technical</v>
          </cell>
          <cell r="L1426" t="str">
            <v>テクニカルタイプ</v>
          </cell>
          <cell r="M1426" t="str">
            <v>god</v>
          </cell>
        </row>
        <row r="1427">
          <cell r="A1427">
            <v>1536</v>
          </cell>
          <cell r="B1427" t="str">
            <v>ja</v>
          </cell>
          <cell r="C1427" t="str">
            <v>pink02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technical</v>
          </cell>
          <cell r="L1427" t="str">
            <v>テクニカルタイプ</v>
          </cell>
          <cell r="M1427" t="str">
            <v>god</v>
          </cell>
        </row>
        <row r="1428">
          <cell r="A1428">
            <v>1537</v>
          </cell>
          <cell r="B1428" t="str">
            <v>ja</v>
          </cell>
          <cell r="C1428" t="str">
            <v>black01</v>
          </cell>
          <cell r="H1428" t="str">
            <v>blue</v>
          </cell>
          <cell r="I1428">
            <v>5</v>
          </cell>
          <cell r="J1428" t="str">
            <v>PremiumSSS</v>
          </cell>
          <cell r="K1428" t="str">
            <v>attack</v>
          </cell>
          <cell r="L1428" t="str">
            <v>攻撃タイプ</v>
          </cell>
          <cell r="M1428" t="str">
            <v>unknown</v>
          </cell>
        </row>
        <row r="1429">
          <cell r="A1429">
            <v>1538</v>
          </cell>
          <cell r="B1429" t="str">
            <v>ja</v>
          </cell>
          <cell r="C1429" t="str">
            <v>black02</v>
          </cell>
          <cell r="H1429" t="str">
            <v>blue</v>
          </cell>
          <cell r="I1429">
            <v>6</v>
          </cell>
          <cell r="J1429" t="str">
            <v>PremiumSSS</v>
          </cell>
          <cell r="K1429" t="str">
            <v>attack</v>
          </cell>
          <cell r="L1429" t="str">
            <v>攻撃タイプ</v>
          </cell>
          <cell r="M1429" t="str">
            <v>unknown</v>
          </cell>
        </row>
        <row r="1430">
          <cell r="A1430">
            <v>1539</v>
          </cell>
          <cell r="B1430" t="str">
            <v>ja</v>
          </cell>
          <cell r="C1430" t="str">
            <v>brown01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attack</v>
          </cell>
          <cell r="L1430" t="str">
            <v>攻撃タイプ</v>
          </cell>
          <cell r="M1430" t="str">
            <v>god</v>
          </cell>
        </row>
        <row r="1431">
          <cell r="A1431">
            <v>1540</v>
          </cell>
          <cell r="B1431" t="str">
            <v>ja</v>
          </cell>
          <cell r="C1431" t="str">
            <v>brown02</v>
          </cell>
          <cell r="H1431" t="str">
            <v>yellow</v>
          </cell>
          <cell r="I1431">
            <v>6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god</v>
          </cell>
        </row>
        <row r="1432">
          <cell r="A1432">
            <v>1541</v>
          </cell>
          <cell r="B1432" t="str">
            <v>ja</v>
          </cell>
          <cell r="C1432" t="str">
            <v>purple01</v>
          </cell>
          <cell r="H1432" t="str">
            <v>red</v>
          </cell>
          <cell r="I1432">
            <v>5</v>
          </cell>
          <cell r="J1432" t="str">
            <v>PremiumSSS</v>
          </cell>
          <cell r="K1432" t="str">
            <v>technical</v>
          </cell>
          <cell r="L1432" t="str">
            <v>テクニカルタイプ</v>
          </cell>
          <cell r="M1432" t="str">
            <v>god</v>
          </cell>
        </row>
        <row r="1433">
          <cell r="A1433">
            <v>1542</v>
          </cell>
          <cell r="B1433" t="str">
            <v>ja</v>
          </cell>
          <cell r="C1433" t="str">
            <v>purple02</v>
          </cell>
          <cell r="H1433" t="str">
            <v>red</v>
          </cell>
          <cell r="I1433">
            <v>6</v>
          </cell>
          <cell r="J1433" t="str">
            <v>PremiumSSS</v>
          </cell>
          <cell r="K1433" t="str">
            <v>technical</v>
          </cell>
          <cell r="L1433" t="str">
            <v>テクニカルタイプ</v>
          </cell>
          <cell r="M1433" t="str">
            <v>god</v>
          </cell>
        </row>
        <row r="1434">
          <cell r="A1434">
            <v>1543</v>
          </cell>
          <cell r="B1434" t="str">
            <v>ja</v>
          </cell>
          <cell r="C1434" t="str">
            <v>vanilla01</v>
          </cell>
          <cell r="H1434" t="str">
            <v>blue</v>
          </cell>
          <cell r="I1434">
            <v>6</v>
          </cell>
          <cell r="J1434" t="str">
            <v>PremiumSSS</v>
          </cell>
          <cell r="K1434" t="str">
            <v>attack</v>
          </cell>
          <cell r="L1434" t="str">
            <v>攻撃タイプ</v>
          </cell>
          <cell r="M1434" t="str">
            <v>academia</v>
          </cell>
        </row>
        <row r="1435">
          <cell r="A1435">
            <v>1544</v>
          </cell>
          <cell r="B1435" t="str">
            <v>ja</v>
          </cell>
          <cell r="C1435" t="str">
            <v>vanilla02</v>
          </cell>
          <cell r="H1435" t="str">
            <v>blue</v>
          </cell>
          <cell r="I1435">
            <v>6</v>
          </cell>
          <cell r="J1435" t="str">
            <v>PremiumSSS</v>
          </cell>
          <cell r="K1435" t="str">
            <v>attack</v>
          </cell>
          <cell r="L1435" t="str">
            <v>攻撃タイプ</v>
          </cell>
          <cell r="M1435" t="str">
            <v>academia</v>
          </cell>
        </row>
        <row r="1436">
          <cell r="A1436">
            <v>1545</v>
          </cell>
          <cell r="B1436" t="str">
            <v>ja</v>
          </cell>
          <cell r="C1436" t="str">
            <v>silver01</v>
          </cell>
          <cell r="H1436" t="str">
            <v>green</v>
          </cell>
          <cell r="I1436">
            <v>5</v>
          </cell>
          <cell r="J1436" t="str">
            <v>PremiumSS</v>
          </cell>
          <cell r="K1436" t="str">
            <v>hp</v>
          </cell>
          <cell r="L1436" t="str">
            <v>体力タイプ</v>
          </cell>
          <cell r="M1436" t="str">
            <v>unknown</v>
          </cell>
        </row>
        <row r="1437">
          <cell r="A1437">
            <v>1546</v>
          </cell>
          <cell r="B1437" t="str">
            <v>ja</v>
          </cell>
          <cell r="C1437" t="str">
            <v>silver02</v>
          </cell>
          <cell r="H1437" t="str">
            <v>green</v>
          </cell>
          <cell r="I1437">
            <v>6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unknown</v>
          </cell>
        </row>
        <row r="1438">
          <cell r="A1438">
            <v>1547</v>
          </cell>
          <cell r="B1438" t="str">
            <v>ja</v>
          </cell>
          <cell r="C1438" t="str">
            <v>mauve01</v>
          </cell>
          <cell r="H1438" t="str">
            <v>green</v>
          </cell>
          <cell r="I1438">
            <v>4</v>
          </cell>
          <cell r="J1438" t="str">
            <v>Drop2N</v>
          </cell>
          <cell r="K1438" t="str">
            <v>hp</v>
          </cell>
          <cell r="L1438" t="str">
            <v>体力タイプ</v>
          </cell>
          <cell r="M1438" t="str">
            <v>animal</v>
          </cell>
        </row>
        <row r="1439">
          <cell r="A1439">
            <v>1548</v>
          </cell>
          <cell r="B1439" t="str">
            <v>ja</v>
          </cell>
          <cell r="C1439" t="str">
            <v>mauve02</v>
          </cell>
          <cell r="H1439" t="str">
            <v>green</v>
          </cell>
          <cell r="I1439">
            <v>5</v>
          </cell>
          <cell r="J1439" t="str">
            <v>Drop2N</v>
          </cell>
          <cell r="K1439" t="str">
            <v>hp</v>
          </cell>
          <cell r="L1439" t="str">
            <v>体力タイプ</v>
          </cell>
          <cell r="M1439" t="str">
            <v>animal</v>
          </cell>
        </row>
        <row r="1440">
          <cell r="A1440">
            <v>1549</v>
          </cell>
          <cell r="B1440" t="str">
            <v>ja</v>
          </cell>
          <cell r="C1440" t="str">
            <v>ochre01</v>
          </cell>
          <cell r="H1440" t="str">
            <v>green</v>
          </cell>
          <cell r="I1440">
            <v>5</v>
          </cell>
          <cell r="J1440" t="str">
            <v>DropWizS</v>
          </cell>
          <cell r="K1440" t="str">
            <v>balance</v>
          </cell>
          <cell r="L1440" t="str">
            <v>バランスタイプ</v>
          </cell>
          <cell r="M1440" t="str">
            <v>unknown</v>
          </cell>
        </row>
        <row r="1441">
          <cell r="A1441">
            <v>1550</v>
          </cell>
          <cell r="B1441" t="str">
            <v>ja</v>
          </cell>
          <cell r="C1441" t="str">
            <v>ochre02</v>
          </cell>
          <cell r="H1441" t="str">
            <v>green</v>
          </cell>
          <cell r="I1441">
            <v>6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5001</v>
          </cell>
          <cell r="B1442" t="str">
            <v>ja</v>
          </cell>
          <cell r="C1442" t="str">
            <v>ガルーダ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5</v>
          </cell>
          <cell r="J1442" t="str">
            <v>PremiumSSw</v>
          </cell>
          <cell r="K1442" t="str">
            <v>attack</v>
          </cell>
          <cell r="L1442" t="str">
            <v>攻撃タイプ</v>
          </cell>
          <cell r="M1442" t="str">
            <v>god</v>
          </cell>
        </row>
        <row r="1443">
          <cell r="A1443">
            <v>5002</v>
          </cell>
          <cell r="B1443" t="str">
            <v>ja</v>
          </cell>
          <cell r="C1443" t="str">
            <v>ガルーダ★６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6</v>
          </cell>
          <cell r="J1443" t="str">
            <v>PremiumSSw</v>
          </cell>
          <cell r="K1443" t="str">
            <v>attack</v>
          </cell>
          <cell r="L1443" t="str">
            <v>攻撃タイプ</v>
          </cell>
          <cell r="M1443" t="str">
            <v>god</v>
          </cell>
        </row>
        <row r="1444">
          <cell r="A1444">
            <v>5003</v>
          </cell>
          <cell r="B1444" t="str">
            <v>ja</v>
          </cell>
          <cell r="C1444" t="str">
            <v>ナーガ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green</v>
          </cell>
          <cell r="I1444">
            <v>5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animal</v>
          </cell>
        </row>
        <row r="1445">
          <cell r="A1445">
            <v>5004</v>
          </cell>
          <cell r="B1445" t="str">
            <v>ja</v>
          </cell>
          <cell r="C1445" t="str">
            <v>ナーガ★６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6</v>
          </cell>
          <cell r="J1445" t="str">
            <v>DropWizS</v>
          </cell>
          <cell r="K1445" t="str">
            <v>technical</v>
          </cell>
          <cell r="L1445" t="str">
            <v>テクニカルタイプ</v>
          </cell>
          <cell r="M1445" t="str">
            <v>animal</v>
          </cell>
        </row>
        <row r="1446">
          <cell r="A1446">
            <v>5005</v>
          </cell>
          <cell r="B1446" t="str">
            <v>ja</v>
          </cell>
          <cell r="C1446" t="str">
            <v>カーミラ</v>
          </cell>
          <cell r="D1446" t="str">
            <v>ノーマルクエスト</v>
          </cell>
          <cell r="E1446" t="str">
            <v>QoH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5</v>
          </cell>
          <cell r="J1446" t="str">
            <v>PremiumSSw</v>
          </cell>
          <cell r="K1446" t="str">
            <v>balance</v>
          </cell>
          <cell r="L1446" t="str">
            <v>バランスタイプ</v>
          </cell>
          <cell r="M1446" t="str">
            <v>demon</v>
          </cell>
        </row>
        <row r="1447">
          <cell r="A1447">
            <v>5006</v>
          </cell>
          <cell r="B1447" t="str">
            <v>ja</v>
          </cell>
          <cell r="C1447" t="str">
            <v>カーミラ★６</v>
          </cell>
          <cell r="D1447" t="str">
            <v>ノーマルクエスト</v>
          </cell>
          <cell r="E1447" t="str">
            <v>アバター</v>
          </cell>
          <cell r="F1447" t="str">
            <v>世界観</v>
          </cell>
          <cell r="G1447" t="str">
            <v>男性</v>
          </cell>
          <cell r="H1447" t="str">
            <v>green</v>
          </cell>
          <cell r="I1447">
            <v>6</v>
          </cell>
          <cell r="J1447" t="str">
            <v>PremiumSSw</v>
          </cell>
          <cell r="K1447" t="str">
            <v>balance</v>
          </cell>
          <cell r="L1447" t="str">
            <v>バランスタイプ</v>
          </cell>
          <cell r="M1447" t="str">
            <v>demon</v>
          </cell>
        </row>
        <row r="1448">
          <cell r="A1448">
            <v>5007</v>
          </cell>
          <cell r="B1448" t="str">
            <v>ja</v>
          </cell>
          <cell r="C1448" t="str">
            <v>ヘルシング</v>
          </cell>
          <cell r="D1448" t="str">
            <v>リンクガチャ:4神</v>
          </cell>
          <cell r="E1448" t="str">
            <v>守護神</v>
          </cell>
          <cell r="F1448" t="str">
            <v>格好いい</v>
          </cell>
          <cell r="G1448" t="str">
            <v>不明</v>
          </cell>
          <cell r="H1448" t="str">
            <v>yellow</v>
          </cell>
          <cell r="I1448">
            <v>5</v>
          </cell>
          <cell r="J1448" t="str">
            <v>DropWizS</v>
          </cell>
          <cell r="K1448" t="str">
            <v>attack</v>
          </cell>
          <cell r="L1448" t="str">
            <v>攻撃タイプ</v>
          </cell>
          <cell r="M1448" t="str">
            <v>human</v>
          </cell>
        </row>
        <row r="1449">
          <cell r="A1449">
            <v>5008</v>
          </cell>
          <cell r="B1449" t="str">
            <v>ja</v>
          </cell>
          <cell r="C1449" t="str">
            <v>ヘルシング★６</v>
          </cell>
          <cell r="D1449" t="str">
            <v>ノーマルクエスト</v>
          </cell>
          <cell r="E1449" t="str">
            <v>アバター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DropWizS</v>
          </cell>
          <cell r="K1449" t="str">
            <v>attack</v>
          </cell>
          <cell r="L1449" t="str">
            <v>攻撃タイプ</v>
          </cell>
          <cell r="M1449" t="str">
            <v>human</v>
          </cell>
        </row>
        <row r="1450">
          <cell r="A1450">
            <v>6001</v>
          </cell>
          <cell r="B1450" t="str">
            <v>ja</v>
          </cell>
          <cell r="C1450" t="str">
            <v>ジェリー</v>
          </cell>
          <cell r="D1450" t="str">
            <v>ノーマルクエスト</v>
          </cell>
          <cell r="E1450" t="str">
            <v>QoH</v>
          </cell>
          <cell r="F1450" t="str">
            <v>世界観</v>
          </cell>
          <cell r="G1450" t="str">
            <v>不明</v>
          </cell>
          <cell r="H1450" t="str">
            <v>red</v>
          </cell>
          <cell r="I1450">
            <v>1</v>
          </cell>
          <cell r="J1450" t="str">
            <v>Drop1T</v>
          </cell>
          <cell r="K1450" t="str">
            <v>ra</v>
          </cell>
          <cell r="L1450" t="str">
            <v>ラグランジュチャレンジ</v>
          </cell>
          <cell r="M1450" t="str">
            <v>unknown</v>
          </cell>
        </row>
        <row r="1451">
          <cell r="A1451">
            <v>6002</v>
          </cell>
          <cell r="B1451" t="str">
            <v>ja</v>
          </cell>
          <cell r="C1451" t="str">
            <v>ヨシタカ</v>
          </cell>
          <cell r="D1451" t="str">
            <v>ノーマルクエスト</v>
          </cell>
          <cell r="E1451" t="str">
            <v>アバター</v>
          </cell>
          <cell r="F1451" t="str">
            <v>世界観</v>
          </cell>
          <cell r="G1451" t="str">
            <v>男性</v>
          </cell>
          <cell r="H1451" t="str">
            <v>red</v>
          </cell>
          <cell r="I1451">
            <v>2</v>
          </cell>
          <cell r="J1451" t="str">
            <v>Drop1N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6003</v>
          </cell>
          <cell r="B1452" t="str">
            <v>ja</v>
          </cell>
          <cell r="C1452" t="str">
            <v>朱雀</v>
          </cell>
          <cell r="D1452" t="str">
            <v>リンクガチャ:4神</v>
          </cell>
          <cell r="E1452" t="str">
            <v>守護神</v>
          </cell>
          <cell r="F1452" t="str">
            <v>格好いい</v>
          </cell>
          <cell r="G1452" t="str">
            <v>不明</v>
          </cell>
          <cell r="H1452" t="str">
            <v>red</v>
          </cell>
          <cell r="I1452">
            <v>3</v>
          </cell>
          <cell r="J1452" t="str">
            <v>Drop2N</v>
          </cell>
          <cell r="K1452" t="str">
            <v>ra</v>
          </cell>
          <cell r="L1452" t="str">
            <v>ラグランジュチャレンジ</v>
          </cell>
          <cell r="M1452" t="str">
            <v>animal</v>
          </cell>
        </row>
        <row r="1453">
          <cell r="A1453">
            <v>6004</v>
          </cell>
          <cell r="B1453" t="str">
            <v>ja</v>
          </cell>
          <cell r="C1453" t="str">
            <v>ブレット</v>
          </cell>
          <cell r="D1453" t="str">
            <v>ノーマルクエスト</v>
          </cell>
          <cell r="E1453" t="str">
            <v>アバター</v>
          </cell>
          <cell r="F1453" t="str">
            <v>世界観</v>
          </cell>
          <cell r="G1453" t="str">
            <v>不明</v>
          </cell>
          <cell r="H1453" t="str">
            <v>red</v>
          </cell>
          <cell r="I1453">
            <v>1</v>
          </cell>
          <cell r="J1453" t="str">
            <v>Drop1W</v>
          </cell>
          <cell r="K1453" t="str">
            <v>ra</v>
          </cell>
          <cell r="L1453" t="str">
            <v>ラグランジュチャレンジ</v>
          </cell>
          <cell r="M1453" t="str">
            <v>animal</v>
          </cell>
        </row>
        <row r="1454">
          <cell r="A1454">
            <v>6005</v>
          </cell>
          <cell r="B1454" t="str">
            <v>ja</v>
          </cell>
          <cell r="C1454" t="str">
            <v>孤神 テティス</v>
          </cell>
          <cell r="D1454" t="str">
            <v>初期ガチャ</v>
          </cell>
          <cell r="E1454" t="str">
            <v>管理者</v>
          </cell>
          <cell r="F1454" t="str">
            <v>美しい</v>
          </cell>
          <cell r="G1454" t="str">
            <v>女性</v>
          </cell>
          <cell r="H1454" t="str">
            <v>blue</v>
          </cell>
          <cell r="I1454">
            <v>4</v>
          </cell>
          <cell r="J1454" t="str">
            <v>PremiumN</v>
          </cell>
          <cell r="K1454" t="str">
            <v>ra</v>
          </cell>
          <cell r="L1454" t="str">
            <v>ラグランジュチャレンジ</v>
          </cell>
          <cell r="M1454" t="str">
            <v>god</v>
          </cell>
        </row>
        <row r="1455">
          <cell r="A1455">
            <v>6006</v>
          </cell>
          <cell r="B1455" t="str">
            <v>ja</v>
          </cell>
          <cell r="C1455" t="str">
            <v>海底の孤高神 テティス</v>
          </cell>
          <cell r="D1455" t="str">
            <v>初期ガチャ</v>
          </cell>
          <cell r="E1455" t="str">
            <v>管理者</v>
          </cell>
          <cell r="F1455" t="str">
            <v>美しい</v>
          </cell>
          <cell r="G1455" t="str">
            <v>女性</v>
          </cell>
          <cell r="H1455" t="str">
            <v>blue</v>
          </cell>
          <cell r="I1455">
            <v>5</v>
          </cell>
          <cell r="J1455" t="str">
            <v>PremiumN</v>
          </cell>
          <cell r="K1455" t="str">
            <v>ra</v>
          </cell>
          <cell r="L1455" t="str">
            <v>ラグランジュチャレンジ</v>
          </cell>
          <cell r="M1455" t="str">
            <v>god</v>
          </cell>
        </row>
        <row r="1456">
          <cell r="A1456">
            <v>6007</v>
          </cell>
          <cell r="B1456" t="str">
            <v>ja</v>
          </cell>
          <cell r="C1456" t="str">
            <v>番犬 ケルベロス</v>
          </cell>
          <cell r="D1456" t="str">
            <v>初期ガチャ</v>
          </cell>
          <cell r="E1456" t="str">
            <v>破界者</v>
          </cell>
          <cell r="F1456" t="str">
            <v>可愛い</v>
          </cell>
          <cell r="G1456" t="str">
            <v>女性</v>
          </cell>
          <cell r="H1456" t="str">
            <v>red</v>
          </cell>
          <cell r="I1456">
            <v>4</v>
          </cell>
          <cell r="J1456" t="str">
            <v>PremiumN</v>
          </cell>
          <cell r="K1456" t="str">
            <v>ra</v>
          </cell>
          <cell r="L1456" t="str">
            <v>ラグランジュチャレンジ</v>
          </cell>
          <cell r="M1456" t="str">
            <v>animal</v>
          </cell>
        </row>
        <row r="1457">
          <cell r="A1457">
            <v>6008</v>
          </cell>
          <cell r="B1457" t="str">
            <v>ja</v>
          </cell>
          <cell r="C1457" t="str">
            <v>焔神 プロメテウス</v>
          </cell>
          <cell r="D1457" t="str">
            <v>初期ガチャ</v>
          </cell>
          <cell r="E1457" t="str">
            <v>管理者</v>
          </cell>
          <cell r="F1457" t="str">
            <v>格好いい</v>
          </cell>
          <cell r="G1457" t="str">
            <v>男性</v>
          </cell>
          <cell r="H1457" t="str">
            <v>red</v>
          </cell>
          <cell r="I1457">
            <v>4</v>
          </cell>
          <cell r="J1457" t="str">
            <v>PremiumN</v>
          </cell>
          <cell r="K1457" t="str">
            <v>ra</v>
          </cell>
          <cell r="L1457" t="str">
            <v>ラグランジュチャレンジ</v>
          </cell>
          <cell r="M1457" t="str">
            <v>god</v>
          </cell>
        </row>
        <row r="1458">
          <cell r="A1458">
            <v>6009</v>
          </cell>
          <cell r="B1458" t="str">
            <v>ja</v>
          </cell>
          <cell r="C1458" t="str">
            <v>超越自我 ラグランジュ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5</v>
          </cell>
          <cell r="J1458" t="str">
            <v>PremiumSSS</v>
          </cell>
          <cell r="K1458" t="str">
            <v>ra</v>
          </cell>
          <cell r="L1458" t="str">
            <v>ラグランジュチャレンジ</v>
          </cell>
          <cell r="M1458" t="str">
            <v>human</v>
          </cell>
        </row>
        <row r="1459">
          <cell r="A1459">
            <v>6010</v>
          </cell>
          <cell r="B1459" t="str">
            <v>ja</v>
          </cell>
          <cell r="C1459" t="str">
            <v>超越凌駕 ラグランジュ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6</v>
          </cell>
          <cell r="J1459" t="str">
            <v>PremiumSSS</v>
          </cell>
          <cell r="K1459" t="str">
            <v>ra</v>
          </cell>
          <cell r="L1459" t="str">
            <v>ラグランジュチャレンジ</v>
          </cell>
          <cell r="M1459" t="str">
            <v>human</v>
          </cell>
        </row>
        <row r="1460">
          <cell r="A1460">
            <v>6011</v>
          </cell>
          <cell r="B1460" t="str">
            <v>ja</v>
          </cell>
          <cell r="C1460" t="str">
            <v>パトドッグリーダー ポチ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blue</v>
          </cell>
          <cell r="I1460">
            <v>2</v>
          </cell>
          <cell r="J1460" t="str">
            <v>Drop1T</v>
          </cell>
          <cell r="K1460" t="str">
            <v>ra002</v>
          </cell>
          <cell r="L1460" t="str">
            <v>ユークリッドチャレンジ</v>
          </cell>
          <cell r="M1460" t="str">
            <v>unknown</v>
          </cell>
        </row>
        <row r="1461">
          <cell r="A1461">
            <v>6012</v>
          </cell>
          <cell r="B1461" t="str">
            <v>ja</v>
          </cell>
          <cell r="C1461" t="str">
            <v>ミミ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yellow</v>
          </cell>
          <cell r="I1461">
            <v>1</v>
          </cell>
          <cell r="J1461" t="str">
            <v>Drop1W</v>
          </cell>
          <cell r="K1461" t="str">
            <v>ra002</v>
          </cell>
          <cell r="L1461" t="str">
            <v>ユークリッドチャレンジ</v>
          </cell>
          <cell r="M1461" t="str">
            <v>animal</v>
          </cell>
        </row>
        <row r="1462">
          <cell r="A1462">
            <v>6013</v>
          </cell>
          <cell r="B1462" t="str">
            <v>ja</v>
          </cell>
          <cell r="C1462" t="str">
            <v>護衛機人 スケアクロウ</v>
          </cell>
          <cell r="D1462" t="str">
            <v>ガチャ:フィーバーフェス02</v>
          </cell>
          <cell r="E1462" t="str">
            <v>執行者</v>
          </cell>
          <cell r="F1462" t="str">
            <v>格好いい</v>
          </cell>
          <cell r="G1462" t="str">
            <v>男性</v>
          </cell>
          <cell r="H1462" t="str">
            <v>blue</v>
          </cell>
          <cell r="I1462">
            <v>2</v>
          </cell>
          <cell r="J1462" t="str">
            <v>Drop1N</v>
          </cell>
          <cell r="K1462" t="str">
            <v>ra002</v>
          </cell>
          <cell r="L1462" t="str">
            <v>ユークリッドチャレンジ</v>
          </cell>
          <cell r="M1462" t="str">
            <v>machine</v>
          </cell>
        </row>
        <row r="1463">
          <cell r="A1463">
            <v>6014</v>
          </cell>
          <cell r="B1463" t="str">
            <v>ja</v>
          </cell>
          <cell r="C1463" t="str">
            <v>月下の人狼 ローレンス</v>
          </cell>
          <cell r="D1463" t="str">
            <v>ガチャ:フィーバーフェス02</v>
          </cell>
          <cell r="E1463" t="str">
            <v>執行者</v>
          </cell>
          <cell r="F1463" t="str">
            <v>格好いい</v>
          </cell>
          <cell r="G1463" t="str">
            <v>男性</v>
          </cell>
          <cell r="H1463" t="str">
            <v>blue</v>
          </cell>
          <cell r="I1463">
            <v>4</v>
          </cell>
          <cell r="J1463" t="str">
            <v>PremiumW</v>
          </cell>
          <cell r="K1463" t="str">
            <v>ra002</v>
          </cell>
          <cell r="L1463" t="str">
            <v>ユークリッドチャレンジ</v>
          </cell>
          <cell r="M1463" t="str">
            <v>animal</v>
          </cell>
        </row>
        <row r="1464">
          <cell r="A1464">
            <v>6015</v>
          </cell>
          <cell r="B1464" t="str">
            <v>ja</v>
          </cell>
          <cell r="C1464" t="str">
            <v>フレイヤ</v>
          </cell>
          <cell r="D1464" t="str">
            <v>ガチャ:フィーバーフェス02</v>
          </cell>
          <cell r="E1464" t="str">
            <v>執行者</v>
          </cell>
          <cell r="F1464" t="str">
            <v>格好いい</v>
          </cell>
          <cell r="G1464" t="str">
            <v>男性</v>
          </cell>
          <cell r="H1464" t="str">
            <v>blue</v>
          </cell>
          <cell r="I1464">
            <v>4</v>
          </cell>
          <cell r="J1464" t="str">
            <v>PremiumSS</v>
          </cell>
          <cell r="K1464" t="str">
            <v>ra002</v>
          </cell>
          <cell r="L1464" t="str">
            <v>ユークリッドチャレンジ</v>
          </cell>
          <cell r="M1464" t="str">
            <v>animal</v>
          </cell>
        </row>
        <row r="1465">
          <cell r="A1465">
            <v>6016</v>
          </cell>
          <cell r="B1465" t="str">
            <v>ja</v>
          </cell>
          <cell r="C1465" t="str">
            <v>根原論理 ユークリッド</v>
          </cell>
          <cell r="D1465" t="str">
            <v>ガチャ:フィーバーフェス02</v>
          </cell>
          <cell r="E1465" t="str">
            <v>執行者</v>
          </cell>
          <cell r="F1465" t="str">
            <v>格好いい</v>
          </cell>
          <cell r="G1465" t="str">
            <v>男性</v>
          </cell>
          <cell r="H1465" t="str">
            <v>blue</v>
          </cell>
          <cell r="I1465">
            <v>5</v>
          </cell>
          <cell r="J1465" t="str">
            <v>PremiumSSS</v>
          </cell>
          <cell r="K1465" t="str">
            <v>ra002</v>
          </cell>
          <cell r="L1465" t="str">
            <v>ユークリッドチャレンジ</v>
          </cell>
          <cell r="M1465" t="str">
            <v>human</v>
          </cell>
        </row>
        <row r="1466">
          <cell r="A1466">
            <v>6017</v>
          </cell>
          <cell r="B1466" t="str">
            <v>ja</v>
          </cell>
          <cell r="C1466" t="str">
            <v>不朽の極論 ユークリッド</v>
          </cell>
          <cell r="D1466" t="str">
            <v>ガチャ:フィーバーフェス02</v>
          </cell>
          <cell r="E1466" t="str">
            <v>執行者</v>
          </cell>
          <cell r="F1466" t="str">
            <v>格好いい</v>
          </cell>
          <cell r="G1466" t="str">
            <v>男性</v>
          </cell>
          <cell r="H1466" t="str">
            <v>blue</v>
          </cell>
          <cell r="I1466">
            <v>6</v>
          </cell>
          <cell r="J1466" t="str">
            <v>PremiumSSS</v>
          </cell>
          <cell r="K1466" t="str">
            <v>ra002</v>
          </cell>
          <cell r="L1466" t="str">
            <v>ユークリッドチャレンジ</v>
          </cell>
          <cell r="M1466" t="str">
            <v>human</v>
          </cell>
        </row>
        <row r="1467">
          <cell r="A1467">
            <v>6018</v>
          </cell>
          <cell r="B1467" t="str">
            <v>ja</v>
          </cell>
          <cell r="C1467" t="str">
            <v>ハヅル</v>
          </cell>
          <cell r="D1467" t="str">
            <v>ガチャ:フィーバーフェス02</v>
          </cell>
          <cell r="E1467" t="str">
            <v>執行者</v>
          </cell>
          <cell r="F1467" t="str">
            <v>格好いい</v>
          </cell>
          <cell r="G1467" t="str">
            <v>男性</v>
          </cell>
          <cell r="H1467" t="str">
            <v>red</v>
          </cell>
          <cell r="I1467">
            <v>4</v>
          </cell>
          <cell r="J1467" t="str">
            <v>PremiumSS</v>
          </cell>
          <cell r="K1467" t="str">
            <v>ra002</v>
          </cell>
          <cell r="L1467" t="str">
            <v>ユークリッドチャレンジ</v>
          </cell>
          <cell r="M1467" t="str">
            <v>animal</v>
          </cell>
        </row>
        <row r="1468">
          <cell r="A1468">
            <v>6019</v>
          </cell>
          <cell r="B1468" t="str">
            <v>ja</v>
          </cell>
          <cell r="C1468" t="str">
            <v>天織羽鶴 ハヅル</v>
          </cell>
          <cell r="D1468" t="str">
            <v>ガチャ:フィーバーフェス02</v>
          </cell>
          <cell r="E1468" t="str">
            <v>執行者</v>
          </cell>
          <cell r="F1468" t="str">
            <v>格好いい</v>
          </cell>
          <cell r="G1468" t="str">
            <v>男性</v>
          </cell>
          <cell r="H1468" t="str">
            <v>red</v>
          </cell>
          <cell r="I1468">
            <v>5</v>
          </cell>
          <cell r="J1468" t="str">
            <v>PremiumSS</v>
          </cell>
          <cell r="K1468" t="str">
            <v>ra002</v>
          </cell>
          <cell r="L1468" t="str">
            <v>ユークリッドチャレンジ</v>
          </cell>
          <cell r="M1468" t="str">
            <v>animal</v>
          </cell>
        </row>
        <row r="1469">
          <cell r="A1469">
            <v>6020</v>
          </cell>
          <cell r="B1469" t="str">
            <v>ja</v>
          </cell>
          <cell r="C1469" t="str">
            <v>ミズチ</v>
          </cell>
          <cell r="D1469" t="str">
            <v>ガチャ:フィーバーフェス02</v>
          </cell>
          <cell r="E1469" t="str">
            <v>執行者</v>
          </cell>
          <cell r="F1469" t="str">
            <v>格好いい</v>
          </cell>
          <cell r="G1469" t="str">
            <v>男性</v>
          </cell>
          <cell r="H1469" t="str">
            <v>blue</v>
          </cell>
          <cell r="I1469">
            <v>4</v>
          </cell>
          <cell r="J1469" t="str">
            <v>PremiumS</v>
          </cell>
          <cell r="K1469" t="str">
            <v>ra002</v>
          </cell>
          <cell r="L1469" t="str">
            <v>ユークリッドチャレンジ</v>
          </cell>
          <cell r="M1469" t="str">
            <v>dragon</v>
          </cell>
        </row>
        <row r="1470">
          <cell r="A1470">
            <v>8001</v>
          </cell>
          <cell r="B1470" t="str">
            <v>ja</v>
          </cell>
          <cell r="C1470" t="str">
            <v>媽祖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8002</v>
          </cell>
          <cell r="B1471" t="str">
            <v>ja</v>
          </cell>
          <cell r="C1471" t="str">
            <v>宣導する天海妃 媽祖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8003</v>
          </cell>
          <cell r="B1472" t="str">
            <v>ja</v>
          </cell>
          <cell r="C1472" t="str">
            <v>蛟龍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不明</v>
          </cell>
          <cell r="H1472" t="str">
            <v>blue</v>
          </cell>
          <cell r="I1472">
            <v>5</v>
          </cell>
          <cell r="J1472" t="str">
            <v>DropWizS</v>
          </cell>
          <cell r="K1472" t="str">
            <v>hp</v>
          </cell>
          <cell r="L1472" t="str">
            <v>体力タイプ</v>
          </cell>
          <cell r="M1472" t="str">
            <v>dragon</v>
          </cell>
        </row>
        <row r="1473">
          <cell r="A1473">
            <v>8004</v>
          </cell>
          <cell r="B1473" t="str">
            <v>ja</v>
          </cell>
          <cell r="C1473" t="str">
            <v>呼嵐の蒼棲龍 蛟龍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不明</v>
          </cell>
          <cell r="H1473" t="str">
            <v>blue</v>
          </cell>
          <cell r="I1473">
            <v>6</v>
          </cell>
          <cell r="J1473" t="str">
            <v>DropWizS</v>
          </cell>
          <cell r="K1473" t="str">
            <v>hp</v>
          </cell>
          <cell r="L1473" t="str">
            <v>体力タイプ</v>
          </cell>
          <cell r="M1473" t="str">
            <v>dragon</v>
          </cell>
        </row>
        <row r="1474">
          <cell r="A1474">
            <v>8005</v>
          </cell>
          <cell r="B1474" t="str">
            <v>ja</v>
          </cell>
          <cell r="C1474" t="str">
            <v>三蔵法師</v>
          </cell>
          <cell r="D1474" t="str">
            <v>イベント:ミクコラボ01</v>
          </cell>
          <cell r="E1474" t="str">
            <v>執行者</v>
          </cell>
          <cell r="F1474" t="str">
            <v>格好いい</v>
          </cell>
          <cell r="G1474" t="str">
            <v>不明</v>
          </cell>
          <cell r="H1474" t="str">
            <v>blue</v>
          </cell>
          <cell r="I1474">
            <v>5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human</v>
          </cell>
        </row>
        <row r="1475">
          <cell r="A1475">
            <v>8006</v>
          </cell>
          <cell r="B1475" t="str">
            <v>ja</v>
          </cell>
          <cell r="C1475" t="str">
            <v>慈戒の呪封使 三蔵法師</v>
          </cell>
          <cell r="D1475" t="str">
            <v>イベント:ミクコラボ01</v>
          </cell>
          <cell r="E1475" t="str">
            <v>執行者</v>
          </cell>
          <cell r="F1475" t="str">
            <v>格好いい</v>
          </cell>
          <cell r="G1475" t="str">
            <v>不明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8007</v>
          </cell>
          <cell r="B1476" t="str">
            <v>ja</v>
          </cell>
          <cell r="C1476" t="str">
            <v>孫悟空</v>
          </cell>
          <cell r="D1476" t="str">
            <v>イベント:ミクコラボ01</v>
          </cell>
          <cell r="E1476" t="str">
            <v>執行者</v>
          </cell>
          <cell r="F1476" t="str">
            <v>格好いい</v>
          </cell>
          <cell r="G1476" t="str">
            <v>不明</v>
          </cell>
          <cell r="H1476" t="str">
            <v>red</v>
          </cell>
          <cell r="I1476">
            <v>5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8008</v>
          </cell>
          <cell r="B1477" t="str">
            <v>ja</v>
          </cell>
          <cell r="C1477" t="str">
            <v>花果の天猿仙人 孫悟空</v>
          </cell>
          <cell r="D1477" t="str">
            <v>イベント:ミクコラボ01</v>
          </cell>
          <cell r="E1477" t="str">
            <v>執行者</v>
          </cell>
          <cell r="F1477" t="str">
            <v>格好いい</v>
          </cell>
          <cell r="G1477" t="str">
            <v>不明</v>
          </cell>
          <cell r="H1477" t="str">
            <v>red</v>
          </cell>
          <cell r="I1477">
            <v>6</v>
          </cell>
          <cell r="J1477" t="str">
            <v>DropWizS</v>
          </cell>
          <cell r="K1477" t="str">
            <v>attack</v>
          </cell>
          <cell r="L1477" t="str">
            <v>攻撃タイプ</v>
          </cell>
          <cell r="M1477" t="str">
            <v>animal</v>
          </cell>
        </row>
        <row r="1478">
          <cell r="A1478">
            <v>8009</v>
          </cell>
          <cell r="B1478" t="str">
            <v>ja</v>
          </cell>
          <cell r="C1478" t="str">
            <v>西王娘娘</v>
          </cell>
          <cell r="D1478" t="str">
            <v>イベント:ミクコラボ01</v>
          </cell>
          <cell r="E1478" t="str">
            <v>執行者</v>
          </cell>
          <cell r="F1478" t="str">
            <v>格好いい</v>
          </cell>
          <cell r="G1478" t="str">
            <v>不明</v>
          </cell>
          <cell r="H1478" t="str">
            <v>green</v>
          </cell>
          <cell r="I1478">
            <v>5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god</v>
          </cell>
        </row>
        <row r="1479">
          <cell r="A1479">
            <v>8010</v>
          </cell>
          <cell r="B1479" t="str">
            <v>ja</v>
          </cell>
          <cell r="C1479" t="str">
            <v>極楽瑶池の聖母 西王娘娘</v>
          </cell>
          <cell r="D1479" t="str">
            <v>イベント:ミクコラボ01</v>
          </cell>
          <cell r="E1479" t="str">
            <v>執行者</v>
          </cell>
          <cell r="F1479" t="str">
            <v>格好いい</v>
          </cell>
          <cell r="G1479" t="str">
            <v>不明</v>
          </cell>
          <cell r="H1479" t="str">
            <v>green</v>
          </cell>
          <cell r="I1479">
            <v>6</v>
          </cell>
          <cell r="J1479" t="str">
            <v>PremiumSS</v>
          </cell>
          <cell r="K1479" t="str">
            <v>attack</v>
          </cell>
          <cell r="L1479" t="str">
            <v>攻撃タイプ</v>
          </cell>
          <cell r="M1479" t="str">
            <v>god</v>
          </cell>
        </row>
        <row r="1480">
          <cell r="A1480">
            <v>8011</v>
          </cell>
          <cell r="B1480" t="str">
            <v>ja</v>
          </cell>
          <cell r="C1480" t="str">
            <v>月下老人</v>
          </cell>
          <cell r="D1480" t="str">
            <v>イベント:ミクコラボ01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5</v>
          </cell>
          <cell r="J1480" t="str">
            <v>DropWizS</v>
          </cell>
          <cell r="K1480" t="str">
            <v>balance</v>
          </cell>
          <cell r="L1480" t="str">
            <v>バランスタイプ</v>
          </cell>
          <cell r="M1480" t="str">
            <v>god</v>
          </cell>
        </row>
        <row r="1481">
          <cell r="A1481">
            <v>8012</v>
          </cell>
          <cell r="B1481" t="str">
            <v>ja</v>
          </cell>
          <cell r="C1481" t="str">
            <v>破戀斬る縁剣 月下老人</v>
          </cell>
          <cell r="D1481" t="str">
            <v>イベント:ミクコラボ01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yellow</v>
          </cell>
          <cell r="I1481">
            <v>6</v>
          </cell>
          <cell r="J1481" t="str">
            <v>DropWizS</v>
          </cell>
          <cell r="K1481" t="str">
            <v>balance</v>
          </cell>
          <cell r="L1481" t="str">
            <v>バランスタイプ</v>
          </cell>
          <cell r="M1481" t="str">
            <v>god</v>
          </cell>
        </row>
        <row r="1482">
          <cell r="A1482">
            <v>8013</v>
          </cell>
          <cell r="B1482" t="str">
            <v>ja</v>
          </cell>
          <cell r="C1482" t="str">
            <v>初音ミクV3</v>
          </cell>
          <cell r="D1482" t="str">
            <v>初音ミクV3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DropWizS</v>
          </cell>
          <cell r="K1482" t="str">
            <v>balance</v>
          </cell>
          <cell r="L1482" t="str">
            <v>バランスタイプ</v>
          </cell>
          <cell r="M1482" t="str">
            <v>unknown</v>
          </cell>
        </row>
        <row r="1483">
          <cell r="A1483">
            <v>8014</v>
          </cell>
          <cell r="B1483" t="str">
            <v>ja</v>
          </cell>
          <cell r="C1483" t="str">
            <v>初音ミクV3</v>
          </cell>
          <cell r="D1483" t="str">
            <v>初音ミクV3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8015</v>
          </cell>
          <cell r="B1484" t="str">
            <v>ja</v>
          </cell>
          <cell r="C1484" t="str">
            <v>初音ミク・アペンド</v>
          </cell>
          <cell r="D1484" t="str">
            <v>初音ミク・アペンド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green</v>
          </cell>
          <cell r="I1484">
            <v>4</v>
          </cell>
          <cell r="J1484" t="str">
            <v>PremiumSSS</v>
          </cell>
          <cell r="K1484" t="str">
            <v>technical</v>
          </cell>
          <cell r="L1484" t="str">
            <v>テクニカルタイプ</v>
          </cell>
          <cell r="M1484" t="str">
            <v>unknown</v>
          </cell>
        </row>
        <row r="1485">
          <cell r="A1485">
            <v>8016</v>
          </cell>
          <cell r="B1485" t="str">
            <v>ja</v>
          </cell>
          <cell r="C1485" t="str">
            <v>初音ミク・アペンド</v>
          </cell>
          <cell r="D1485" t="str">
            <v>初音ミク・アペンド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green</v>
          </cell>
          <cell r="I1485">
            <v>5</v>
          </cell>
          <cell r="J1485" t="str">
            <v>PremiumSSS</v>
          </cell>
          <cell r="K1485" t="str">
            <v>technical</v>
          </cell>
          <cell r="L1485" t="str">
            <v>テクニカルタイプ</v>
          </cell>
          <cell r="M1485" t="str">
            <v>unknown</v>
          </cell>
        </row>
        <row r="1486">
          <cell r="A1486">
            <v>8017</v>
          </cell>
          <cell r="B1486" t="str">
            <v>ja</v>
          </cell>
          <cell r="C1486" t="str">
            <v>初音ミク</v>
          </cell>
          <cell r="D1486" t="str">
            <v>初音ミク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4</v>
          </cell>
          <cell r="J1486" t="str">
            <v>PremiumSSS</v>
          </cell>
          <cell r="K1486" t="str">
            <v>balance</v>
          </cell>
          <cell r="L1486" t="str">
            <v>バランスタイプ</v>
          </cell>
          <cell r="M1486" t="str">
            <v>unknown</v>
          </cell>
        </row>
        <row r="1487">
          <cell r="A1487">
            <v>8018</v>
          </cell>
          <cell r="B1487" t="str">
            <v>ja</v>
          </cell>
          <cell r="C1487" t="str">
            <v>初音ミク</v>
          </cell>
          <cell r="D1487" t="str">
            <v>初音ミク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green</v>
          </cell>
          <cell r="I1487">
            <v>5</v>
          </cell>
          <cell r="J1487" t="str">
            <v>PremiumSSS</v>
          </cell>
          <cell r="K1487" t="str">
            <v>balance</v>
          </cell>
          <cell r="L1487" t="str">
            <v>バランスタイプ</v>
          </cell>
          <cell r="M1487" t="str">
            <v>unknown</v>
          </cell>
        </row>
        <row r="1488">
          <cell r="A1488">
            <v>8019</v>
          </cell>
          <cell r="B1488" t="str">
            <v>ja</v>
          </cell>
          <cell r="C1488" t="str">
            <v>鏡音リン</v>
          </cell>
          <cell r="D1488" t="str">
            <v>鏡音リン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4</v>
          </cell>
          <cell r="J1488" t="str">
            <v>PremiumSS</v>
          </cell>
          <cell r="K1488" t="str">
            <v>balance</v>
          </cell>
          <cell r="L1488" t="str">
            <v>バランスタイプ</v>
          </cell>
          <cell r="M1488" t="str">
            <v>unknown</v>
          </cell>
        </row>
        <row r="1489">
          <cell r="A1489">
            <v>8020</v>
          </cell>
          <cell r="B1489" t="str">
            <v>ja</v>
          </cell>
          <cell r="C1489" t="str">
            <v>鏡音リン</v>
          </cell>
          <cell r="D1489" t="str">
            <v>鏡音リン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yellow</v>
          </cell>
          <cell r="I1489">
            <v>5</v>
          </cell>
          <cell r="J1489" t="str">
            <v>PremiumSS</v>
          </cell>
          <cell r="K1489" t="str">
            <v>balance</v>
          </cell>
          <cell r="L1489" t="str">
            <v>バランスタイプ</v>
          </cell>
          <cell r="M1489" t="str">
            <v>unknown</v>
          </cell>
        </row>
        <row r="1490">
          <cell r="A1490">
            <v>8021</v>
          </cell>
          <cell r="B1490" t="str">
            <v>ja</v>
          </cell>
          <cell r="C1490" t="str">
            <v>鏡音レン</v>
          </cell>
          <cell r="D1490" t="str">
            <v>鏡音レン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yellow</v>
          </cell>
          <cell r="I1490">
            <v>4</v>
          </cell>
          <cell r="J1490" t="str">
            <v>PremiumSS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8022</v>
          </cell>
          <cell r="B1491" t="str">
            <v>ja</v>
          </cell>
          <cell r="C1491" t="str">
            <v>鏡音レン</v>
          </cell>
          <cell r="D1491" t="str">
            <v>鏡音レン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yellow</v>
          </cell>
          <cell r="I1491">
            <v>5</v>
          </cell>
          <cell r="J1491" t="str">
            <v>PremiumSS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8023</v>
          </cell>
          <cell r="B1492" t="str">
            <v>ja</v>
          </cell>
          <cell r="C1492" t="str">
            <v>巡音ルカ</v>
          </cell>
          <cell r="D1492" t="str">
            <v>巡音ルカ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3</v>
          </cell>
          <cell r="J1492" t="str">
            <v>PremiumS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8024</v>
          </cell>
          <cell r="B1493" t="str">
            <v>ja</v>
          </cell>
          <cell r="C1493" t="str">
            <v>巡音ルカ</v>
          </cell>
          <cell r="D1493" t="str">
            <v>巡音ルカ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4</v>
          </cell>
          <cell r="J1493" t="str">
            <v>PremiumS</v>
          </cell>
          <cell r="K1493" t="str">
            <v>attack</v>
          </cell>
          <cell r="L1493" t="str">
            <v>攻撃タイプ</v>
          </cell>
          <cell r="M1493" t="str">
            <v>unknown</v>
          </cell>
        </row>
        <row r="1494">
          <cell r="A1494">
            <v>8025</v>
          </cell>
          <cell r="B1494" t="str">
            <v>ja</v>
          </cell>
          <cell r="C1494" t="str">
            <v>MEIKO</v>
          </cell>
          <cell r="D1494" t="str">
            <v>MEIKO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3</v>
          </cell>
          <cell r="J1494" t="str">
            <v>PremiumS</v>
          </cell>
          <cell r="K1494" t="str">
            <v>hp</v>
          </cell>
          <cell r="L1494" t="str">
            <v>体力タイプ</v>
          </cell>
          <cell r="M1494" t="str">
            <v>unknown</v>
          </cell>
        </row>
        <row r="1495">
          <cell r="A1495">
            <v>8026</v>
          </cell>
          <cell r="B1495" t="str">
            <v>ja</v>
          </cell>
          <cell r="C1495" t="str">
            <v>MEIKO</v>
          </cell>
          <cell r="D1495" t="str">
            <v>MEIKO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4</v>
          </cell>
          <cell r="J1495" t="str">
            <v>PremiumS</v>
          </cell>
          <cell r="K1495" t="str">
            <v>hp</v>
          </cell>
          <cell r="L1495" t="str">
            <v>体力タイプ</v>
          </cell>
          <cell r="M1495" t="str">
            <v>unknown</v>
          </cell>
        </row>
        <row r="1496">
          <cell r="A1496">
            <v>8027</v>
          </cell>
          <cell r="B1496" t="str">
            <v>ja</v>
          </cell>
          <cell r="C1496" t="str">
            <v>KAITO</v>
          </cell>
          <cell r="D1496" t="str">
            <v>KAITO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3</v>
          </cell>
          <cell r="J1496" t="str">
            <v>PremiumS</v>
          </cell>
          <cell r="K1496" t="str">
            <v>technical</v>
          </cell>
          <cell r="L1496" t="str">
            <v>テクニカルタイプ</v>
          </cell>
          <cell r="M1496" t="str">
            <v>unknown</v>
          </cell>
        </row>
        <row r="1497">
          <cell r="A1497">
            <v>8028</v>
          </cell>
          <cell r="B1497" t="str">
            <v>ja</v>
          </cell>
          <cell r="C1497" t="str">
            <v>KAITO</v>
          </cell>
          <cell r="D1497" t="str">
            <v>KAITO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4</v>
          </cell>
          <cell r="J1497" t="str">
            <v>PremiumS</v>
          </cell>
          <cell r="K1497" t="str">
            <v>technical</v>
          </cell>
          <cell r="L1497" t="str">
            <v>テクニカルタイプ</v>
          </cell>
          <cell r="M1497" t="str">
            <v>unknown</v>
          </cell>
        </row>
        <row r="1498">
          <cell r="A1498">
            <v>8029</v>
          </cell>
          <cell r="B1498" t="str">
            <v>ja</v>
          </cell>
          <cell r="C1498" t="str">
            <v>Expoミク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blue</v>
          </cell>
          <cell r="I1498">
            <v>4</v>
          </cell>
          <cell r="J1498" t="str">
            <v>Drop2N</v>
          </cell>
          <cell r="K1498" t="str">
            <v>heal</v>
          </cell>
          <cell r="L1498" t="str">
            <v>回復タイプ</v>
          </cell>
          <cell r="M1498" t="str">
            <v>unknown</v>
          </cell>
        </row>
        <row r="1499">
          <cell r="A1499">
            <v>8030</v>
          </cell>
          <cell r="B1499" t="str">
            <v>ja</v>
          </cell>
          <cell r="C1499" t="str">
            <v>Expoミク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blue</v>
          </cell>
          <cell r="I1499">
            <v>5</v>
          </cell>
          <cell r="J1499" t="str">
            <v>Drop2N</v>
          </cell>
          <cell r="K1499" t="str">
            <v>heal</v>
          </cell>
          <cell r="L1499" t="str">
            <v>回復タイプ</v>
          </cell>
          <cell r="M1499" t="str">
            <v>unknown</v>
          </cell>
        </row>
        <row r="1500">
          <cell r="A1500">
            <v>8031</v>
          </cell>
          <cell r="B1500" t="str">
            <v>ja</v>
          </cell>
          <cell r="C1500" t="str">
            <v>閻羅王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red</v>
          </cell>
          <cell r="I1500">
            <v>5</v>
          </cell>
          <cell r="J1500" t="str">
            <v>PremiumSS</v>
          </cell>
          <cell r="K1500" t="str">
            <v>balance</v>
          </cell>
          <cell r="L1500" t="str">
            <v>バランスタイプ</v>
          </cell>
          <cell r="M1500" t="str">
            <v>god</v>
          </cell>
        </row>
        <row r="1501">
          <cell r="A1501">
            <v>8032</v>
          </cell>
          <cell r="B1501" t="str">
            <v>ja</v>
          </cell>
          <cell r="C1501" t="str">
            <v>六道輪廻の絶獄 閻羅王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red</v>
          </cell>
          <cell r="I1501">
            <v>6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8033</v>
          </cell>
          <cell r="B1502" t="str">
            <v>ja</v>
          </cell>
          <cell r="C1502" t="str">
            <v>牛頭馬面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green</v>
          </cell>
          <cell r="I1502">
            <v>5</v>
          </cell>
          <cell r="J1502" t="str">
            <v>DropWizS</v>
          </cell>
          <cell r="K1502" t="str">
            <v>attack</v>
          </cell>
          <cell r="L1502" t="str">
            <v>攻撃タイプ</v>
          </cell>
          <cell r="M1502" t="str">
            <v>god</v>
          </cell>
        </row>
        <row r="1503">
          <cell r="A1503">
            <v>8034</v>
          </cell>
          <cell r="B1503" t="str">
            <v>ja</v>
          </cell>
          <cell r="C1503" t="str">
            <v>冥府狩る魂使 牛頭馬面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green</v>
          </cell>
          <cell r="I1503">
            <v>6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god</v>
          </cell>
        </row>
        <row r="1504">
          <cell r="A1504">
            <v>8035</v>
          </cell>
          <cell r="B1504" t="str">
            <v>ja</v>
          </cell>
          <cell r="C1504" t="str">
            <v>飛衛</v>
          </cell>
          <cell r="D1504" t="str">
            <v>Expoミク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blue</v>
          </cell>
          <cell r="I1504">
            <v>5</v>
          </cell>
          <cell r="J1504" t="str">
            <v>PremiumSS</v>
          </cell>
          <cell r="K1504" t="str">
            <v>heal</v>
          </cell>
          <cell r="L1504" t="str">
            <v>回復タイプ</v>
          </cell>
          <cell r="M1504" t="str">
            <v>human</v>
          </cell>
        </row>
        <row r="1505">
          <cell r="A1505">
            <v>8036</v>
          </cell>
          <cell r="B1505" t="str">
            <v>ja</v>
          </cell>
          <cell r="C1505" t="str">
            <v>レア６飛衛</v>
          </cell>
          <cell r="D1505" t="str">
            <v>Expoミク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blue</v>
          </cell>
          <cell r="I1505">
            <v>6</v>
          </cell>
          <cell r="J1505" t="str">
            <v>PremiumSS</v>
          </cell>
          <cell r="K1505" t="str">
            <v>heal</v>
          </cell>
          <cell r="L1505" t="str">
            <v>回復タイプ</v>
          </cell>
          <cell r="M1505" t="str">
            <v>human</v>
          </cell>
        </row>
        <row r="1506">
          <cell r="A1506">
            <v>8037</v>
          </cell>
          <cell r="B1506" t="str">
            <v>ja</v>
          </cell>
          <cell r="C1506" t="str">
            <v>紀昌</v>
          </cell>
          <cell r="D1506" t="str">
            <v>Expoミク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red</v>
          </cell>
          <cell r="I1506">
            <v>5</v>
          </cell>
          <cell r="J1506" t="str">
            <v>DropWizS</v>
          </cell>
          <cell r="K1506" t="str">
            <v>attack</v>
          </cell>
          <cell r="L1506" t="str">
            <v>攻撃タイプ</v>
          </cell>
          <cell r="M1506" t="str">
            <v>human</v>
          </cell>
        </row>
        <row r="1507">
          <cell r="A1507">
            <v>8038</v>
          </cell>
          <cell r="B1507" t="str">
            <v>ja</v>
          </cell>
          <cell r="C1507" t="str">
            <v>レア６紀昌</v>
          </cell>
          <cell r="D1507" t="str">
            <v>Expoミク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red</v>
          </cell>
          <cell r="I1507">
            <v>6</v>
          </cell>
          <cell r="J1507" t="str">
            <v>DropWizS</v>
          </cell>
          <cell r="K1507" t="str">
            <v>attack</v>
          </cell>
          <cell r="L1507" t="str">
            <v>攻撃タイプ</v>
          </cell>
          <cell r="M1507" t="str">
            <v>human</v>
          </cell>
        </row>
        <row r="1508">
          <cell r="A1508">
            <v>8039</v>
          </cell>
          <cell r="B1508" t="str">
            <v>ja</v>
          </cell>
          <cell r="C1508" t="str">
            <v>何仙姑</v>
          </cell>
          <cell r="D1508" t="str">
            <v>Expoミク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5</v>
          </cell>
          <cell r="J1508" t="str">
            <v>PremiumSSw</v>
          </cell>
          <cell r="K1508" t="str">
            <v>hp</v>
          </cell>
          <cell r="L1508" t="str">
            <v>体力タイプ</v>
          </cell>
          <cell r="M1508" t="str">
            <v>god</v>
          </cell>
        </row>
        <row r="1509">
          <cell r="A1509">
            <v>8040</v>
          </cell>
          <cell r="B1509" t="str">
            <v>ja</v>
          </cell>
          <cell r="C1509" t="str">
            <v>レア６何仙姑</v>
          </cell>
          <cell r="D1509" t="str">
            <v>Expoミク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6</v>
          </cell>
          <cell r="J1509" t="str">
            <v>PremiumSSw</v>
          </cell>
          <cell r="K1509" t="str">
            <v>hp</v>
          </cell>
          <cell r="L1509" t="str">
            <v>体力タイプ</v>
          </cell>
          <cell r="M1509" t="str">
            <v>god</v>
          </cell>
        </row>
        <row r="1510">
          <cell r="A1510">
            <v>8041</v>
          </cell>
          <cell r="B1510" t="str">
            <v>ja</v>
          </cell>
          <cell r="C1510" t="str">
            <v>藍采和</v>
          </cell>
          <cell r="D1510" t="str">
            <v>Expoミク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blue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god</v>
          </cell>
        </row>
        <row r="1511">
          <cell r="A1511">
            <v>8042</v>
          </cell>
          <cell r="B1511" t="str">
            <v>ja</v>
          </cell>
          <cell r="C1511" t="str">
            <v>レア６藍采和</v>
          </cell>
          <cell r="D1511" t="str">
            <v>Expoミク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blue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god</v>
          </cell>
        </row>
        <row r="1512">
          <cell r="A1512">
            <v>8043</v>
          </cell>
          <cell r="B1512" t="str">
            <v>ja</v>
          </cell>
          <cell r="C1512" t="str">
            <v>サンリオキャラ大集合+アザゼル</v>
          </cell>
          <cell r="D1512" t="str">
            <v>サンリオキャラ大集合+アザゼル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DropWizS</v>
          </cell>
          <cell r="K1512" t="str">
            <v>technical</v>
          </cell>
          <cell r="L1512" t="str">
            <v>テクニカルタイプ</v>
          </cell>
          <cell r="M1512" t="str">
            <v>ss</v>
          </cell>
        </row>
        <row r="1513">
          <cell r="A1513">
            <v>8044</v>
          </cell>
          <cell r="B1513" t="str">
            <v>ja</v>
          </cell>
          <cell r="C1513" t="str">
            <v>サンリオキャラ大集合+アザゼル</v>
          </cell>
          <cell r="D1513" t="str">
            <v>サンリオキャラ大集合+アザゼル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6</v>
          </cell>
          <cell r="J1513" t="str">
            <v>DropWizS</v>
          </cell>
          <cell r="K1513" t="str">
            <v>technical</v>
          </cell>
          <cell r="L1513" t="str">
            <v>テクニカルタイプ</v>
          </cell>
          <cell r="M1513" t="str">
            <v>ss</v>
          </cell>
        </row>
        <row r="1514">
          <cell r="A1514">
            <v>8045</v>
          </cell>
          <cell r="B1514" t="str">
            <v>ja</v>
          </cell>
          <cell r="C1514" t="str">
            <v>ニムダ_サンリオキャラ混じり</v>
          </cell>
          <cell r="D1514" t="str">
            <v>ニムダ_サンリオキャラ混じり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yellow</v>
          </cell>
          <cell r="I1514">
            <v>4</v>
          </cell>
          <cell r="J1514" t="str">
            <v>Drop2N</v>
          </cell>
          <cell r="K1514" t="str">
            <v>technical</v>
          </cell>
          <cell r="L1514" t="str">
            <v>テクニカルタイプ</v>
          </cell>
          <cell r="M1514" t="str">
            <v>ss</v>
          </cell>
        </row>
        <row r="1515">
          <cell r="A1515">
            <v>8046</v>
          </cell>
          <cell r="B1515" t="str">
            <v>ja</v>
          </cell>
          <cell r="C1515" t="str">
            <v>ニムダ_サンリオキャラ混じり</v>
          </cell>
          <cell r="D1515" t="str">
            <v>ニムダ_サンリオキャラ混じり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yellow</v>
          </cell>
          <cell r="I1515">
            <v>5</v>
          </cell>
          <cell r="J1515" t="str">
            <v>Drop2N</v>
          </cell>
          <cell r="K1515" t="str">
            <v>technical</v>
          </cell>
          <cell r="L1515" t="str">
            <v>テクニカルタイプ</v>
          </cell>
          <cell r="M1515" t="str">
            <v>ss</v>
          </cell>
        </row>
        <row r="1516">
          <cell r="A1516">
            <v>8047</v>
          </cell>
          <cell r="B1516" t="str">
            <v>ja</v>
          </cell>
          <cell r="C1516" t="str">
            <v>ハローキティ</v>
          </cell>
          <cell r="D1516" t="str">
            <v>ハローキティ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Drop2N</v>
          </cell>
          <cell r="K1516" t="str">
            <v>balance</v>
          </cell>
          <cell r="L1516" t="str">
            <v>バランスタイプ</v>
          </cell>
          <cell r="M1516" t="str">
            <v>ss</v>
          </cell>
        </row>
        <row r="1517">
          <cell r="A1517">
            <v>8048</v>
          </cell>
          <cell r="B1517" t="str">
            <v>ja</v>
          </cell>
          <cell r="C1517" t="str">
            <v>ハローキティ</v>
          </cell>
          <cell r="D1517" t="str">
            <v>ハローキティ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Drop2N</v>
          </cell>
          <cell r="K1517" t="str">
            <v>balance</v>
          </cell>
          <cell r="L1517" t="str">
            <v>バランスタイプ</v>
          </cell>
          <cell r="M1517" t="str">
            <v>ss</v>
          </cell>
        </row>
        <row r="1518">
          <cell r="A1518">
            <v>8049</v>
          </cell>
          <cell r="B1518" t="str">
            <v>ja</v>
          </cell>
          <cell r="C1518" t="str">
            <v>KIRIMIちゃん</v>
          </cell>
          <cell r="D1518" t="str">
            <v>KIRIMIちゃん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red</v>
          </cell>
          <cell r="I1518">
            <v>4</v>
          </cell>
          <cell r="J1518" t="str">
            <v>Drop2N</v>
          </cell>
          <cell r="K1518" t="str">
            <v>hp</v>
          </cell>
          <cell r="L1518" t="str">
            <v>体力タイプ</v>
          </cell>
          <cell r="M1518" t="str">
            <v>ss</v>
          </cell>
        </row>
        <row r="1519">
          <cell r="A1519">
            <v>8050</v>
          </cell>
          <cell r="B1519" t="str">
            <v>ja</v>
          </cell>
          <cell r="C1519" t="str">
            <v>KIRIMIちゃん</v>
          </cell>
          <cell r="D1519" t="str">
            <v>KIRIMIちゃん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5</v>
          </cell>
          <cell r="J1519" t="str">
            <v>Drop2N</v>
          </cell>
          <cell r="K1519" t="str">
            <v>hp</v>
          </cell>
          <cell r="L1519" t="str">
            <v>体力タイプ</v>
          </cell>
          <cell r="M1519" t="str">
            <v>ss</v>
          </cell>
        </row>
        <row r="1520">
          <cell r="A1520">
            <v>8051</v>
          </cell>
          <cell r="B1520" t="str">
            <v>ja</v>
          </cell>
          <cell r="C1520" t="str">
            <v>ハローキティのリボン</v>
          </cell>
          <cell r="D1520" t="str">
            <v>ハローキティのリボン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5</v>
          </cell>
          <cell r="J1520" t="str">
            <v>Drop2N</v>
          </cell>
          <cell r="K1520" t="str">
            <v>evolution</v>
          </cell>
          <cell r="L1520" t="str">
            <v>覚醒素材タイプ</v>
          </cell>
          <cell r="M1520" t="str">
            <v>ss</v>
          </cell>
        </row>
        <row r="1521">
          <cell r="A1521">
            <v>8052</v>
          </cell>
          <cell r="B1521" t="str">
            <v>ja</v>
          </cell>
          <cell r="C1521" t="str">
            <v>ママの作ったアップルパイ</v>
          </cell>
          <cell r="D1521" t="str">
            <v>ママの作ったアップルパイ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red</v>
          </cell>
          <cell r="I1521">
            <v>4</v>
          </cell>
          <cell r="J1521" t="str">
            <v>Drop2N</v>
          </cell>
          <cell r="K1521" t="str">
            <v>evolution</v>
          </cell>
          <cell r="L1521" t="str">
            <v>覚醒素材タイプ</v>
          </cell>
          <cell r="M1521" t="str">
            <v>ss</v>
          </cell>
        </row>
        <row r="1522">
          <cell r="A1522">
            <v>8053</v>
          </cell>
          <cell r="B1522" t="str">
            <v>ja</v>
          </cell>
          <cell r="C1522" t="str">
            <v>D.R.T.H__キティコスプレ</v>
          </cell>
          <cell r="D1522" t="str">
            <v>D.R.T.H__キティコスプレ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red</v>
          </cell>
          <cell r="I1522">
            <v>5</v>
          </cell>
          <cell r="J1522" t="str">
            <v>PremiumSS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8054</v>
          </cell>
          <cell r="B1523" t="str">
            <v>ja</v>
          </cell>
          <cell r="C1523" t="str">
            <v>D.R.T.H__キティコスプレ</v>
          </cell>
          <cell r="D1523" t="str">
            <v>D.R.T.H__キティコスプレ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red</v>
          </cell>
          <cell r="I1523">
            <v>6</v>
          </cell>
          <cell r="J1523" t="str">
            <v>PremiumSS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8055</v>
          </cell>
          <cell r="B1524" t="str">
            <v>ja</v>
          </cell>
          <cell r="C1524" t="str">
            <v>マイメロディ</v>
          </cell>
          <cell r="D1524" t="str">
            <v>マイメロディ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red</v>
          </cell>
          <cell r="I1524">
            <v>4</v>
          </cell>
          <cell r="J1524" t="str">
            <v>PremiumS</v>
          </cell>
          <cell r="K1524" t="str">
            <v>attack</v>
          </cell>
          <cell r="L1524" t="str">
            <v>攻撃タイプ</v>
          </cell>
          <cell r="M1524" t="str">
            <v>ss</v>
          </cell>
        </row>
        <row r="1525">
          <cell r="A1525">
            <v>8056</v>
          </cell>
          <cell r="B1525" t="str">
            <v>ja</v>
          </cell>
          <cell r="C1525" t="str">
            <v>マイメロディ</v>
          </cell>
          <cell r="D1525" t="str">
            <v>マイメロディ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red</v>
          </cell>
          <cell r="I1525">
            <v>5</v>
          </cell>
          <cell r="J1525" t="str">
            <v>PremiumS</v>
          </cell>
          <cell r="K1525" t="str">
            <v>attack</v>
          </cell>
          <cell r="L1525" t="str">
            <v>攻撃タイプ</v>
          </cell>
          <cell r="M1525" t="str">
            <v>ss</v>
          </cell>
        </row>
        <row r="1526">
          <cell r="A1526">
            <v>8057</v>
          </cell>
          <cell r="B1526" t="str">
            <v>ja</v>
          </cell>
          <cell r="C1526" t="str">
            <v>ニーベルゲン_シナモロールコスプレ</v>
          </cell>
          <cell r="D1526" t="str">
            <v>ニーベルゲン_シナモロールコスプレ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green</v>
          </cell>
          <cell r="I1526">
            <v>4</v>
          </cell>
          <cell r="J1526" t="str">
            <v>PremiumS</v>
          </cell>
          <cell r="K1526" t="str">
            <v>balance</v>
          </cell>
          <cell r="L1526" t="str">
            <v>バランスタイプ</v>
          </cell>
          <cell r="M1526" t="str">
            <v>ss</v>
          </cell>
        </row>
        <row r="1527">
          <cell r="A1527">
            <v>8058</v>
          </cell>
          <cell r="B1527" t="str">
            <v>ja</v>
          </cell>
          <cell r="C1527" t="str">
            <v>ニーベルゲン_シナモロールコスプレ</v>
          </cell>
          <cell r="D1527" t="str">
            <v>ニーベルゲン_シナモロールコスプレ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green</v>
          </cell>
          <cell r="I1527">
            <v>5</v>
          </cell>
          <cell r="J1527" t="str">
            <v>PremiumS</v>
          </cell>
          <cell r="K1527" t="str">
            <v>balance</v>
          </cell>
          <cell r="L1527" t="str">
            <v>バランスタイプ</v>
          </cell>
          <cell r="M1527" t="str">
            <v>ss</v>
          </cell>
        </row>
        <row r="1528">
          <cell r="A1528">
            <v>8059</v>
          </cell>
          <cell r="B1528" t="str">
            <v>ja</v>
          </cell>
          <cell r="C1528" t="str">
            <v>カカシ_マイメロディコスプレ</v>
          </cell>
          <cell r="D1528" t="str">
            <v>カカシ_マイメロディコスプレ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green</v>
          </cell>
          <cell r="I1528">
            <v>4</v>
          </cell>
          <cell r="J1528" t="str">
            <v>PremiumS</v>
          </cell>
          <cell r="K1528" t="str">
            <v>technical</v>
          </cell>
          <cell r="L1528" t="str">
            <v>テクニカルタイプ</v>
          </cell>
          <cell r="M1528" t="str">
            <v>ss</v>
          </cell>
        </row>
        <row r="1529">
          <cell r="A1529">
            <v>8060</v>
          </cell>
          <cell r="B1529" t="str">
            <v>ja</v>
          </cell>
          <cell r="C1529" t="str">
            <v>カカシ_マイメロディコスプレ</v>
          </cell>
          <cell r="D1529" t="str">
            <v>カカシ_マイメロディコスプレ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PremiumS</v>
          </cell>
          <cell r="K1529" t="str">
            <v>technical</v>
          </cell>
          <cell r="L1529" t="str">
            <v>テクニカルタイプ</v>
          </cell>
          <cell r="M1529" t="str">
            <v>ss</v>
          </cell>
        </row>
        <row r="1530">
          <cell r="A1530">
            <v>8061</v>
          </cell>
          <cell r="B1530" t="str">
            <v>ja</v>
          </cell>
          <cell r="C1530" t="str">
            <v>ケロケロけろっぴ</v>
          </cell>
          <cell r="D1530" t="str">
            <v>ケロケロけろっぴ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3</v>
          </cell>
          <cell r="J1530" t="str">
            <v>PremiumS</v>
          </cell>
          <cell r="K1530" t="str">
            <v>balance</v>
          </cell>
          <cell r="L1530" t="str">
            <v>バランスタイプ</v>
          </cell>
          <cell r="M1530" t="str">
            <v>ss</v>
          </cell>
        </row>
        <row r="1531">
          <cell r="A1531">
            <v>8062</v>
          </cell>
          <cell r="B1531" t="str">
            <v>ja</v>
          </cell>
          <cell r="C1531" t="str">
            <v>ケロケロけろっぴ</v>
          </cell>
          <cell r="D1531" t="str">
            <v>ケロケロけろっぴ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green</v>
          </cell>
          <cell r="I1531">
            <v>4</v>
          </cell>
          <cell r="J1531" t="str">
            <v>PremiumS</v>
          </cell>
          <cell r="K1531" t="str">
            <v>balance</v>
          </cell>
          <cell r="L1531" t="str">
            <v>バランスタイプ</v>
          </cell>
          <cell r="M1531" t="str">
            <v>ss</v>
          </cell>
        </row>
        <row r="1532">
          <cell r="A1532">
            <v>8063</v>
          </cell>
          <cell r="B1532" t="str">
            <v>ja</v>
          </cell>
          <cell r="C1532" t="str">
            <v>モルドレッド_ポムポムプリンコスプレ</v>
          </cell>
          <cell r="D1532" t="str">
            <v>モルドレッド_ポムポムプリンコスプレ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5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ss</v>
          </cell>
        </row>
        <row r="1533">
          <cell r="A1533">
            <v>8064</v>
          </cell>
          <cell r="B1533" t="str">
            <v>ja</v>
          </cell>
          <cell r="C1533" t="str">
            <v>モルドレッド_ポムポムプリンコスプレ</v>
          </cell>
          <cell r="D1533" t="str">
            <v>モルドレッド_ポムポムプリンコスプレ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blue</v>
          </cell>
          <cell r="I1533">
            <v>6</v>
          </cell>
          <cell r="J1533" t="str">
            <v>PremiumSS</v>
          </cell>
          <cell r="K1533" t="str">
            <v>heal</v>
          </cell>
          <cell r="L1533" t="str">
            <v>回復タイプ</v>
          </cell>
          <cell r="M1533" t="str">
            <v>ss</v>
          </cell>
        </row>
        <row r="1534">
          <cell r="A1534">
            <v>8065</v>
          </cell>
          <cell r="B1534" t="str">
            <v>ja</v>
          </cell>
          <cell r="C1534" t="str">
            <v>クロミ</v>
          </cell>
          <cell r="D1534" t="str">
            <v>クロミ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3</v>
          </cell>
          <cell r="J1534" t="str">
            <v>PremiumS</v>
          </cell>
          <cell r="K1534" t="str">
            <v>technical</v>
          </cell>
          <cell r="L1534" t="str">
            <v>テクニカルタイプ</v>
          </cell>
          <cell r="M1534" t="str">
            <v>ss</v>
          </cell>
        </row>
        <row r="1535">
          <cell r="A1535">
            <v>8066</v>
          </cell>
          <cell r="B1535" t="str">
            <v>ja</v>
          </cell>
          <cell r="C1535" t="str">
            <v>クロミ</v>
          </cell>
          <cell r="D1535" t="str">
            <v>クロミ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4</v>
          </cell>
          <cell r="J1535" t="str">
            <v>PremiumS</v>
          </cell>
          <cell r="K1535" t="str">
            <v>technical</v>
          </cell>
          <cell r="L1535" t="str">
            <v>テクニカルタイプ</v>
          </cell>
          <cell r="M1535" t="str">
            <v>ss</v>
          </cell>
        </row>
        <row r="1536">
          <cell r="A1536">
            <v>8067</v>
          </cell>
          <cell r="B1536" t="str">
            <v>ja</v>
          </cell>
          <cell r="C1536" t="str">
            <v>バッドばつ丸</v>
          </cell>
          <cell r="D1536" t="str">
            <v>バッドばつ丸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3</v>
          </cell>
          <cell r="J1536" t="str">
            <v>PremiumS</v>
          </cell>
          <cell r="K1536" t="str">
            <v>attack</v>
          </cell>
          <cell r="L1536" t="str">
            <v>攻撃タイプ</v>
          </cell>
          <cell r="M1536" t="str">
            <v>ss</v>
          </cell>
        </row>
        <row r="1537">
          <cell r="A1537">
            <v>8068</v>
          </cell>
          <cell r="B1537" t="str">
            <v>ja</v>
          </cell>
          <cell r="C1537" t="str">
            <v>バッドばつ丸</v>
          </cell>
          <cell r="D1537" t="str">
            <v>バッドばつ丸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4</v>
          </cell>
          <cell r="J1537" t="str">
            <v>PremiumS</v>
          </cell>
          <cell r="K1537" t="str">
            <v>attack</v>
          </cell>
          <cell r="L1537" t="str">
            <v>攻撃タイプ</v>
          </cell>
          <cell r="M1537" t="str">
            <v>ss</v>
          </cell>
        </row>
        <row r="1538">
          <cell r="A1538">
            <v>8069</v>
          </cell>
          <cell r="B1538" t="str">
            <v>ja</v>
          </cell>
          <cell r="C1538" t="str">
            <v>シナモロール</v>
          </cell>
          <cell r="D1538" t="str">
            <v>シナモロール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yellow</v>
          </cell>
          <cell r="I1538">
            <v>4</v>
          </cell>
          <cell r="J1538" t="str">
            <v>PremiumS</v>
          </cell>
          <cell r="K1538" t="str">
            <v>heal</v>
          </cell>
          <cell r="L1538" t="str">
            <v>回復タイプ</v>
          </cell>
          <cell r="M1538" t="str">
            <v>ss</v>
          </cell>
        </row>
        <row r="1539">
          <cell r="A1539">
            <v>8070</v>
          </cell>
          <cell r="B1539" t="str">
            <v>ja</v>
          </cell>
          <cell r="C1539" t="str">
            <v>シナモロール</v>
          </cell>
          <cell r="D1539" t="str">
            <v>シナモロール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yellow</v>
          </cell>
          <cell r="I1539">
            <v>5</v>
          </cell>
          <cell r="J1539" t="str">
            <v>PremiumS</v>
          </cell>
          <cell r="K1539" t="str">
            <v>heal</v>
          </cell>
          <cell r="L1539" t="str">
            <v>回復タイプ</v>
          </cell>
          <cell r="M1539" t="str">
            <v>ss</v>
          </cell>
        </row>
        <row r="1540">
          <cell r="A1540">
            <v>8071</v>
          </cell>
          <cell r="B1540" t="str">
            <v>ja</v>
          </cell>
          <cell r="C1540" t="str">
            <v>ポムポムプリン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yellow</v>
          </cell>
          <cell r="I1540">
            <v>3</v>
          </cell>
          <cell r="J1540" t="str">
            <v>PremiumS</v>
          </cell>
          <cell r="K1540" t="str">
            <v>hp</v>
          </cell>
          <cell r="L1540" t="str">
            <v>体力タイプ</v>
          </cell>
          <cell r="M1540" t="str">
            <v>ss</v>
          </cell>
        </row>
        <row r="1541">
          <cell r="A1541">
            <v>8072</v>
          </cell>
          <cell r="B1541" t="str">
            <v>ja</v>
          </cell>
          <cell r="C1541" t="str">
            <v>ポムポムプリン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PremiumS</v>
          </cell>
          <cell r="K1541" t="str">
            <v>hp</v>
          </cell>
          <cell r="L1541" t="str">
            <v>体力タイプ</v>
          </cell>
          <cell r="M1541" t="str">
            <v>ss</v>
          </cell>
        </row>
        <row r="1542">
          <cell r="A1542">
            <v>8073</v>
          </cell>
          <cell r="B1542" t="str">
            <v>ja</v>
          </cell>
          <cell r="C1542" t="str">
            <v>星海祈る天光妃 媽祖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6</v>
          </cell>
          <cell r="J1542" t="str">
            <v>PremiumSS</v>
          </cell>
          <cell r="K1542" t="str">
            <v>attack</v>
          </cell>
          <cell r="L1542" t="str">
            <v>攻撃タイプ</v>
          </cell>
          <cell r="M1542" t="str">
            <v>human</v>
          </cell>
        </row>
        <row r="1543">
          <cell r="A1543">
            <v>8074</v>
          </cell>
          <cell r="B1543" t="str">
            <v>ja</v>
          </cell>
          <cell r="C1543" t="str">
            <v>海戀の絶龍姫 蛟龍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blue</v>
          </cell>
          <cell r="I1543">
            <v>6</v>
          </cell>
          <cell r="J1543" t="str">
            <v>DropWizS</v>
          </cell>
          <cell r="K1543" t="str">
            <v>hp</v>
          </cell>
          <cell r="L1543" t="str">
            <v>体力タイプ</v>
          </cell>
          <cell r="M1543" t="str">
            <v>dragon</v>
          </cell>
        </row>
        <row r="1544">
          <cell r="A1544">
            <v>8075</v>
          </cell>
          <cell r="B1544" t="str">
            <v>ja</v>
          </cell>
          <cell r="C1544" t="str">
            <v>三蔵法師_超覚醒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blue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god</v>
          </cell>
        </row>
        <row r="1545">
          <cell r="A1545">
            <v>8076</v>
          </cell>
          <cell r="B1545" t="str">
            <v>ja</v>
          </cell>
          <cell r="C1545" t="str">
            <v>孫悟空_超覚醒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6</v>
          </cell>
          <cell r="J1545" t="str">
            <v>DropWizS</v>
          </cell>
          <cell r="K1545" t="str">
            <v>attack</v>
          </cell>
          <cell r="L1545" t="str">
            <v>攻撃タイプ</v>
          </cell>
          <cell r="M1545" t="str">
            <v>unknown</v>
          </cell>
        </row>
        <row r="1546">
          <cell r="A1546">
            <v>8077</v>
          </cell>
          <cell r="B1546" t="str">
            <v>ja</v>
          </cell>
          <cell r="C1546" t="str">
            <v>鄭成功</v>
          </cell>
          <cell r="D1546" t="str">
            <v>ポムポムプリン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blue</v>
          </cell>
          <cell r="I1546">
            <v>5</v>
          </cell>
          <cell r="J1546" t="str">
            <v>PremiumSS</v>
          </cell>
          <cell r="K1546" t="str">
            <v>attack</v>
          </cell>
          <cell r="L1546" t="str">
            <v>攻撃タイプ</v>
          </cell>
          <cell r="M1546" t="str">
            <v>human</v>
          </cell>
        </row>
        <row r="1547">
          <cell r="A1547">
            <v>8078</v>
          </cell>
          <cell r="B1547" t="str">
            <v>ja</v>
          </cell>
          <cell r="C1547" t="str">
            <v>レア６鄭成功</v>
          </cell>
          <cell r="D1547" t="str">
            <v>ポムポムプリン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blue</v>
          </cell>
          <cell r="I1547">
            <v>6</v>
          </cell>
          <cell r="J1547" t="str">
            <v>PremiumSS</v>
          </cell>
          <cell r="K1547" t="str">
            <v>attack</v>
          </cell>
          <cell r="L1547" t="str">
            <v>攻撃タイプ</v>
          </cell>
          <cell r="M1547" t="str">
            <v>human</v>
          </cell>
        </row>
        <row r="1548">
          <cell r="A1548">
            <v>8079</v>
          </cell>
          <cell r="B1548" t="str">
            <v>ja</v>
          </cell>
          <cell r="C1548" t="str">
            <v>赤鬼</v>
          </cell>
          <cell r="D1548" t="str">
            <v>ポムポムプリン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5</v>
          </cell>
          <cell r="J1548" t="str">
            <v>DropWizS</v>
          </cell>
          <cell r="K1548" t="str">
            <v>hp</v>
          </cell>
          <cell r="L1548" t="str">
            <v>体力タイプ</v>
          </cell>
          <cell r="M1548" t="str">
            <v>dragon</v>
          </cell>
        </row>
        <row r="1549">
          <cell r="A1549">
            <v>8080</v>
          </cell>
          <cell r="B1549" t="str">
            <v>ja</v>
          </cell>
          <cell r="C1549" t="str">
            <v>レア６赤鬼</v>
          </cell>
          <cell r="D1549" t="str">
            <v>ポムポムプリン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6</v>
          </cell>
          <cell r="J1549" t="str">
            <v>DropWizS</v>
          </cell>
          <cell r="K1549" t="str">
            <v>hp</v>
          </cell>
          <cell r="L1549" t="str">
            <v>体力タイプ</v>
          </cell>
          <cell r="M1549" t="str">
            <v>dragon</v>
          </cell>
        </row>
        <row r="1550">
          <cell r="A1550">
            <v>8081</v>
          </cell>
          <cell r="B1550" t="str">
            <v>ja</v>
          </cell>
          <cell r="C1550" t="str">
            <v>関羽</v>
          </cell>
          <cell r="H1550" t="str">
            <v>green</v>
          </cell>
          <cell r="I1550">
            <v>5</v>
          </cell>
          <cell r="J1550" t="str">
            <v>PremiumSSS</v>
          </cell>
          <cell r="K1550" t="str">
            <v>balance</v>
          </cell>
          <cell r="L1550" t="str">
            <v>バランスタイプ</v>
          </cell>
          <cell r="M1550" t="str">
            <v>samurai</v>
          </cell>
        </row>
        <row r="1551">
          <cell r="A1551">
            <v>8082</v>
          </cell>
          <cell r="B1551" t="str">
            <v>ja</v>
          </cell>
          <cell r="C1551" t="str">
            <v>★６関羽</v>
          </cell>
          <cell r="H1551" t="str">
            <v>green</v>
          </cell>
          <cell r="I1551">
            <v>6</v>
          </cell>
          <cell r="J1551" t="str">
            <v>PremiumSSS</v>
          </cell>
          <cell r="K1551" t="str">
            <v>balance</v>
          </cell>
          <cell r="L1551" t="str">
            <v>バランスタイプ</v>
          </cell>
          <cell r="M1551" t="str">
            <v>samurai</v>
          </cell>
        </row>
        <row r="1552">
          <cell r="A1552">
            <v>8083</v>
          </cell>
          <cell r="B1552" t="str">
            <v>ja</v>
          </cell>
          <cell r="C1552" t="str">
            <v>曹操</v>
          </cell>
          <cell r="H1552" t="str">
            <v>yellow</v>
          </cell>
          <cell r="I1552">
            <v>5</v>
          </cell>
          <cell r="J1552" t="str">
            <v>DropWizSS</v>
          </cell>
          <cell r="K1552" t="str">
            <v>technical</v>
          </cell>
          <cell r="L1552" t="str">
            <v>テクニカルタイプ</v>
          </cell>
          <cell r="M1552" t="str">
            <v>samurai</v>
          </cell>
        </row>
        <row r="1553">
          <cell r="A1553">
            <v>8084</v>
          </cell>
          <cell r="B1553" t="str">
            <v>ja</v>
          </cell>
          <cell r="C1553" t="str">
            <v>★６曹操</v>
          </cell>
          <cell r="H1553" t="str">
            <v>yellow</v>
          </cell>
          <cell r="I1553">
            <v>6</v>
          </cell>
          <cell r="J1553" t="str">
            <v>DropWizSS</v>
          </cell>
          <cell r="K1553" t="str">
            <v>technical</v>
          </cell>
          <cell r="L1553" t="str">
            <v>テクニカルタイプ</v>
          </cell>
          <cell r="M1553" t="str">
            <v>samurai</v>
          </cell>
        </row>
        <row r="1554">
          <cell r="A1554">
            <v>8087</v>
          </cell>
          <cell r="B1554" t="str">
            <v>ja</v>
          </cell>
          <cell r="C1554" t="str">
            <v>財神</v>
          </cell>
          <cell r="H1554" t="str">
            <v>red</v>
          </cell>
          <cell r="I1554">
            <v>5</v>
          </cell>
          <cell r="J1554" t="str">
            <v>PremiumSSS</v>
          </cell>
          <cell r="K1554" t="str">
            <v>technical</v>
          </cell>
          <cell r="L1554" t="str">
            <v>テクニカルタイプ</v>
          </cell>
          <cell r="M1554" t="str">
            <v>god</v>
          </cell>
        </row>
        <row r="1555">
          <cell r="A1555">
            <v>8088</v>
          </cell>
          <cell r="B1555" t="str">
            <v>ja</v>
          </cell>
          <cell r="C1555" t="str">
            <v>★６財神</v>
          </cell>
          <cell r="H1555" t="str">
            <v>red</v>
          </cell>
          <cell r="I1555">
            <v>6</v>
          </cell>
          <cell r="J1555" t="str">
            <v>PremiumSSS</v>
          </cell>
          <cell r="K1555" t="str">
            <v>technical</v>
          </cell>
          <cell r="L1555" t="str">
            <v>テクニカルタイプ</v>
          </cell>
          <cell r="M1555" t="str">
            <v>god</v>
          </cell>
        </row>
        <row r="1556">
          <cell r="A1556">
            <v>8089</v>
          </cell>
          <cell r="B1556" t="str">
            <v>ja</v>
          </cell>
          <cell r="C1556" t="str">
            <v>年獣</v>
          </cell>
          <cell r="H1556" t="str">
            <v>green</v>
          </cell>
          <cell r="I1556">
            <v>5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animal</v>
          </cell>
        </row>
        <row r="1557">
          <cell r="A1557">
            <v>8090</v>
          </cell>
          <cell r="B1557" t="str">
            <v>ja</v>
          </cell>
          <cell r="C1557" t="str">
            <v>★６年獣</v>
          </cell>
          <cell r="H1557" t="str">
            <v>green</v>
          </cell>
          <cell r="I1557">
            <v>6</v>
          </cell>
          <cell r="J1557" t="str">
            <v>DropWizS</v>
          </cell>
          <cell r="K1557" t="str">
            <v>attack</v>
          </cell>
          <cell r="L1557" t="str">
            <v>攻撃タイプ</v>
          </cell>
          <cell r="M1557" t="str">
            <v>animal</v>
          </cell>
        </row>
        <row r="1558">
          <cell r="A1558">
            <v>8095</v>
          </cell>
          <cell r="B1558" t="str">
            <v>ja</v>
          </cell>
          <cell r="C1558" t="str">
            <v>バハムートダック赤</v>
          </cell>
          <cell r="D1558" t="str">
            <v>ポムポムプリン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red</v>
          </cell>
          <cell r="I1558">
            <v>6</v>
          </cell>
          <cell r="J1558" t="str">
            <v>Material</v>
          </cell>
          <cell r="K1558" t="str">
            <v>exp</v>
          </cell>
          <cell r="L1558" t="str">
            <v>強化素材タイプ</v>
          </cell>
          <cell r="M1558" t="str">
            <v>unknown</v>
          </cell>
        </row>
        <row r="1559">
          <cell r="A1559">
            <v>8096</v>
          </cell>
          <cell r="B1559" t="str">
            <v>ja</v>
          </cell>
          <cell r="C1559" t="str">
            <v>バハムートダック緑</v>
          </cell>
          <cell r="D1559" t="str">
            <v>ポムポムプリン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green</v>
          </cell>
          <cell r="I1559">
            <v>6</v>
          </cell>
          <cell r="J1559" t="str">
            <v>Material</v>
          </cell>
          <cell r="K1559" t="str">
            <v>exp</v>
          </cell>
          <cell r="L1559" t="str">
            <v>強化素材タイプ</v>
          </cell>
          <cell r="M1559" t="str">
            <v>unknown</v>
          </cell>
        </row>
        <row r="1560">
          <cell r="A1560">
            <v>8097</v>
          </cell>
          <cell r="B1560" t="str">
            <v>ja</v>
          </cell>
          <cell r="C1560" t="str">
            <v>バハムートダック青</v>
          </cell>
          <cell r="D1560" t="str">
            <v>ポムポムプリン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Material</v>
          </cell>
          <cell r="K1560" t="str">
            <v>exp</v>
          </cell>
          <cell r="L1560" t="str">
            <v>強化素材タイプ</v>
          </cell>
          <cell r="M1560" t="str">
            <v>unknown</v>
          </cell>
        </row>
        <row r="1561">
          <cell r="A1561">
            <v>8098</v>
          </cell>
          <cell r="B1561" t="str">
            <v>ja</v>
          </cell>
          <cell r="C1561" t="str">
            <v>バハムートダック黄</v>
          </cell>
          <cell r="D1561" t="str">
            <v>ポムポムプリン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yellow</v>
          </cell>
          <cell r="I1561">
            <v>6</v>
          </cell>
          <cell r="J1561" t="str">
            <v>Material</v>
          </cell>
          <cell r="K1561" t="str">
            <v>exp</v>
          </cell>
          <cell r="L1561" t="str">
            <v>強化素材タイプ</v>
          </cell>
          <cell r="M1561" t="str">
            <v>unknown</v>
          </cell>
        </row>
        <row r="1562">
          <cell r="A1562">
            <v>8099</v>
          </cell>
          <cell r="B1562" t="str">
            <v>ja</v>
          </cell>
          <cell r="C1562" t="str">
            <v>リトルハンプティ</v>
          </cell>
          <cell r="D1562" t="str">
            <v>各属性相性良3・黄・R455</v>
          </cell>
          <cell r="E1562" t="str">
            <v>執行者</v>
          </cell>
          <cell r="F1562" t="str">
            <v>格好いい</v>
          </cell>
          <cell r="G1562" t="str">
            <v>男性</v>
          </cell>
          <cell r="H1562" t="str">
            <v>green</v>
          </cell>
          <cell r="I1562">
            <v>6</v>
          </cell>
          <cell r="J1562" t="str">
            <v>Material</v>
          </cell>
          <cell r="K1562" t="str">
            <v>evolution</v>
          </cell>
          <cell r="L1562" t="str">
            <v>覚醒素材タイプ</v>
          </cell>
          <cell r="M1562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22" sqref="D22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>RIGHT(F2,6)</f>
        <v>541100</v>
      </c>
      <c r="D2" s="19" t="s">
        <v>45</v>
      </c>
      <c r="E2" s="17" t="str">
        <f t="shared" ref="E2" si="0">B2&amp;C2&amp;D2</f>
        <v>gacha_select_tables_541100.tmp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7" t="s">
        <v>241</v>
      </c>
      <c r="B3" s="61" t="s">
        <v>110</v>
      </c>
      <c r="C3" s="50" t="str">
        <f t="shared" ref="C3:C7" si="1">RIGHT(F3,6)</f>
        <v>541010</v>
      </c>
      <c r="D3" s="19" t="s">
        <v>45</v>
      </c>
      <c r="E3" s="17" t="str">
        <f t="shared" ref="E3:E10" si="2">B3&amp;C3&amp;D3</f>
        <v>gacha_select_tables_541010.tmp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251</v>
      </c>
      <c r="B4" s="94" t="s">
        <v>247</v>
      </c>
      <c r="C4" s="95" t="str">
        <f t="shared" si="1"/>
        <v>541100</v>
      </c>
      <c r="D4" s="19" t="s">
        <v>248</v>
      </c>
      <c r="E4" s="17" t="str">
        <f t="shared" si="2"/>
        <v>gacha_settle_tables_541100.tmp</v>
      </c>
      <c r="F4" s="98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2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2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2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/>
  </sheetViews>
  <sheetFormatPr baseColWidth="12" defaultRowHeight="14" x14ac:dyDescent="0.15"/>
  <cols>
    <col min="1" max="2" width="24.19921875" bestFit="1" customWidth="1"/>
    <col min="17" max="17" width="18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411</v>
      </c>
      <c r="M3" s="37" t="str">
        <f>VLOOKUP(L3,[1]characters!$A:$C,3,FALSE)</f>
        <v>電隷の始祖 ファラデー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VLOOKUP(L3,tables_settle_541100!B:C,2,FALSE)</f>
        <v>PremiumSSS5R3less</v>
      </c>
      <c r="R3" s="62">
        <f t="shared" ref="R3:R20" si="1">N3*A$36</f>
        <v>28800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1348</v>
      </c>
      <c r="M4" s="37" t="str">
        <f>VLOOKUP(L4,[1]characters!$A:$C,3,FALSE)</f>
        <v>パウリR5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VLOOKUP(L4,tables_settle_541100!B:C,2,FALSE)</f>
        <v>PremiumSSS5R3less</v>
      </c>
      <c r="R4" s="62">
        <f t="shared" si="1"/>
        <v>28800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1.0416666666666667E-3</v>
      </c>
      <c r="F5">
        <f>(COUNTIF(tables_settle_541100!C:C,input_settle_541100!A28)+COUNTIF(tables_settle_541100!C:C,input_settle_541100!A29))</f>
        <v>72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VLOOKUP(L5,tables_settle_541100!B:C,2,FALSE)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9.5312499999999998E-3</v>
      </c>
      <c r="F6">
        <f>(COUNTIF(tables_settle_541100!C:C,input_settle_541100!A25)+COUNTIF(tables_settle_541100!C:C,input_settle_541100!A18)+COUNTIF(tables_settle_541100!C:C,input_settle_541100!A20)+COUNTIF(tables_settle_541100!C:C,input_settle_541100!A22))</f>
        <v>96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VLOOKUP(L6,tables_settle_541100!B:C,2,FALSE)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VLOOKUP(L7,tables_settle_541100!B:C,2,FALSE)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VLOOKUP(L8,tables_settle_541100!B:C,2,FALSE)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VLOOKUP(L9,tables_settle_541100!B:C,2,FALSE)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VLOOKUP(L10,tables_settle_541100!B:C,2,FALSE)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VLOOKUP(L11,tables_settle_541100!B:C,2,FALSE)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VLOOKUP(L12,tables_settle_541100!B:C,2,FALSE)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VLOOKUP(L13,tables_settle_541100!B:C,2,FALSE)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VLOOKUP(L14,tables_settle_541100!B:C,2,FALSE)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VLOOKUP(L15,tables_settle_541100!B:C,2,FALSE)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VLOOKUP(L16,tables_settle_541100!B:C,2,FALSE)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COUNTIF(tables_settle_541100!C:C,input_settle_541100!A17)-COUNTIF(Q:Q,A17)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VLOOKUP(L17,tables_settle_541100!B:C,2,FALSE)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v>0</v>
      </c>
      <c r="C18" s="85">
        <f t="shared" si="2"/>
        <v>0</v>
      </c>
      <c r="D18" s="74">
        <f t="shared" si="3"/>
        <v>0</v>
      </c>
      <c r="E18">
        <f>COUNTIF(tables_settle_541100!C:C,input_settle_541100!A18)-COUNTIF(Q:Q,A18)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VLOOKUP(L18,tables_settle_541100!B:C,2,FALSE)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COUNTIF(tables_settle_541100!C:C,input_settle_541100!A19)-COUNTIF(Q:Q,A19)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VLOOKUP(L19,tables_settle_541100!B:C,2,FALSE)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5">
        <f t="shared" si="2"/>
        <v>0</v>
      </c>
      <c r="D20" s="74">
        <f t="shared" si="3"/>
        <v>0</v>
      </c>
      <c r="E20">
        <f>COUNTIF(tables_settle_541100!C:C,input_settle_541100!A20)-COUNTIF(Q:Q,A20)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VLOOKUP(L20,tables_settle_541100!B:C,2,FALSE)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0.62906250000000008</v>
      </c>
      <c r="C21" s="85">
        <f t="shared" si="2"/>
        <v>0</v>
      </c>
      <c r="D21" s="74">
        <f t="shared" si="3"/>
        <v>0.62906250000000008</v>
      </c>
      <c r="E21">
        <f>COUNTIF(tables_settle_541100!C:C,input_settle_541100!A21)-COUNTIF(Q:Q,A21)</f>
        <v>52</v>
      </c>
      <c r="F21" s="43">
        <f t="shared" si="8"/>
        <v>1.209735576923077E-2</v>
      </c>
      <c r="G21">
        <f t="shared" si="4"/>
        <v>3623400.0000000005</v>
      </c>
      <c r="H21">
        <f t="shared" si="5"/>
        <v>69680.769230000005</v>
      </c>
      <c r="I21">
        <f t="shared" si="6"/>
        <v>0.76923000000533648</v>
      </c>
      <c r="J21">
        <f t="shared" si="7"/>
        <v>1.3000012999922814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COUNTIF(tables_settle_541100!C:C,input_settle_541100!A22)-COUNTIF(Q:Q,A22)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0.24781249999999999</v>
      </c>
      <c r="C23" s="85">
        <f t="shared" si="2"/>
        <v>0</v>
      </c>
      <c r="D23" s="74">
        <f t="shared" si="3"/>
        <v>0.24781249999999999</v>
      </c>
      <c r="E23">
        <f>COUNTIF(tables_settle_541100!C:C,input_settle_541100!A23)-COUNTIF(Q:Q,A23)</f>
        <v>26</v>
      </c>
      <c r="F23" s="43">
        <f t="shared" si="8"/>
        <v>9.5312499999999998E-3</v>
      </c>
      <c r="G23">
        <f t="shared" si="4"/>
        <v>1427400</v>
      </c>
      <c r="H23">
        <f t="shared" si="5"/>
        <v>54900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COUNTIF(tables_settle_541100!C:C,input_settle_541100!A24)-COUNTIF(Q:Q,A24)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COUNTIF(tables_settle_541100!C:C,input_settle_541100!A25)-COUNTIF(Q:Q,A25)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3.8124999999999999E-2</v>
      </c>
      <c r="C26" s="85">
        <f t="shared" si="2"/>
        <v>0</v>
      </c>
      <c r="D26" s="74">
        <f t="shared" si="3"/>
        <v>3.8124999999999999E-2</v>
      </c>
      <c r="E26">
        <f>COUNTIF(tables_settle_541100!C:C,input_settle_541100!A26)-COUNTIF(Q:Q,A26)</f>
        <v>4</v>
      </c>
      <c r="F26" s="43">
        <f t="shared" si="8"/>
        <v>9.5312499999999998E-3</v>
      </c>
      <c r="G26">
        <f t="shared" si="4"/>
        <v>219600</v>
      </c>
      <c r="H26">
        <f t="shared" si="5"/>
        <v>54900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COUNTIF(tables_settle_541100!C:C,input_settle_541100!A27)-COUNTIF(Q:Q,A27)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2.9166666666666667E-2</v>
      </c>
      <c r="C28" s="85">
        <f t="shared" si="2"/>
        <v>0</v>
      </c>
      <c r="D28" s="74">
        <f t="shared" si="3"/>
        <v>2.9166666666666667E-2</v>
      </c>
      <c r="E28">
        <f>COUNTIF(tables_settle_541100!C:C,input_settle_541100!A28)-COUNTIF(Q:Q,A28)</f>
        <v>28</v>
      </c>
      <c r="F28" s="43">
        <f t="shared" si="8"/>
        <v>1.0416666666666667E-3</v>
      </c>
      <c r="G28">
        <f t="shared" si="4"/>
        <v>168000</v>
      </c>
      <c r="H28">
        <f t="shared" si="5"/>
        <v>6000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4.583333333333333E-2</v>
      </c>
      <c r="C29" s="85">
        <f t="shared" si="2"/>
        <v>0</v>
      </c>
      <c r="D29" s="74">
        <f t="shared" si="3"/>
        <v>4.583333333333333E-2</v>
      </c>
      <c r="E29">
        <f>COUNTIF(tables_settle_541100!C:C,input_settle_541100!A29)-COUNTIF(Q:Q,A29)</f>
        <v>44</v>
      </c>
      <c r="F29" s="43">
        <f t="shared" si="8"/>
        <v>1.0416666666666667E-3</v>
      </c>
      <c r="G29">
        <f t="shared" si="4"/>
        <v>264000</v>
      </c>
      <c r="H29">
        <f t="shared" si="5"/>
        <v>6000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COUNTIF(tables_settle_541100!C:C,input_settle_541100!A30)-COUNTIF(Q:Q,A30)</f>
        <v>1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COUNTIF(tables_settle_541100!C:C,input_settle_541100!A31)-COUNTIF(Q:Q,A31)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</v>
      </c>
      <c r="C32" s="41">
        <f>SUM(C19:C31)</f>
        <v>0.01</v>
      </c>
      <c r="D32" s="42">
        <f t="shared" si="3"/>
        <v>0.98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SUMIF(tables_settle_541100!C:C,input_settle_541100!A40,tables_settle_541100!O:O)</f>
        <v>0</v>
      </c>
      <c r="C40" s="54">
        <f t="shared" ref="C40:C46" ca="1" si="9">B40/B$47</f>
        <v>0</v>
      </c>
      <c r="E40">
        <v>3</v>
      </c>
      <c r="F40">
        <f ca="1">SUMIF(tables_settle_541100!J:J,input_settle_541100!E40,tables_settle_541100!O:O)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SUMIF(tables_settle_541100!C:C,input_settle_541100!A41,tables_settle_541100!O:O)</f>
        <v>0</v>
      </c>
      <c r="C41" s="54">
        <f t="shared" ca="1" si="9"/>
        <v>0</v>
      </c>
      <c r="E41">
        <v>4</v>
      </c>
      <c r="F41">
        <f ca="1">SUMIF(tables_settle_541100!J:J,input_settle_541100!E41,tables_settle_541100!O:O)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SUMIF(tables_settle_541100!C:C,input_settle_541100!A42,tables_settle_541100!O:O)</f>
        <v>0</v>
      </c>
      <c r="C42" s="54">
        <f t="shared" ca="1" si="9"/>
        <v>0</v>
      </c>
      <c r="E42">
        <v>5</v>
      </c>
      <c r="F42">
        <f ca="1">SUMIF(tables_settle_541100!J:J,input_settle_541100!E42,tables_settle_541100!O:O)</f>
        <v>5759999.9999600034</v>
      </c>
      <c r="G42">
        <f ca="1">F42/A36</f>
        <v>0.99999999999305611</v>
      </c>
    </row>
    <row r="43" spans="1:7" x14ac:dyDescent="0.15">
      <c r="A43" s="33" t="s">
        <v>109</v>
      </c>
      <c r="B43">
        <f>SUMIF(tables_settle_541100!C:C,input_settle_541100!A43,tables_settle_541100!O:O)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SUMIF(tables_settle_541100!C:C,input_settle_541100!A44,tables_settle_541100!O:O)</f>
        <v>3623399.9999600039</v>
      </c>
      <c r="C44" s="54">
        <f t="shared" ca="1" si="9"/>
        <v>0.95568919132727426</v>
      </c>
      <c r="E44" t="s">
        <v>54</v>
      </c>
      <c r="F44" s="55"/>
    </row>
    <row r="45" spans="1:7" x14ac:dyDescent="0.15">
      <c r="A45" s="33" t="s">
        <v>107</v>
      </c>
      <c r="B45">
        <f ca="1">SUMIF(tables_settle_541100!C:C,input_settle_541100!A45,tables_settle_541100!O:O)</f>
        <v>168000</v>
      </c>
      <c r="C45" s="54">
        <f t="shared" ca="1" si="9"/>
        <v>4.4310808672725709E-2</v>
      </c>
      <c r="E45" t="s">
        <v>204</v>
      </c>
      <c r="F45" s="55">
        <f ca="1">SUMIF(tables_settle_541100!I:I,input_settle_541100!E45,tables_settle_541100!P:P)</f>
        <v>5.7187500000397094E-2</v>
      </c>
    </row>
    <row r="46" spans="1:7" x14ac:dyDescent="0.15">
      <c r="A46" s="33" t="s">
        <v>108</v>
      </c>
      <c r="B46">
        <f>SUMIF(tables_settle_541100!C:C,input_settle_541100!A46,tables_settle_541100!O:O)</f>
        <v>0</v>
      </c>
      <c r="C46" s="54">
        <f t="shared" ca="1" si="9"/>
        <v>0</v>
      </c>
      <c r="E46" t="s">
        <v>205</v>
      </c>
      <c r="F46" s="55">
        <f ca="1">SUMIF(tables_settle_541100!I:I,input_settle_541100!E46,tables_settle_541100!P:P)</f>
        <v>0.23424879807627935</v>
      </c>
    </row>
    <row r="47" spans="1:7" x14ac:dyDescent="0.15">
      <c r="A47" s="39" t="s">
        <v>59</v>
      </c>
      <c r="B47">
        <f ca="1">SUM(B40:B46)</f>
        <v>3791399.9999600039</v>
      </c>
      <c r="C47" s="55">
        <f ca="1">SUM(C40:C46)</f>
        <v>1</v>
      </c>
      <c r="E47" t="s">
        <v>206</v>
      </c>
      <c r="F47" s="55">
        <f ca="1">SUMIF(tables_settle_541100!I:I,input_settle_541100!E47,tables_settle_541100!P:P)</f>
        <v>0.62356370192273269</v>
      </c>
    </row>
    <row r="48" spans="1:7" x14ac:dyDescent="0.15">
      <c r="E48" t="s">
        <v>207</v>
      </c>
      <c r="F48" s="55">
        <f ca="1">SUMIF(tables_settle_541100!I:I,input_settle_541100!E48,tables_settle_541100!P:P)</f>
        <v>6.562500000045568E-2</v>
      </c>
      <c r="G48" s="55"/>
    </row>
    <row r="49" spans="5:6" x14ac:dyDescent="0.15">
      <c r="E49" t="s">
        <v>249</v>
      </c>
      <c r="F49" s="55">
        <f ca="1">SUMIF(tables_settle_541100!I:I,input_settle_541100!E49,tables_settle_541100!P:P)</f>
        <v>9.3750000000651004E-3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8"/>
  <sheetViews>
    <sheetView showGridLines="0" zoomScale="75" zoomScaleNormal="75" zoomScalePageLayoutView="75" workbookViewId="0">
      <pane ySplit="1" topLeftCell="A334" activePane="bottomLeft" state="frozen"/>
      <selection activeCell="H276" sqref="H276"/>
      <selection pane="bottomLeft" activeCell="A358" sqref="A3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input_settle_541100!A$2</f>
        <v>541100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IFERROR(VLOOKUP(B2,input_settle_541100!L:R,7,FALSE),VLOOKUP(tables_settle_541100!C2,input_settle_541100!A:H,8,FALSE))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input_settle_541100!A$2</f>
        <v>541100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IFERROR(VLOOKUP(B3,input_settle_541100!L:R,7,FALSE),VLOOKUP(tables_settle_541100!C3,input_settle_541100!A:H,8,FALSE))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input_settle_541100!A$2</f>
        <v>541100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IFERROR(VLOOKUP(B4,input_settle_541100!L:R,7,FALSE),VLOOKUP(tables_settle_541100!C4,input_settle_541100!A:H,8,FALSE))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input_settle_541100!A$2</f>
        <v>541100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IFERROR(VLOOKUP(B5,input_settle_541100!L:R,7,FALSE),VLOOKUP(tables_settle_541100!C5,input_settle_541100!A:H,8,FALSE))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input_settle_541100!A$2</f>
        <v>541100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IFERROR(VLOOKUP(B6,input_settle_541100!L:R,7,FALSE),VLOOKUP(tables_settle_541100!C6,input_settle_541100!A:H,8,FALSE))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input_settle_541100!A$2</f>
        <v>541100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IFERROR(VLOOKUP(B7,input_settle_541100!L:R,7,FALSE),VLOOKUP(tables_settle_541100!C7,input_settle_541100!A:H,8,FALSE))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input_settle_541100!A$2</f>
        <v>541100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IFERROR(VLOOKUP(B8,input_settle_541100!L:R,7,FALSE),VLOOKUP(tables_settle_541100!C8,input_settle_541100!A:H,8,FALSE))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input_settle_541100!A$2</f>
        <v>541100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IFERROR(VLOOKUP(B9,input_settle_541100!L:R,7,FALSE),VLOOKUP(tables_settle_541100!C9,input_settle_541100!A:H,8,FALSE))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input_settle_541100!A$2</f>
        <v>541100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IFERROR(VLOOKUP(B10,input_settle_541100!L:R,7,FALSE),VLOOKUP(tables_settle_541100!C10,input_settle_541100!A:H,8,FALSE))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input_settle_541100!A$2</f>
        <v>541100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IFERROR(VLOOKUP(B11,input_settle_541100!L:R,7,FALSE),VLOOKUP(tables_settle_541100!C11,input_settle_541100!A:H,8,FALSE))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input_settle_541100!A$2</f>
        <v>541100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IFERROR(VLOOKUP(B12,input_settle_541100!L:R,7,FALSE),VLOOKUP(tables_settle_541100!C12,input_settle_541100!A:H,8,FALSE))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input_settle_541100!A$2</f>
        <v>541100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IFERROR(VLOOKUP(B13,input_settle_541100!L:R,7,FALSE),VLOOKUP(tables_settle_541100!C13,input_settle_541100!A:H,8,FALSE))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input_settle_541100!A$2</f>
        <v>541100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IFERROR(VLOOKUP(B14,input_settle_541100!L:R,7,FALSE),VLOOKUP(tables_settle_541100!C14,input_settle_541100!A:H,8,FALSE))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input_settle_541100!A$2</f>
        <v>541100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IFERROR(VLOOKUP(B15,input_settle_541100!L:R,7,FALSE),VLOOKUP(tables_settle_541100!C15,input_settle_541100!A:H,8,FALSE))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input_settle_541100!A$2</f>
        <v>541100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IFERROR(VLOOKUP(B16,input_settle_541100!L:R,7,FALSE),VLOOKUP(tables_settle_541100!C16,input_settle_541100!A:H,8,FALSE))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input_settle_541100!A$2</f>
        <v>541100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IFERROR(VLOOKUP(B17,input_settle_541100!L:R,7,FALSE),VLOOKUP(tables_settle_541100!C17,input_settle_541100!A:H,8,FALSE))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input_settle_541100!A$2</f>
        <v>541100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IFERROR(VLOOKUP(B18,input_settle_541100!L:R,7,FALSE),VLOOKUP(tables_settle_541100!C18,input_settle_541100!A:H,8,FALSE))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input_settle_541100!A$2</f>
        <v>541100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IFERROR(VLOOKUP(B19,input_settle_541100!L:R,7,FALSE),VLOOKUP(tables_settle_541100!C19,input_settle_541100!A:H,8,FALSE))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input_settle_541100!A$2</f>
        <v>541100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IFERROR(VLOOKUP(B20,input_settle_541100!L:R,7,FALSE),VLOOKUP(tables_settle_541100!C20,input_settle_541100!A:H,8,FALSE))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input_settle_541100!A$2</f>
        <v>541100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IFERROR(VLOOKUP(B21,input_settle_541100!L:R,7,FALSE),VLOOKUP(tables_settle_541100!C21,input_settle_541100!A:H,8,FALSE))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input_settle_541100!A$2</f>
        <v>541100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IFERROR(VLOOKUP(B22,input_settle_541100!L:R,7,FALSE),VLOOKUP(tables_settle_541100!C22,input_settle_541100!A:H,8,FALSE))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input_settle_541100!A$2</f>
        <v>541100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IFERROR(VLOOKUP(B23,input_settle_541100!L:R,7,FALSE),VLOOKUP(tables_settle_541100!C23,input_settle_541100!A:H,8,FALSE))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input_settle_541100!A$2</f>
        <v>541100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IFERROR(VLOOKUP(B24,input_settle_541100!L:R,7,FALSE),VLOOKUP(tables_settle_541100!C24,input_settle_541100!A:H,8,FALSE))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input_settle_541100!A$2</f>
        <v>541100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IFERROR(VLOOKUP(B25,input_settle_541100!L:R,7,FALSE),VLOOKUP(tables_settle_541100!C25,input_settle_541100!A:H,8,FALSE))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input_settle_541100!A$2</f>
        <v>541100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IFERROR(VLOOKUP(B26,input_settle_541100!L:R,7,FALSE),VLOOKUP(tables_settle_541100!C26,input_settle_541100!A:H,8,FALSE))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input_settle_541100!A$2</f>
        <v>541100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IFERROR(VLOOKUP(B27,input_settle_541100!L:R,7,FALSE),VLOOKUP(tables_settle_541100!C27,input_settle_541100!A:H,8,FALSE))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input_settle_541100!A$2</f>
        <v>541100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IFERROR(VLOOKUP(B28,input_settle_541100!L:R,7,FALSE),VLOOKUP(tables_settle_541100!C28,input_settle_541100!A:H,8,FALSE))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input_settle_541100!A$2</f>
        <v>541100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IFERROR(VLOOKUP(B29,input_settle_541100!L:R,7,FALSE),VLOOKUP(tables_settle_541100!C29,input_settle_541100!A:H,8,FALSE))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input_settle_541100!A$2</f>
        <v>541100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IFERROR(VLOOKUP(B30,input_settle_541100!L:R,7,FALSE),VLOOKUP(tables_settle_541100!C30,input_settle_541100!A:H,8,FALSE))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input_settle_541100!A$2</f>
        <v>541100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IFERROR(VLOOKUP(B31,input_settle_541100!L:R,7,FALSE),VLOOKUP(tables_settle_541100!C31,input_settle_541100!A:H,8,FALSE))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input_settle_541100!A$2</f>
        <v>541100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IFERROR(VLOOKUP(B32,input_settle_541100!L:R,7,FALSE),VLOOKUP(tables_settle_541100!C32,input_settle_541100!A:H,8,FALSE))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input_settle_541100!A$2</f>
        <v>541100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IFERROR(VLOOKUP(B33,input_settle_541100!L:R,7,FALSE),VLOOKUP(tables_settle_541100!C33,input_settle_541100!A:H,8,FALSE))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input_settle_541100!A$2</f>
        <v>541100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IFERROR(VLOOKUP(B34,input_settle_541100!L:R,7,FALSE),VLOOKUP(tables_settle_541100!C34,input_settle_541100!A:H,8,FALSE))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input_settle_541100!A$2</f>
        <v>541100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IFERROR(VLOOKUP(B35,input_settle_541100!L:R,7,FALSE),VLOOKUP(tables_settle_541100!C35,input_settle_541100!A:H,8,FALSE))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input_settle_541100!A$2</f>
        <v>541100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IFERROR(VLOOKUP(B36,input_settle_541100!L:R,7,FALSE),VLOOKUP(tables_settle_541100!C36,input_settle_541100!A:H,8,FALSE))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input_settle_541100!A$2</f>
        <v>541100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IFERROR(VLOOKUP(B37,input_settle_541100!L:R,7,FALSE),VLOOKUP(tables_settle_541100!C37,input_settle_541100!A:H,8,FALSE))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input_settle_541100!A$2</f>
        <v>541100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IFERROR(VLOOKUP(B38,input_settle_541100!L:R,7,FALSE),VLOOKUP(tables_settle_541100!C38,input_settle_541100!A:H,8,FALSE))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input_settle_541100!A$2</f>
        <v>541100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IFERROR(VLOOKUP(B39,input_settle_541100!L:R,7,FALSE),VLOOKUP(tables_settle_541100!C39,input_settle_541100!A:H,8,FALSE))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input_settle_541100!A$2</f>
        <v>541100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IFERROR(VLOOKUP(B40,input_settle_541100!L:R,7,FALSE),VLOOKUP(tables_settle_541100!C40,input_settle_541100!A:H,8,FALSE))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input_settle_541100!A$2</f>
        <v>541100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IFERROR(VLOOKUP(B41,input_settle_541100!L:R,7,FALSE),VLOOKUP(tables_settle_541100!C41,input_settle_541100!A:H,8,FALSE))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input_settle_541100!A$2</f>
        <v>541100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IFERROR(VLOOKUP(B42,input_settle_541100!L:R,7,FALSE),VLOOKUP(tables_settle_541100!C42,input_settle_541100!A:H,8,FALSE))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input_settle_541100!A$2</f>
        <v>541100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IFERROR(VLOOKUP(B43,input_settle_541100!L:R,7,FALSE),VLOOKUP(tables_settle_541100!C43,input_settle_541100!A:H,8,FALSE))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input_settle_541100!A$2</f>
        <v>541100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IFERROR(VLOOKUP(B44,input_settle_541100!L:R,7,FALSE),VLOOKUP(tables_settle_541100!C44,input_settle_541100!A:H,8,FALSE))</f>
        <v>54900</v>
      </c>
      <c r="P44" s="46">
        <f t="shared" ca="1" si="1"/>
        <v>9.531250000066183E-3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input_settle_541100!A$2</f>
        <v>541100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IFERROR(VLOOKUP(B45,input_settle_541100!L:R,7,FALSE),VLOOKUP(tables_settle_541100!C45,input_settle_541100!A:H,8,FALSE))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input_settle_541100!A$2</f>
        <v>541100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IFERROR(VLOOKUP(B46,input_settle_541100!L:R,7,FALSE),VLOOKUP(tables_settle_541100!C46,input_settle_541100!A:H,8,FALSE))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input_settle_541100!A$2</f>
        <v>541100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IFERROR(VLOOKUP(B47,input_settle_541100!L:R,7,FALSE),VLOOKUP(tables_settle_541100!C47,input_settle_541100!A:H,8,FALSE))</f>
        <v>54900</v>
      </c>
      <c r="P47" s="46">
        <f t="shared" ca="1" si="1"/>
        <v>9.531250000066183E-3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input_settle_541100!A$2</f>
        <v>541100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IFERROR(VLOOKUP(B48,input_settle_541100!L:R,7,FALSE),VLOOKUP(tables_settle_541100!C48,input_settle_541100!A:H,8,FALSE))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input_settle_541100!A$2</f>
        <v>541100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IFERROR(VLOOKUP(B49,input_settle_541100!L:R,7,FALSE),VLOOKUP(tables_settle_541100!C49,input_settle_541100!A:H,8,FALSE))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input_settle_541100!A$2</f>
        <v>541100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IFERROR(VLOOKUP(B50,input_settle_541100!L:R,7,FALSE),VLOOKUP(tables_settle_541100!C50,input_settle_541100!A:H,8,FALSE))</f>
        <v>54900</v>
      </c>
      <c r="P50" s="46">
        <f t="shared" ca="1" si="1"/>
        <v>9.531250000066183E-3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input_settle_541100!A$2</f>
        <v>541100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IFERROR(VLOOKUP(B51,input_settle_541100!L:R,7,FALSE),VLOOKUP(tables_settle_541100!C51,input_settle_541100!A:H,8,FALSE))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input_settle_541100!A$2</f>
        <v>541100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IFERROR(VLOOKUP(B52,input_settle_541100!L:R,7,FALSE),VLOOKUP(tables_settle_541100!C52,input_settle_541100!A:H,8,FALSE))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input_settle_541100!A$2</f>
        <v>541100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IFERROR(VLOOKUP(B53,input_settle_541100!L:R,7,FALSE),VLOOKUP(tables_settle_541100!C53,input_settle_541100!A:H,8,FALSE))</f>
        <v>69680.769230000005</v>
      </c>
      <c r="P53" s="46">
        <f t="shared" ca="1" si="1"/>
        <v>1.2097355769181225E-2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input_settle_541100!A$2</f>
        <v>541100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IFERROR(VLOOKUP(B54,input_settle_541100!L:R,7,FALSE),VLOOKUP(tables_settle_541100!C54,input_settle_541100!A:H,8,FALSE))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input_settle_541100!A$2</f>
        <v>541100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IFERROR(VLOOKUP(B55,input_settle_541100!L:R,7,FALSE),VLOOKUP(tables_settle_541100!C55,input_settle_541100!A:H,8,FALSE))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input_settle_541100!A$2</f>
        <v>541100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IFERROR(VLOOKUP(B56,input_settle_541100!L:R,7,FALSE),VLOOKUP(tables_settle_541100!C56,input_settle_541100!A:H,8,FALSE))</f>
        <v>69680.769230000005</v>
      </c>
      <c r="P56" s="46">
        <f t="shared" ca="1" si="1"/>
        <v>1.2097355769181225E-2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input_settle_541100!A$2</f>
        <v>541100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IFERROR(VLOOKUP(B57,input_settle_541100!L:R,7,FALSE),VLOOKUP(tables_settle_541100!C57,input_settle_541100!A:H,8,FALSE))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input_settle_541100!A$2</f>
        <v>541100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IFERROR(VLOOKUP(B58,input_settle_541100!L:R,7,FALSE),VLOOKUP(tables_settle_541100!C58,input_settle_541100!A:H,8,FALSE))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input_settle_541100!A$2</f>
        <v>541100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IFERROR(VLOOKUP(B59,input_settle_541100!L:R,7,FALSE),VLOOKUP(tables_settle_541100!C59,input_settle_541100!A:H,8,FALSE))</f>
        <v>69680.769230000005</v>
      </c>
      <c r="P59" s="46">
        <f t="shared" ca="1" si="1"/>
        <v>1.2097355769181225E-2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input_settle_541100!A$2</f>
        <v>541100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IFERROR(VLOOKUP(B60,input_settle_541100!L:R,7,FALSE),VLOOKUP(tables_settle_541100!C60,input_settle_541100!A:H,8,FALSE))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input_settle_541100!A$2</f>
        <v>541100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IFERROR(VLOOKUP(B61,input_settle_541100!L:R,7,FALSE),VLOOKUP(tables_settle_541100!C61,input_settle_541100!A:H,8,FALSE))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input_settle_541100!A$2</f>
        <v>541100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IFERROR(VLOOKUP(B62,input_settle_541100!L:R,7,FALSE),VLOOKUP(tables_settle_541100!C62,input_settle_541100!A:H,8,FALSE))</f>
        <v>69680.769230000005</v>
      </c>
      <c r="P62" s="46">
        <f t="shared" ca="1" si="1"/>
        <v>1.2097355769181225E-2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input_settle_541100!A$2</f>
        <v>541100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IFERROR(VLOOKUP(B63,input_settle_541100!L:R,7,FALSE),VLOOKUP(tables_settle_541100!C63,input_settle_541100!A:H,8,FALSE))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input_settle_541100!A$2</f>
        <v>541100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IFERROR(VLOOKUP(B64,input_settle_541100!L:R,7,FALSE),VLOOKUP(tables_settle_541100!C64,input_settle_541100!A:H,8,FALSE))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input_settle_541100!A$2</f>
        <v>541100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IFERROR(VLOOKUP(B65,input_settle_541100!L:R,7,FALSE),VLOOKUP(tables_settle_541100!C65,input_settle_541100!A:H,8,FALSE))</f>
        <v>69680.769230000005</v>
      </c>
      <c r="P65" s="46">
        <f t="shared" ca="1" si="1"/>
        <v>1.2097355769181225E-2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input_settle_541100!A$2</f>
        <v>541100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IFERROR(VLOOKUP(B66,input_settle_541100!L:R,7,FALSE),VLOOKUP(tables_settle_541100!C66,input_settle_541100!A:H,8,FALSE))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input_settle_541100!A$2</f>
        <v>541100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IFERROR(VLOOKUP(B67,input_settle_541100!L:R,7,FALSE),VLOOKUP(tables_settle_541100!C67,input_settle_541100!A:H,8,FALSE))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input_settle_541100!A$2</f>
        <v>541100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IFERROR(VLOOKUP(B68,input_settle_541100!L:R,7,FALSE),VLOOKUP(tables_settle_541100!C68,input_settle_541100!A:H,8,FALSE))</f>
        <v>69680.769230000005</v>
      </c>
      <c r="P68" s="46">
        <f t="shared" ca="1" si="4"/>
        <v>1.2097355769181225E-2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input_settle_541100!A$2</f>
        <v>541100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IFERROR(VLOOKUP(B69,input_settle_541100!L:R,7,FALSE),VLOOKUP(tables_settle_541100!C69,input_settle_541100!A:H,8,FALSE))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input_settle_541100!A$2</f>
        <v>541100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IFERROR(VLOOKUP(B70,input_settle_541100!L:R,7,FALSE),VLOOKUP(tables_settle_541100!C70,input_settle_541100!A:H,8,FALSE))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input_settle_541100!A$2</f>
        <v>541100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IFERROR(VLOOKUP(B71,input_settle_541100!L:R,7,FALSE),VLOOKUP(tables_settle_541100!C71,input_settle_541100!A:H,8,FALSE))</f>
        <v>69680.769230000005</v>
      </c>
      <c r="P71" s="46">
        <f t="shared" ca="1" si="4"/>
        <v>1.2097355769181225E-2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input_settle_541100!A$2</f>
        <v>541100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IFERROR(VLOOKUP(B72,input_settle_541100!L:R,7,FALSE),VLOOKUP(tables_settle_541100!C72,input_settle_541100!A:H,8,FALSE))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input_settle_541100!A$2</f>
        <v>541100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IFERROR(VLOOKUP(B73,input_settle_541100!L:R,7,FALSE),VLOOKUP(tables_settle_541100!C73,input_settle_541100!A:H,8,FALSE))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input_settle_541100!A$2</f>
        <v>541100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IFERROR(VLOOKUP(B74,input_settle_541100!L:R,7,FALSE),VLOOKUP(tables_settle_541100!C74,input_settle_541100!A:H,8,FALSE))</f>
        <v>69680.769230000005</v>
      </c>
      <c r="P74" s="46">
        <f t="shared" ca="1" si="4"/>
        <v>1.2097355769181225E-2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input_settle_541100!A$2</f>
        <v>541100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IFERROR(VLOOKUP(B75,input_settle_541100!L:R,7,FALSE),VLOOKUP(tables_settle_541100!C75,input_settle_541100!A:H,8,FALSE))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input_settle_541100!A$2</f>
        <v>541100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IFERROR(VLOOKUP(B76,input_settle_541100!L:R,7,FALSE),VLOOKUP(tables_settle_541100!C76,input_settle_541100!A:H,8,FALSE))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input_settle_541100!A$2</f>
        <v>541100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IFERROR(VLOOKUP(B77,input_settle_541100!L:R,7,FALSE),VLOOKUP(tables_settle_541100!C77,input_settle_541100!A:H,8,FALSE))</f>
        <v>69680.769230000005</v>
      </c>
      <c r="P77" s="46">
        <f t="shared" ca="1" si="4"/>
        <v>1.2097355769181225E-2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input_settle_541100!A$2</f>
        <v>541100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IFERROR(VLOOKUP(B78,input_settle_541100!L:R,7,FALSE),VLOOKUP(tables_settle_541100!C78,input_settle_541100!A:H,8,FALSE))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input_settle_541100!A$2</f>
        <v>541100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IFERROR(VLOOKUP(B79,input_settle_541100!L:R,7,FALSE),VLOOKUP(tables_settle_541100!C79,input_settle_541100!A:H,8,FALSE))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input_settle_541100!A$2</f>
        <v>541100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IFERROR(VLOOKUP(B80,input_settle_541100!L:R,7,FALSE),VLOOKUP(tables_settle_541100!C80,input_settle_541100!A:H,8,FALSE))</f>
        <v>69680.769230000005</v>
      </c>
      <c r="P80" s="46">
        <f t="shared" ca="1" si="4"/>
        <v>1.2097355769181225E-2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input_settle_541100!A$2</f>
        <v>541100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IFERROR(VLOOKUP(B81,input_settle_541100!L:R,7,FALSE),VLOOKUP(tables_settle_541100!C81,input_settle_541100!A:H,8,FALSE))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input_settle_541100!A$2</f>
        <v>541100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IFERROR(VLOOKUP(B82,input_settle_541100!L:R,7,FALSE),VLOOKUP(tables_settle_541100!C82,input_settle_541100!A:H,8,FALSE))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input_settle_541100!A$2</f>
        <v>541100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IFERROR(VLOOKUP(B83,input_settle_541100!L:R,7,FALSE),VLOOKUP(tables_settle_541100!C83,input_settle_541100!A:H,8,FALSE))</f>
        <v>69680.769230000005</v>
      </c>
      <c r="P83" s="46">
        <f t="shared" ca="1" si="4"/>
        <v>1.2097355769181225E-2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input_settle_541100!A$2</f>
        <v>541100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IFERROR(VLOOKUP(B84,input_settle_541100!L:R,7,FALSE),VLOOKUP(tables_settle_541100!C84,input_settle_541100!A:H,8,FALSE))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input_settle_541100!A$2</f>
        <v>541100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IFERROR(VLOOKUP(B85,input_settle_541100!L:R,7,FALSE),VLOOKUP(tables_settle_541100!C85,input_settle_541100!A:H,8,FALSE))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input_settle_541100!A$2</f>
        <v>541100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IFERROR(VLOOKUP(B86,input_settle_541100!L:R,7,FALSE),VLOOKUP(tables_settle_541100!C86,input_settle_541100!A:H,8,FALSE))</f>
        <v>69680.769230000005</v>
      </c>
      <c r="P86" s="46">
        <f t="shared" ca="1" si="4"/>
        <v>1.2097355769181225E-2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input_settle_541100!A$2</f>
        <v>541100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IFERROR(VLOOKUP(B87,input_settle_541100!L:R,7,FALSE),VLOOKUP(tables_settle_541100!C87,input_settle_541100!A:H,8,FALSE))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input_settle_541100!A$2</f>
        <v>541100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IFERROR(VLOOKUP(B88,input_settle_541100!L:R,7,FALSE),VLOOKUP(tables_settle_541100!C88,input_settle_541100!A:H,8,FALSE))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input_settle_541100!A$2</f>
        <v>541100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IFERROR(VLOOKUP(B89,input_settle_541100!L:R,7,FALSE),VLOOKUP(tables_settle_541100!C89,input_settle_541100!A:H,8,FALSE))</f>
        <v>69680.769230000005</v>
      </c>
      <c r="P89" s="46">
        <f t="shared" ca="1" si="4"/>
        <v>1.2097355769181225E-2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input_settle_541100!A$2</f>
        <v>541100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IFERROR(VLOOKUP(B90,input_settle_541100!L:R,7,FALSE),VLOOKUP(tables_settle_541100!C90,input_settle_541100!A:H,8,FALSE))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input_settle_541100!A$2</f>
        <v>541100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IFERROR(VLOOKUP(B91,input_settle_541100!L:R,7,FALSE),VLOOKUP(tables_settle_541100!C91,input_settle_541100!A:H,8,FALSE))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input_settle_541100!A$2</f>
        <v>541100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IFERROR(VLOOKUP(B92,input_settle_541100!L:R,7,FALSE),VLOOKUP(tables_settle_541100!C92,input_settle_541100!A:H,8,FALSE))</f>
        <v>69680.769230000005</v>
      </c>
      <c r="P92" s="46">
        <f t="shared" ca="1" si="4"/>
        <v>1.2097355769181225E-2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input_settle_541100!A$2</f>
        <v>541100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IFERROR(VLOOKUP(B93,input_settle_541100!L:R,7,FALSE),VLOOKUP(tables_settle_541100!C93,input_settle_541100!A:H,8,FALSE))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input_settle_541100!A$2</f>
        <v>541100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IFERROR(VLOOKUP(B94,input_settle_541100!L:R,7,FALSE),VLOOKUP(tables_settle_541100!C94,input_settle_541100!A:H,8,FALSE))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input_settle_541100!A$2</f>
        <v>541100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IFERROR(VLOOKUP(B95,input_settle_541100!L:R,7,FALSE),VLOOKUP(tables_settle_541100!C95,input_settle_541100!A:H,8,FALSE))</f>
        <v>69680.769230000005</v>
      </c>
      <c r="P95" s="46">
        <f t="shared" ca="1" si="4"/>
        <v>1.2097355769181225E-2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input_settle_541100!A$2</f>
        <v>541100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IFERROR(VLOOKUP(B96,input_settle_541100!L:R,7,FALSE),VLOOKUP(tables_settle_541100!C96,input_settle_541100!A:H,8,FALSE))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input_settle_541100!A$2</f>
        <v>541100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IFERROR(VLOOKUP(B97,input_settle_541100!L:R,7,FALSE),VLOOKUP(tables_settle_541100!C97,input_settle_541100!A:H,8,FALSE))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input_settle_541100!A$2</f>
        <v>541100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IFERROR(VLOOKUP(B98,input_settle_541100!L:R,7,FALSE),VLOOKUP(tables_settle_541100!C98,input_settle_541100!A:H,8,FALSE))</f>
        <v>69680.769230000005</v>
      </c>
      <c r="P98" s="46">
        <f t="shared" ca="1" si="4"/>
        <v>1.2097355769181225E-2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input_settle_541100!A$2</f>
        <v>541100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IFERROR(VLOOKUP(B99,input_settle_541100!L:R,7,FALSE),VLOOKUP(tables_settle_541100!C99,input_settle_541100!A:H,8,FALSE))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input_settle_541100!A$2</f>
        <v>541100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IFERROR(VLOOKUP(B100,input_settle_541100!L:R,7,FALSE),VLOOKUP(tables_settle_541100!C100,input_settle_541100!A:H,8,FALSE))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input_settle_541100!A$2</f>
        <v>541100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IFERROR(VLOOKUP(B101,input_settle_541100!L:R,7,FALSE),VLOOKUP(tables_settle_541100!C101,input_settle_541100!A:H,8,FALSE))</f>
        <v>69680.769230000005</v>
      </c>
      <c r="P101" s="46">
        <f t="shared" ca="1" si="4"/>
        <v>1.2097355769181225E-2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input_settle_541100!A$2</f>
        <v>541100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IFERROR(VLOOKUP(B102,input_settle_541100!L:R,7,FALSE),VLOOKUP(tables_settle_541100!C102,input_settle_541100!A:H,8,FALSE))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input_settle_541100!A$2</f>
        <v>541100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IFERROR(VLOOKUP(B103,input_settle_541100!L:R,7,FALSE),VLOOKUP(tables_settle_541100!C103,input_settle_541100!A:H,8,FALSE))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input_settle_541100!A$2</f>
        <v>541100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IFERROR(VLOOKUP(B104,input_settle_541100!L:R,7,FALSE),VLOOKUP(tables_settle_541100!C104,input_settle_541100!A:H,8,FALSE))</f>
        <v>69680.769230000005</v>
      </c>
      <c r="P104" s="46">
        <f t="shared" ca="1" si="4"/>
        <v>1.2097355769181225E-2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input_settle_541100!A$2</f>
        <v>541100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IFERROR(VLOOKUP(B105,input_settle_541100!L:R,7,FALSE),VLOOKUP(tables_settle_541100!C105,input_settle_541100!A:H,8,FALSE))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input_settle_541100!A$2</f>
        <v>541100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IFERROR(VLOOKUP(B106,input_settle_541100!L:R,7,FALSE),VLOOKUP(tables_settle_541100!C106,input_settle_541100!A:H,8,FALSE))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input_settle_541100!A$2</f>
        <v>541100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IFERROR(VLOOKUP(B107,input_settle_541100!L:R,7,FALSE),VLOOKUP(tables_settle_541100!C107,input_settle_541100!A:H,8,FALSE))</f>
        <v>69680.769230000005</v>
      </c>
      <c r="P107" s="46">
        <f t="shared" ca="1" si="4"/>
        <v>1.2097355769181225E-2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input_settle_541100!A$2</f>
        <v>541100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IFERROR(VLOOKUP(B108,input_settle_541100!L:R,7,FALSE),VLOOKUP(tables_settle_541100!C108,input_settle_541100!A:H,8,FALSE))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input_settle_541100!A$2</f>
        <v>541100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IFERROR(VLOOKUP(B109,input_settle_541100!L:R,7,FALSE),VLOOKUP(tables_settle_541100!C109,input_settle_541100!A:H,8,FALSE))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input_settle_541100!A$2</f>
        <v>541100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IFERROR(VLOOKUP(B110,input_settle_541100!L:R,7,FALSE),VLOOKUP(tables_settle_541100!C110,input_settle_541100!A:H,8,FALSE))</f>
        <v>69680.769230000005</v>
      </c>
      <c r="P110" s="46">
        <f t="shared" ca="1" si="4"/>
        <v>1.2097355769181225E-2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input_settle_541100!A$2</f>
        <v>541100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IFERROR(VLOOKUP(B111,input_settle_541100!L:R,7,FALSE),VLOOKUP(tables_settle_541100!C111,input_settle_541100!A:H,8,FALSE))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input_settle_541100!A$2</f>
        <v>541100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IFERROR(VLOOKUP(B112,input_settle_541100!L:R,7,FALSE),VLOOKUP(tables_settle_541100!C112,input_settle_541100!A:H,8,FALSE))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input_settle_541100!A$2</f>
        <v>541100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IFERROR(VLOOKUP(B113,input_settle_541100!L:R,7,FALSE),VLOOKUP(tables_settle_541100!C113,input_settle_541100!A:H,8,FALSE))</f>
        <v>54900</v>
      </c>
      <c r="P113" s="46">
        <f t="shared" ca="1" si="4"/>
        <v>9.531250000066183E-3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input_settle_541100!A$2</f>
        <v>541100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IFERROR(VLOOKUP(B114,input_settle_541100!L:R,7,FALSE),VLOOKUP(tables_settle_541100!C114,input_settle_541100!A:H,8,FALSE))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input_settle_541100!A$2</f>
        <v>541100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IFERROR(VLOOKUP(B115,input_settle_541100!L:R,7,FALSE),VLOOKUP(tables_settle_541100!C115,input_settle_541100!A:H,8,FALSE))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input_settle_541100!A$2</f>
        <v>541100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IFERROR(VLOOKUP(B116,input_settle_541100!L:R,7,FALSE),VLOOKUP(tables_settle_541100!C116,input_settle_541100!A:H,8,FALSE))</f>
        <v>69680.769230000005</v>
      </c>
      <c r="P116" s="46">
        <f t="shared" ca="1" si="4"/>
        <v>1.2097355769181225E-2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input_settle_541100!A$2</f>
        <v>541100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IFERROR(VLOOKUP(B117,input_settle_541100!L:R,7,FALSE),VLOOKUP(tables_settle_541100!C117,input_settle_541100!A:H,8,FALSE))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input_settle_541100!A$2</f>
        <v>541100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IFERROR(VLOOKUP(B118,input_settle_541100!L:R,7,FALSE),VLOOKUP(tables_settle_541100!C118,input_settle_541100!A:H,8,FALSE))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input_settle_541100!A$2</f>
        <v>541100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IFERROR(VLOOKUP(B119,input_settle_541100!L:R,7,FALSE),VLOOKUP(tables_settle_541100!C119,input_settle_541100!A:H,8,FALSE))</f>
        <v>69680.769230000005</v>
      </c>
      <c r="P119" s="46">
        <f t="shared" ca="1" si="4"/>
        <v>1.2097355769181225E-2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input_settle_541100!A$2</f>
        <v>541100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IFERROR(VLOOKUP(B120,input_settle_541100!L:R,7,FALSE),VLOOKUP(tables_settle_541100!C120,input_settle_541100!A:H,8,FALSE))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input_settle_541100!A$2</f>
        <v>541100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IFERROR(VLOOKUP(B121,input_settle_541100!L:R,7,FALSE),VLOOKUP(tables_settle_541100!C121,input_settle_541100!A:H,8,FALSE))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input_settle_541100!A$2</f>
        <v>541100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IFERROR(VLOOKUP(B122,input_settle_541100!L:R,7,FALSE),VLOOKUP(tables_settle_541100!C122,input_settle_541100!A:H,8,FALSE))</f>
        <v>69680.769230000005</v>
      </c>
      <c r="P122" s="46">
        <f t="shared" ca="1" si="4"/>
        <v>1.2097355769181225E-2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input_settle_541100!A$2</f>
        <v>541100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IFERROR(VLOOKUP(B123,input_settle_541100!L:R,7,FALSE),VLOOKUP(tables_settle_541100!C123,input_settle_541100!A:H,8,FALSE))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input_settle_541100!A$2</f>
        <v>541100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IFERROR(VLOOKUP(B124,input_settle_541100!L:R,7,FALSE),VLOOKUP(tables_settle_541100!C124,input_settle_541100!A:H,8,FALSE))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input_settle_541100!A$2</f>
        <v>541100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IFERROR(VLOOKUP(B125,input_settle_541100!L:R,7,FALSE),VLOOKUP(tables_settle_541100!C125,input_settle_541100!A:H,8,FALSE))</f>
        <v>69680.769230000005</v>
      </c>
      <c r="P125" s="46">
        <f t="shared" ca="1" si="4"/>
        <v>1.2097355769181225E-2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input_settle_541100!A$2</f>
        <v>541100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IFERROR(VLOOKUP(B126,input_settle_541100!L:R,7,FALSE),VLOOKUP(tables_settle_541100!C126,input_settle_541100!A:H,8,FALSE))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input_settle_541100!A$2</f>
        <v>541100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IFERROR(VLOOKUP(B127,input_settle_541100!L:R,7,FALSE),VLOOKUP(tables_settle_541100!C127,input_settle_541100!A:H,8,FALSE))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input_settle_541100!A$2</f>
        <v>541100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IFERROR(VLOOKUP(B128,input_settle_541100!L:R,7,FALSE),VLOOKUP(tables_settle_541100!C128,input_settle_541100!A:H,8,FALSE))</f>
        <v>69680.769230000005</v>
      </c>
      <c r="P128" s="46">
        <f t="shared" ca="1" si="4"/>
        <v>1.2097355769181225E-2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input_settle_541100!A$2</f>
        <v>541100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IFERROR(VLOOKUP(B129,input_settle_541100!L:R,7,FALSE),VLOOKUP(tables_settle_541100!C129,input_settle_541100!A:H,8,FALSE))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input_settle_541100!A$2</f>
        <v>541100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IFERROR(VLOOKUP(B130,input_settle_541100!L:R,7,FALSE),VLOOKUP(tables_settle_541100!C130,input_settle_541100!A:H,8,FALSE))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input_settle_541100!A$2</f>
        <v>541100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IFERROR(VLOOKUP(B131,input_settle_541100!L:R,7,FALSE),VLOOKUP(tables_settle_541100!C131,input_settle_541100!A:H,8,FALSE))</f>
        <v>69680.769230000005</v>
      </c>
      <c r="P131" s="46">
        <f t="shared" ca="1" si="7"/>
        <v>1.2097355769181225E-2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input_settle_541100!A$2</f>
        <v>541100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IFERROR(VLOOKUP(B132,input_settle_541100!L:R,7,FALSE),VLOOKUP(tables_settle_541100!C132,input_settle_541100!A:H,8,FALSE))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input_settle_541100!A$2</f>
        <v>541100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IFERROR(VLOOKUP(B133,input_settle_541100!L:R,7,FALSE),VLOOKUP(tables_settle_541100!C133,input_settle_541100!A:H,8,FALSE))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input_settle_541100!A$2</f>
        <v>541100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IFERROR(VLOOKUP(B134,input_settle_541100!L:R,7,FALSE),VLOOKUP(tables_settle_541100!C134,input_settle_541100!A:H,8,FALSE))</f>
        <v>69680.769230000005</v>
      </c>
      <c r="P134" s="46">
        <f t="shared" ca="1" si="7"/>
        <v>1.2097355769181225E-2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input_settle_541100!A$2</f>
        <v>541100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IFERROR(VLOOKUP(B135,input_settle_541100!L:R,7,FALSE),VLOOKUP(tables_settle_541100!C135,input_settle_541100!A:H,8,FALSE))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input_settle_541100!A$2</f>
        <v>541100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IFERROR(VLOOKUP(B136,input_settle_541100!L:R,7,FALSE),VLOOKUP(tables_settle_541100!C136,input_settle_541100!A:H,8,FALSE))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input_settle_541100!A$2</f>
        <v>541100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IFERROR(VLOOKUP(B137,input_settle_541100!L:R,7,FALSE),VLOOKUP(tables_settle_541100!C137,input_settle_541100!A:H,8,FALSE))</f>
        <v>69680.769230000005</v>
      </c>
      <c r="P137" s="46">
        <f t="shared" ca="1" si="7"/>
        <v>1.2097355769181225E-2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input_settle_541100!A$2</f>
        <v>541100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IFERROR(VLOOKUP(B138,input_settle_541100!L:R,7,FALSE),VLOOKUP(tables_settle_541100!C138,input_settle_541100!A:H,8,FALSE))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input_settle_541100!A$2</f>
        <v>541100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IFERROR(VLOOKUP(B139,input_settle_541100!L:R,7,FALSE),VLOOKUP(tables_settle_541100!C139,input_settle_541100!A:H,8,FALSE))</f>
        <v>6000</v>
      </c>
      <c r="P139" s="46">
        <f t="shared" ca="1" si="7"/>
        <v>1.0416666666738998E-3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input_settle_541100!A$2</f>
        <v>541100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IFERROR(VLOOKUP(B140,input_settle_541100!L:R,7,FALSE),VLOOKUP(tables_settle_541100!C140,input_settle_541100!A:H,8,FALSE))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input_settle_541100!A$2</f>
        <v>541100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IFERROR(VLOOKUP(B141,input_settle_541100!L:R,7,FALSE),VLOOKUP(tables_settle_541100!C141,input_settle_541100!A:H,8,FALSE))</f>
        <v>6000</v>
      </c>
      <c r="P141" s="46">
        <f t="shared" ca="1" si="7"/>
        <v>1.0416666666738998E-3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input_settle_541100!A$2</f>
        <v>541100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IFERROR(VLOOKUP(B142,input_settle_541100!L:R,7,FALSE),VLOOKUP(tables_settle_541100!C142,input_settle_541100!A:H,8,FALSE))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input_settle_541100!A$2</f>
        <v>541100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IFERROR(VLOOKUP(B143,input_settle_541100!L:R,7,FALSE),VLOOKUP(tables_settle_541100!C143,input_settle_541100!A:H,8,FALSE))</f>
        <v>6000</v>
      </c>
      <c r="P143" s="46">
        <f t="shared" ca="1" si="7"/>
        <v>1.0416666666738998E-3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input_settle_541100!A$2</f>
        <v>541100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IFERROR(VLOOKUP(B144,input_settle_541100!L:R,7,FALSE),VLOOKUP(tables_settle_541100!C144,input_settle_541100!A:H,8,FALSE))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input_settle_541100!A$2</f>
        <v>541100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IFERROR(VLOOKUP(B145,input_settle_541100!L:R,7,FALSE),VLOOKUP(tables_settle_541100!C145,input_settle_541100!A:H,8,FALSE))</f>
        <v>6000</v>
      </c>
      <c r="P145" s="46">
        <f t="shared" ca="1" si="7"/>
        <v>1.0416666666738998E-3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input_settle_541100!A$2</f>
        <v>541100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IFERROR(VLOOKUP(B146,input_settle_541100!L:R,7,FALSE),VLOOKUP(tables_settle_541100!C146,input_settle_541100!A:H,8,FALSE))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input_settle_541100!A$2</f>
        <v>541100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IFERROR(VLOOKUP(B147,input_settle_541100!L:R,7,FALSE),VLOOKUP(tables_settle_541100!C147,input_settle_541100!A:H,8,FALSE))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input_settle_541100!A$2</f>
        <v>541100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IFERROR(VLOOKUP(B148,input_settle_541100!L:R,7,FALSE),VLOOKUP(tables_settle_541100!C148,input_settle_541100!A:H,8,FALSE))</f>
        <v>69680.769230000005</v>
      </c>
      <c r="P148" s="46">
        <f t="shared" ca="1" si="7"/>
        <v>1.2097355769181225E-2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input_settle_541100!A$2</f>
        <v>541100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IFERROR(VLOOKUP(B149,input_settle_541100!L:R,7,FALSE),VLOOKUP(tables_settle_541100!C149,input_settle_541100!A:H,8,FALSE))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input_settle_541100!A$2</f>
        <v>541100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IFERROR(VLOOKUP(B150,input_settle_541100!L:R,7,FALSE),VLOOKUP(tables_settle_541100!C150,input_settle_541100!A:H,8,FALSE))</f>
        <v>6000</v>
      </c>
      <c r="P150" s="46">
        <f t="shared" ca="1" si="7"/>
        <v>1.0416666666738998E-3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input_settle_541100!A$2</f>
        <v>541100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IFERROR(VLOOKUP(B151,input_settle_541100!L:R,7,FALSE),VLOOKUP(tables_settle_541100!C151,input_settle_541100!A:H,8,FALSE))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input_settle_541100!A$2</f>
        <v>541100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IFERROR(VLOOKUP(B152,input_settle_541100!L:R,7,FALSE),VLOOKUP(tables_settle_541100!C152,input_settle_541100!A:H,8,FALSE))</f>
        <v>6000</v>
      </c>
      <c r="P152" s="46">
        <f t="shared" ca="1" si="7"/>
        <v>1.0416666666738998E-3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input_settle_541100!A$2</f>
        <v>541100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IFERROR(VLOOKUP(B153,input_settle_541100!L:R,7,FALSE),VLOOKUP(tables_settle_541100!C153,input_settle_541100!A:H,8,FALSE))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input_settle_541100!A$2</f>
        <v>541100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IFERROR(VLOOKUP(B154,input_settle_541100!L:R,7,FALSE),VLOOKUP(tables_settle_541100!C154,input_settle_541100!A:H,8,FALSE))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input_settle_541100!A$2</f>
        <v>541100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IFERROR(VLOOKUP(B155,input_settle_541100!L:R,7,FALSE),VLOOKUP(tables_settle_541100!C155,input_settle_541100!A:H,8,FALSE))</f>
        <v>69680.769230000005</v>
      </c>
      <c r="P155" s="46">
        <f t="shared" ca="1" si="7"/>
        <v>1.2097355769181225E-2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input_settle_541100!A$2</f>
        <v>541100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IFERROR(VLOOKUP(B156,input_settle_541100!L:R,7,FALSE),VLOOKUP(tables_settle_541100!C156,input_settle_541100!A:H,8,FALSE))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input_settle_541100!A$2</f>
        <v>541100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IFERROR(VLOOKUP(B157,input_settle_541100!L:R,7,FALSE),VLOOKUP(tables_settle_541100!C157,input_settle_541100!A:H,8,FALSE))</f>
        <v>6000</v>
      </c>
      <c r="P157" s="46">
        <f t="shared" ca="1" si="7"/>
        <v>1.0416666666738998E-3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input_settle_541100!A$2</f>
        <v>541100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IFERROR(VLOOKUP(B158,input_settle_541100!L:R,7,FALSE),VLOOKUP(tables_settle_541100!C158,input_settle_541100!A:H,8,FALSE))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input_settle_541100!A$2</f>
        <v>541100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IFERROR(VLOOKUP(B159,input_settle_541100!L:R,7,FALSE),VLOOKUP(tables_settle_541100!C159,input_settle_541100!A:H,8,FALSE))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input_settle_541100!A$2</f>
        <v>541100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IFERROR(VLOOKUP(B160,input_settle_541100!L:R,7,FALSE),VLOOKUP(tables_settle_541100!C160,input_settle_541100!A:H,8,FALSE))</f>
        <v>69680.769230000005</v>
      </c>
      <c r="P160" s="46">
        <f t="shared" ca="1" si="7"/>
        <v>1.2097355769181225E-2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input_settle_541100!A$2</f>
        <v>541100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IFERROR(VLOOKUP(B161,input_settle_541100!L:R,7,FALSE),VLOOKUP(tables_settle_541100!C161,input_settle_541100!A:H,8,FALSE))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input_settle_541100!A$2</f>
        <v>541100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IFERROR(VLOOKUP(B162,input_settle_541100!L:R,7,FALSE),VLOOKUP(tables_settle_541100!C162,input_settle_541100!A:H,8,FALSE))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input_settle_541100!A$2</f>
        <v>541100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IFERROR(VLOOKUP(B163,input_settle_541100!L:R,7,FALSE),VLOOKUP(tables_settle_541100!C163,input_settle_541100!A:H,8,FALSE))</f>
        <v>69680.769230000005</v>
      </c>
      <c r="P163" s="46">
        <f t="shared" ca="1" si="7"/>
        <v>1.2097355769181225E-2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input_settle_541100!A$2</f>
        <v>541100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IFERROR(VLOOKUP(B164,input_settle_541100!L:R,7,FALSE),VLOOKUP(tables_settle_541100!C164,input_settle_541100!A:H,8,FALSE))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input_settle_541100!A$2</f>
        <v>541100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IFERROR(VLOOKUP(B165,input_settle_541100!L:R,7,FALSE),VLOOKUP(tables_settle_541100!C165,input_settle_541100!A:H,8,FALSE))</f>
        <v>6000</v>
      </c>
      <c r="P165" s="46">
        <f t="shared" ca="1" si="7"/>
        <v>1.0416666666738998E-3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input_settle_541100!A$2</f>
        <v>541100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IFERROR(VLOOKUP(B166,input_settle_541100!L:R,7,FALSE),VLOOKUP(tables_settle_541100!C166,input_settle_541100!A:H,8,FALSE))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input_settle_541100!A$2</f>
        <v>541100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IFERROR(VLOOKUP(B167,input_settle_541100!L:R,7,FALSE),VLOOKUP(tables_settle_541100!C167,input_settle_541100!A:H,8,FALSE))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input_settle_541100!A$2</f>
        <v>541100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IFERROR(VLOOKUP(B168,input_settle_541100!L:R,7,FALSE),VLOOKUP(tables_settle_541100!C168,input_settle_541100!A:H,8,FALSE))</f>
        <v>69680.769230000005</v>
      </c>
      <c r="P168" s="46">
        <f t="shared" ca="1" si="7"/>
        <v>1.2097355769181225E-2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input_settle_541100!A$2</f>
        <v>541100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IFERROR(VLOOKUP(B169,input_settle_541100!L:R,7,FALSE),VLOOKUP(tables_settle_541100!C169,input_settle_541100!A:H,8,FALSE))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input_settle_541100!A$2</f>
        <v>541100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IFERROR(VLOOKUP(B170,input_settle_541100!L:R,7,FALSE),VLOOKUP(tables_settle_541100!C170,input_settle_541100!A:H,8,FALSE))</f>
        <v>6000</v>
      </c>
      <c r="P170" s="46">
        <f t="shared" ca="1" si="7"/>
        <v>1.0416666666738998E-3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input_settle_541100!A$2</f>
        <v>541100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IFERROR(VLOOKUP(B171,input_settle_541100!L:R,7,FALSE),VLOOKUP(tables_settle_541100!C171,input_settle_541100!A:H,8,FALSE))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input_settle_541100!A$2</f>
        <v>541100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IFERROR(VLOOKUP(B172,input_settle_541100!L:R,7,FALSE),VLOOKUP(tables_settle_541100!C172,input_settle_541100!A:H,8,FALSE))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input_settle_541100!A$2</f>
        <v>541100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IFERROR(VLOOKUP(B173,input_settle_541100!L:R,7,FALSE),VLOOKUP(tables_settle_541100!C173,input_settle_541100!A:H,8,FALSE))</f>
        <v>69680.769230000005</v>
      </c>
      <c r="P173" s="46">
        <f t="shared" ca="1" si="7"/>
        <v>1.2097355769181225E-2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input_settle_541100!A$2</f>
        <v>541100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IFERROR(VLOOKUP(B174,input_settle_541100!L:R,7,FALSE),VLOOKUP(tables_settle_541100!C174,input_settle_541100!A:H,8,FALSE))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input_settle_541100!A$2</f>
        <v>541100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IFERROR(VLOOKUP(B175,input_settle_541100!L:R,7,FALSE),VLOOKUP(tables_settle_541100!C175,input_settle_541100!A:H,8,FALSE))</f>
        <v>6000</v>
      </c>
      <c r="P175" s="46">
        <f t="shared" ca="1" si="7"/>
        <v>1.0416666666738998E-3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input_settle_541100!A$2</f>
        <v>541100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IFERROR(VLOOKUP(B176,input_settle_541100!L:R,7,FALSE),VLOOKUP(tables_settle_541100!C176,input_settle_541100!A:H,8,FALSE))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input_settle_541100!A$2</f>
        <v>541100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IFERROR(VLOOKUP(B177,input_settle_541100!L:R,7,FALSE),VLOOKUP(tables_settle_541100!C177,input_settle_541100!A:H,8,FALSE))</f>
        <v>6000</v>
      </c>
      <c r="P177" s="46">
        <f t="shared" ca="1" si="7"/>
        <v>1.0416666666738998E-3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input_settle_541100!A$2</f>
        <v>541100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IFERROR(VLOOKUP(B178,input_settle_541100!L:R,7,FALSE),VLOOKUP(tables_settle_541100!C178,input_settle_541100!A:H,8,FALSE))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input_settle_541100!A$2</f>
        <v>541100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IFERROR(VLOOKUP(B179,input_settle_541100!L:R,7,FALSE),VLOOKUP(tables_settle_541100!C179,input_settle_541100!A:H,8,FALSE))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input_settle_541100!A$2</f>
        <v>541100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IFERROR(VLOOKUP(B180,input_settle_541100!L:R,7,FALSE),VLOOKUP(tables_settle_541100!C180,input_settle_541100!A:H,8,FALSE))</f>
        <v>69680.769230000005</v>
      </c>
      <c r="P180" s="46">
        <f t="shared" ca="1" si="7"/>
        <v>1.2097355769181225E-2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input_settle_541100!A$2</f>
        <v>541100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IFERROR(VLOOKUP(B181,input_settle_541100!L:R,7,FALSE),VLOOKUP(tables_settle_541100!C181,input_settle_541100!A:H,8,FALSE))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input_settle_541100!A$2</f>
        <v>541100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IFERROR(VLOOKUP(B182,input_settle_541100!L:R,7,FALSE),VLOOKUP(tables_settle_541100!C182,input_settle_541100!A:H,8,FALSE))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input_settle_541100!A$2</f>
        <v>541100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IFERROR(VLOOKUP(B183,input_settle_541100!L:R,7,FALSE),VLOOKUP(tables_settle_541100!C183,input_settle_541100!A:H,8,FALSE))</f>
        <v>69680.769230000005</v>
      </c>
      <c r="P183" s="46">
        <f t="shared" ca="1" si="7"/>
        <v>1.2097355769181225E-2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input_settle_541100!A$2</f>
        <v>541100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IFERROR(VLOOKUP(B184,input_settle_541100!L:R,7,FALSE),VLOOKUP(tables_settle_541100!C184,input_settle_541100!A:H,8,FALSE))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input_settle_541100!A$2</f>
        <v>541100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IFERROR(VLOOKUP(B185,input_settle_541100!L:R,7,FALSE),VLOOKUP(tables_settle_541100!C185,input_settle_541100!A:H,8,FALSE))</f>
        <v>6000</v>
      </c>
      <c r="P185" s="46">
        <f t="shared" ca="1" si="7"/>
        <v>1.0416666666738998E-3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input_settle_541100!A$2</f>
        <v>541100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IFERROR(VLOOKUP(B186,input_settle_541100!L:R,7,FALSE),VLOOKUP(tables_settle_541100!C186,input_settle_541100!A:H,8,FALSE))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input_settle_541100!A$2</f>
        <v>541100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IFERROR(VLOOKUP(B187,input_settle_541100!L:R,7,FALSE),VLOOKUP(tables_settle_541100!C187,input_settle_541100!A:H,8,FALSE))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input_settle_541100!A$2</f>
        <v>541100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IFERROR(VLOOKUP(B188,input_settle_541100!L:R,7,FALSE),VLOOKUP(tables_settle_541100!C188,input_settle_541100!A:H,8,FALSE))</f>
        <v>69680.769230000005</v>
      </c>
      <c r="P188" s="46">
        <f t="shared" ca="1" si="7"/>
        <v>1.2097355769181225E-2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input_settle_541100!A$2</f>
        <v>541100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IFERROR(VLOOKUP(B189,input_settle_541100!L:R,7,FALSE),VLOOKUP(tables_settle_541100!C189,input_settle_541100!A:H,8,FALSE))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input_settle_541100!A$2</f>
        <v>541100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IFERROR(VLOOKUP(B190,input_settle_541100!L:R,7,FALSE),VLOOKUP(tables_settle_541100!C190,input_settle_541100!A:H,8,FALSE))</f>
        <v>6000</v>
      </c>
      <c r="P190" s="46">
        <f t="shared" ca="1" si="7"/>
        <v>1.0416666666738998E-3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input_settle_541100!A$2</f>
        <v>541100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IFERROR(VLOOKUP(B191,input_settle_541100!L:R,7,FALSE),VLOOKUP(tables_settle_541100!C191,input_settle_541100!A:H,8,FALSE))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input_settle_541100!A$2</f>
        <v>541100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IFERROR(VLOOKUP(B192,input_settle_541100!L:R,7,FALSE),VLOOKUP(tables_settle_541100!C192,input_settle_541100!A:H,8,FALSE))</f>
        <v>6000</v>
      </c>
      <c r="P192" s="46">
        <f t="shared" ca="1" si="7"/>
        <v>1.0416666666738998E-3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input_settle_541100!A$2</f>
        <v>541100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IFERROR(VLOOKUP(B193,input_settle_541100!L:R,7,FALSE),VLOOKUP(tables_settle_541100!C193,input_settle_541100!A:H,8,FALSE))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input_settle_541100!A$2</f>
        <v>541100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IFERROR(VLOOKUP(B194,input_settle_541100!L:R,7,FALSE),VLOOKUP(tables_settle_541100!C194,input_settle_541100!A:H,8,FALSE))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input_settle_541100!A$2</f>
        <v>541100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IFERROR(VLOOKUP(B195,input_settle_541100!L:R,7,FALSE),VLOOKUP(tables_settle_541100!C195,input_settle_541100!A:H,8,FALSE))</f>
        <v>69680.769230000005</v>
      </c>
      <c r="P195" s="46">
        <f t="shared" ca="1" si="10"/>
        <v>1.2097355769181225E-2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input_settle_541100!A$2</f>
        <v>541100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IFERROR(VLOOKUP(B196,input_settle_541100!L:R,7,FALSE),VLOOKUP(tables_settle_541100!C196,input_settle_541100!A:H,8,FALSE))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input_settle_541100!A$2</f>
        <v>541100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IFERROR(VLOOKUP(B197,input_settle_541100!L:R,7,FALSE),VLOOKUP(tables_settle_541100!C197,input_settle_541100!A:H,8,FALSE))</f>
        <v>6000</v>
      </c>
      <c r="P197" s="46">
        <f t="shared" ca="1" si="10"/>
        <v>1.0416666666738998E-3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input_settle_541100!A$2</f>
        <v>541100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IFERROR(VLOOKUP(B198,input_settle_541100!L:R,7,FALSE),VLOOKUP(tables_settle_541100!C198,input_settle_541100!A:H,8,FALSE))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input_settle_541100!A$2</f>
        <v>541100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IFERROR(VLOOKUP(B199,input_settle_541100!L:R,7,FALSE),VLOOKUP(tables_settle_541100!C199,input_settle_541100!A:H,8,FALSE))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input_settle_541100!A$2</f>
        <v>541100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IFERROR(VLOOKUP(B200,input_settle_541100!L:R,7,FALSE),VLOOKUP(tables_settle_541100!C200,input_settle_541100!A:H,8,FALSE))</f>
        <v>69680.769230000005</v>
      </c>
      <c r="P200" s="46">
        <f t="shared" ca="1" si="10"/>
        <v>1.2097355769181225E-2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input_settle_541100!A$2</f>
        <v>541100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IFERROR(VLOOKUP(B201,input_settle_541100!L:R,7,FALSE),VLOOKUP(tables_settle_541100!C201,input_settle_541100!A:H,8,FALSE))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input_settle_541100!A$2</f>
        <v>541100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IFERROR(VLOOKUP(B202,input_settle_541100!L:R,7,FALSE),VLOOKUP(tables_settle_541100!C202,input_settle_541100!A:H,8,FALSE))</f>
        <v>6000</v>
      </c>
      <c r="P202" s="46">
        <f t="shared" ca="1" si="10"/>
        <v>1.0416666666738998E-3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input_settle_541100!A$2</f>
        <v>541100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IFERROR(VLOOKUP(B203,input_settle_541100!L:R,7,FALSE),VLOOKUP(tables_settle_541100!C203,input_settle_541100!A:H,8,FALSE))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input_settle_541100!A$2</f>
        <v>541100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IFERROR(VLOOKUP(B204,input_settle_541100!L:R,7,FALSE),VLOOKUP(tables_settle_541100!C204,input_settle_541100!A:H,8,FALSE))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input_settle_541100!A$2</f>
        <v>541100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IFERROR(VLOOKUP(B205,input_settle_541100!L:R,7,FALSE),VLOOKUP(tables_settle_541100!C205,input_settle_541100!A:H,8,FALSE))</f>
        <v>69680.769230000005</v>
      </c>
      <c r="P205" s="46">
        <f t="shared" ca="1" si="10"/>
        <v>1.2097355769181225E-2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input_settle_541100!A$2</f>
        <v>541100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IFERROR(VLOOKUP(B206,input_settle_541100!L:R,7,FALSE),VLOOKUP(tables_settle_541100!C206,input_settle_541100!A:H,8,FALSE))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input_settle_541100!A$2</f>
        <v>541100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IFERROR(VLOOKUP(B207,input_settle_541100!L:R,7,FALSE),VLOOKUP(tables_settle_541100!C207,input_settle_541100!A:H,8,FALSE))</f>
        <v>6000</v>
      </c>
      <c r="P207" s="46">
        <f t="shared" ca="1" si="10"/>
        <v>1.0416666666738998E-3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input_settle_541100!A$2</f>
        <v>541100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IFERROR(VLOOKUP(B208,input_settle_541100!L:R,7,FALSE),VLOOKUP(tables_settle_541100!C208,input_settle_541100!A:H,8,FALSE))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input_settle_541100!A$2</f>
        <v>541100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IFERROR(VLOOKUP(B209,input_settle_541100!L:R,7,FALSE),VLOOKUP(tables_settle_541100!C209,input_settle_541100!A:H,8,FALSE))</f>
        <v>6000</v>
      </c>
      <c r="P209" s="46">
        <f t="shared" ca="1" si="10"/>
        <v>1.0416666666738998E-3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input_settle_541100!A$2</f>
        <v>541100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IFERROR(VLOOKUP(B210,input_settle_541100!L:R,7,FALSE),VLOOKUP(tables_settle_541100!C210,input_settle_541100!A:H,8,FALSE))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input_settle_541100!A$2</f>
        <v>541100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IFERROR(VLOOKUP(B211,input_settle_541100!L:R,7,FALSE),VLOOKUP(tables_settle_541100!C211,input_settle_541100!A:H,8,FALSE))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input_settle_541100!A$2</f>
        <v>541100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IFERROR(VLOOKUP(B212,input_settle_541100!L:R,7,FALSE),VLOOKUP(tables_settle_541100!C212,input_settle_541100!A:H,8,FALSE))</f>
        <v>69680.769230000005</v>
      </c>
      <c r="P212" s="46">
        <f t="shared" ca="1" si="10"/>
        <v>1.2097355769181225E-2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input_settle_541100!A$2</f>
        <v>541100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IFERROR(VLOOKUP(B213,input_settle_541100!L:R,7,FALSE),VLOOKUP(tables_settle_541100!C213,input_settle_541100!A:H,8,FALSE))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input_settle_541100!A$2</f>
        <v>541100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IFERROR(VLOOKUP(B214,input_settle_541100!L:R,7,FALSE),VLOOKUP(tables_settle_541100!C214,input_settle_541100!A:H,8,FALSE))</f>
        <v>6000</v>
      </c>
      <c r="P214" s="46">
        <f t="shared" ca="1" si="10"/>
        <v>1.0416666666738998E-3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input_settle_541100!A$2</f>
        <v>541100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IFERROR(VLOOKUP(B215,input_settle_541100!L:R,7,FALSE),VLOOKUP(tables_settle_541100!C215,input_settle_541100!A:H,8,FALSE))</f>
        <v>54900</v>
      </c>
      <c r="P215" s="46">
        <f t="shared" ca="1" si="10"/>
        <v>9.531250000066183E-3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input_settle_541100!A$2</f>
        <v>541100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IFERROR(VLOOKUP(B216,input_settle_541100!L:R,7,FALSE),VLOOKUP(tables_settle_541100!C216,input_settle_541100!A:H,8,FALSE))</f>
        <v>54900</v>
      </c>
      <c r="P216" s="46">
        <f t="shared" ca="1" si="10"/>
        <v>9.531250000066183E-3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input_settle_541100!A$2</f>
        <v>541100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IFERROR(VLOOKUP(B217,input_settle_541100!L:R,7,FALSE),VLOOKUP(tables_settle_541100!C217,input_settle_541100!A:H,8,FALSE))</f>
        <v>54900</v>
      </c>
      <c r="P217" s="46">
        <f t="shared" ca="1" si="10"/>
        <v>9.531250000066183E-3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input_settle_541100!A$2</f>
        <v>541100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IFERROR(VLOOKUP(B218,input_settle_541100!L:R,7,FALSE),VLOOKUP(tables_settle_541100!C218,input_settle_541100!A:H,8,FALSE))</f>
        <v>54900</v>
      </c>
      <c r="P218" s="46">
        <f t="shared" ca="1" si="10"/>
        <v>9.531250000066183E-3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input_settle_541100!A$2</f>
        <v>541100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IFERROR(VLOOKUP(B219,input_settle_541100!L:R,7,FALSE),VLOOKUP(tables_settle_541100!C219,input_settle_541100!A:H,8,FALSE))</f>
        <v>54900</v>
      </c>
      <c r="P219" s="46">
        <f t="shared" ca="1" si="10"/>
        <v>9.531250000066183E-3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input_settle_541100!A$2</f>
        <v>541100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IFERROR(VLOOKUP(B220,input_settle_541100!L:R,7,FALSE),VLOOKUP(tables_settle_541100!C220,input_settle_541100!A:H,8,FALSE))</f>
        <v>54900</v>
      </c>
      <c r="P220" s="46">
        <f t="shared" ca="1" si="10"/>
        <v>9.531250000066183E-3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input_settle_541100!A$2</f>
        <v>541100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IFERROR(VLOOKUP(B221,input_settle_541100!L:R,7,FALSE),VLOOKUP(tables_settle_541100!C221,input_settle_541100!A:H,8,FALSE))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input_settle_541100!A$2</f>
        <v>541100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IFERROR(VLOOKUP(B222,input_settle_541100!L:R,7,FALSE),VLOOKUP(tables_settle_541100!C222,input_settle_541100!A:H,8,FALSE))</f>
        <v>6000</v>
      </c>
      <c r="P222" s="46">
        <f t="shared" ca="1" si="10"/>
        <v>1.0416666666738998E-3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input_settle_541100!A$2</f>
        <v>541100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IFERROR(VLOOKUP(B223,input_settle_541100!L:R,7,FALSE),VLOOKUP(tables_settle_541100!C223,input_settle_541100!A:H,8,FALSE))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input_settle_541100!A$2</f>
        <v>541100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IFERROR(VLOOKUP(B224,input_settle_541100!L:R,7,FALSE),VLOOKUP(tables_settle_541100!C224,input_settle_541100!A:H,8,FALSE))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input_settle_541100!A$2</f>
        <v>541100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IFERROR(VLOOKUP(B225,input_settle_541100!L:R,7,FALSE),VLOOKUP(tables_settle_541100!C225,input_settle_541100!A:H,8,FALSE))</f>
        <v>69680.769230000005</v>
      </c>
      <c r="P225" s="46">
        <f t="shared" ca="1" si="10"/>
        <v>1.2097355769181225E-2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input_settle_541100!A$2</f>
        <v>541100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IFERROR(VLOOKUP(B226,input_settle_541100!L:R,7,FALSE),VLOOKUP(tables_settle_541100!C226,input_settle_541100!A:H,8,FALSE))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input_settle_541100!A$2</f>
        <v>541100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IFERROR(VLOOKUP(B227,input_settle_541100!L:R,7,FALSE),VLOOKUP(tables_settle_541100!C227,input_settle_541100!A:H,8,FALSE))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input_settle_541100!A$2</f>
        <v>541100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IFERROR(VLOOKUP(B228,input_settle_541100!L:R,7,FALSE),VLOOKUP(tables_settle_541100!C228,input_settle_541100!A:H,8,FALSE))</f>
        <v>69680.769230000005</v>
      </c>
      <c r="P228" s="46">
        <f t="shared" ca="1" si="10"/>
        <v>1.2097355769181225E-2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input_settle_541100!A$2</f>
        <v>541100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IFERROR(VLOOKUP(B229,input_settle_541100!L:R,7,FALSE),VLOOKUP(tables_settle_541100!C229,input_settle_541100!A:H,8,FALSE))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input_settle_541100!A$2</f>
        <v>541100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IFERROR(VLOOKUP(B230,input_settle_541100!L:R,7,FALSE),VLOOKUP(tables_settle_541100!C230,input_settle_541100!A:H,8,FALSE))</f>
        <v>6000</v>
      </c>
      <c r="P230" s="46">
        <f t="shared" ca="1" si="10"/>
        <v>1.0416666666738998E-3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input_settle_541100!A$2</f>
        <v>541100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IFERROR(VLOOKUP(B231,input_settle_541100!L:R,7,FALSE),VLOOKUP(tables_settle_541100!C231,input_settle_541100!A:H,8,FALSE))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input_settle_541100!A$2</f>
        <v>541100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IFERROR(VLOOKUP(B232,input_settle_541100!L:R,7,FALSE),VLOOKUP(tables_settle_541100!C232,input_settle_541100!A:H,8,FALSE))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input_settle_541100!A$2</f>
        <v>541100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IFERROR(VLOOKUP(B233,input_settle_541100!L:R,7,FALSE),VLOOKUP(tables_settle_541100!C233,input_settle_541100!A:H,8,FALSE))</f>
        <v>69680.769230000005</v>
      </c>
      <c r="P233" s="46">
        <f t="shared" ca="1" si="10"/>
        <v>1.2097355769181225E-2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input_settle_541100!A$2</f>
        <v>541100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IFERROR(VLOOKUP(B234,input_settle_541100!L:R,7,FALSE),VLOOKUP(tables_settle_541100!C234,input_settle_541100!A:H,8,FALSE))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input_settle_541100!A$2</f>
        <v>541100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IFERROR(VLOOKUP(B235,input_settle_541100!L:R,7,FALSE),VLOOKUP(tables_settle_541100!C235,input_settle_541100!A:H,8,FALSE))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input_settle_541100!A$2</f>
        <v>541100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IFERROR(VLOOKUP(B236,input_settle_541100!L:R,7,FALSE),VLOOKUP(tables_settle_541100!C236,input_settle_541100!A:H,8,FALSE))</f>
        <v>69680.769230000005</v>
      </c>
      <c r="P236" s="46">
        <f t="shared" ca="1" si="10"/>
        <v>1.2097355769181225E-2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input_settle_541100!A$2</f>
        <v>541100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IFERROR(VLOOKUP(B237,input_settle_541100!L:R,7,FALSE),VLOOKUP(tables_settle_541100!C237,input_settle_541100!A:H,8,FALSE))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input_settle_541100!A$2</f>
        <v>541100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IFERROR(VLOOKUP(B238,input_settle_541100!L:R,7,FALSE),VLOOKUP(tables_settle_541100!C238,input_settle_541100!A:H,8,FALSE))</f>
        <v>6000</v>
      </c>
      <c r="P238" s="46">
        <f t="shared" ca="1" si="10"/>
        <v>1.0416666666738998E-3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input_settle_541100!A$2</f>
        <v>541100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IFERROR(VLOOKUP(B239,input_settle_541100!L:R,7,FALSE),VLOOKUP(tables_settle_541100!C239,input_settle_541100!A:H,8,FALSE))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input_settle_541100!A$2</f>
        <v>541100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IFERROR(VLOOKUP(B240,input_settle_541100!L:R,7,FALSE),VLOOKUP(tables_settle_541100!C240,input_settle_541100!A:H,8,FALSE))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input_settle_541100!A$2</f>
        <v>541100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IFERROR(VLOOKUP(B241,input_settle_541100!L:R,7,FALSE),VLOOKUP(tables_settle_541100!C241,input_settle_541100!A:H,8,FALSE))</f>
        <v>69680.769230000005</v>
      </c>
      <c r="P241" s="46">
        <f t="shared" ca="1" si="10"/>
        <v>1.2097355769181225E-2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input_settle_541100!A$2</f>
        <v>541100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IFERROR(VLOOKUP(B242,input_settle_541100!L:R,7,FALSE),VLOOKUP(tables_settle_541100!C242,input_settle_541100!A:H,8,FALSE))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input_settle_541100!A$2</f>
        <v>541100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IFERROR(VLOOKUP(B243,input_settle_541100!L:R,7,FALSE),VLOOKUP(tables_settle_541100!C243,input_settle_541100!A:H,8,FALSE))</f>
        <v>6000</v>
      </c>
      <c r="P243" s="46">
        <f t="shared" ca="1" si="10"/>
        <v>1.0416666666738998E-3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input_settle_541100!A$2</f>
        <v>541100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IFERROR(VLOOKUP(B244,input_settle_541100!L:R,7,FALSE),VLOOKUP(tables_settle_541100!C244,input_settle_541100!A:H,8,FALSE))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input_settle_541100!A$2</f>
        <v>541100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IFERROR(VLOOKUP(B245,input_settle_541100!L:R,7,FALSE),VLOOKUP(tables_settle_541100!C245,input_settle_541100!A:H,8,FALSE))</f>
        <v>6000</v>
      </c>
      <c r="P245" s="46">
        <f t="shared" ca="1" si="10"/>
        <v>1.0416666666738998E-3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input_settle_541100!A$2</f>
        <v>541100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IFERROR(VLOOKUP(B246,input_settle_541100!L:R,7,FALSE),VLOOKUP(tables_settle_541100!C246,input_settle_541100!A:H,8,FALSE))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input_settle_541100!A$2</f>
        <v>541100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IFERROR(VLOOKUP(B247,input_settle_541100!L:R,7,FALSE),VLOOKUP(tables_settle_541100!C247,input_settle_541100!A:H,8,FALSE))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input_settle_541100!A$2</f>
        <v>541100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IFERROR(VLOOKUP(B248,input_settle_541100!L:R,7,FALSE),VLOOKUP(tables_settle_541100!C248,input_settle_541100!A:H,8,FALSE))</f>
        <v>69680.769230000005</v>
      </c>
      <c r="P248" s="46">
        <f t="shared" ca="1" si="10"/>
        <v>1.2097355769181225E-2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input_settle_541100!A$2</f>
        <v>541100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IFERROR(VLOOKUP(B249,input_settle_541100!L:R,7,FALSE),VLOOKUP(tables_settle_541100!C249,input_settle_541100!A:H,8,FALSE))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input_settle_541100!A$2</f>
        <v>541100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IFERROR(VLOOKUP(B250,input_settle_541100!L:R,7,FALSE),VLOOKUP(tables_settle_541100!C250,input_settle_541100!A:H,8,FALSE))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input_settle_541100!A$2</f>
        <v>541100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IFERROR(VLOOKUP(B251,input_settle_541100!L:R,7,FALSE),VLOOKUP(tables_settle_541100!C251,input_settle_541100!A:H,8,FALSE))</f>
        <v>69680.769230000005</v>
      </c>
      <c r="P251" s="46">
        <f t="shared" ca="1" si="10"/>
        <v>1.2097355769181225E-2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input_settle_541100!A$2</f>
        <v>541100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IFERROR(VLOOKUP(B252,input_settle_541100!L:R,7,FALSE),VLOOKUP(tables_settle_541100!C252,input_settle_541100!A:H,8,FALSE))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input_settle_541100!A$2</f>
        <v>541100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IFERROR(VLOOKUP(B253,input_settle_541100!L:R,7,FALSE),VLOOKUP(tables_settle_541100!C253,input_settle_541100!A:H,8,FALSE))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input_settle_541100!A$2</f>
        <v>541100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IFERROR(VLOOKUP(B254,input_settle_541100!L:R,7,FALSE),VLOOKUP(tables_settle_541100!C254,input_settle_541100!A:H,8,FALSE))</f>
        <v>69680.769230000005</v>
      </c>
      <c r="P254" s="46">
        <f t="shared" ca="1" si="10"/>
        <v>1.2097355769181225E-2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input_settle_541100!A$2</f>
        <v>541100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IFERROR(VLOOKUP(B255,input_settle_541100!L:R,7,FALSE),VLOOKUP(tables_settle_541100!C255,input_settle_541100!A:H,8,FALSE))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input_settle_541100!A$2</f>
        <v>541100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IFERROR(VLOOKUP(B256,input_settle_541100!L:R,7,FALSE),VLOOKUP(tables_settle_541100!C256,input_settle_541100!A:H,8,FALSE))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input_settle_541100!A$2</f>
        <v>541100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IFERROR(VLOOKUP(B257,input_settle_541100!L:R,7,FALSE),VLOOKUP(tables_settle_541100!C257,input_settle_541100!A:H,8,FALSE))</f>
        <v>69680.769230000005</v>
      </c>
      <c r="P257" s="46">
        <f t="shared" ca="1" si="10"/>
        <v>1.2097355769181225E-2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input_settle_541100!A$2</f>
        <v>541100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IFERROR(VLOOKUP(B258,input_settle_541100!L:R,7,FALSE),VLOOKUP(tables_settle_541100!C258,input_settle_541100!A:H,8,FALSE))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input_settle_541100!A$2</f>
        <v>541100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IFERROR(VLOOKUP(B259,input_settle_541100!L:R,7,FALSE),VLOOKUP(tables_settle_541100!C259,input_settle_541100!A:H,8,FALSE))</f>
        <v>6000</v>
      </c>
      <c r="P259" s="46">
        <f t="shared" ca="1" si="13"/>
        <v>1.0416666666738998E-3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input_settle_541100!A$2</f>
        <v>541100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IFERROR(VLOOKUP(B260,input_settle_541100!L:R,7,FALSE),VLOOKUP(tables_settle_541100!C260,input_settle_541100!A:H,8,FALSE))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input_settle_541100!A$2</f>
        <v>541100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IFERROR(VLOOKUP(B261,input_settle_541100!L:R,7,FALSE),VLOOKUP(tables_settle_541100!C261,input_settle_541100!A:H,8,FALSE))</f>
        <v>6000</v>
      </c>
      <c r="P261" s="46">
        <f t="shared" ca="1" si="13"/>
        <v>1.0416666666738998E-3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input_settle_541100!A$2</f>
        <v>541100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IFERROR(VLOOKUP(B262,input_settle_541100!L:R,7,FALSE),VLOOKUP(tables_settle_541100!C262,input_settle_541100!A:H,8,FALSE))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input_settle_541100!A$2</f>
        <v>541100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IFERROR(VLOOKUP(B263,input_settle_541100!L:R,7,FALSE),VLOOKUP(tables_settle_541100!C263,input_settle_541100!A:H,8,FALSE))</f>
        <v>54900</v>
      </c>
      <c r="P263" s="46">
        <f t="shared" ca="1" si="13"/>
        <v>9.531250000066183E-3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input_settle_541100!A$2</f>
        <v>541100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IFERROR(VLOOKUP(B264,input_settle_541100!L:R,7,FALSE),VLOOKUP(tables_settle_541100!C264,input_settle_541100!A:H,8,FALSE))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input_settle_541100!A$2</f>
        <v>541100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IFERROR(VLOOKUP(B265,input_settle_541100!L:R,7,FALSE),VLOOKUP(tables_settle_541100!C265,input_settle_541100!A:H,8,FALSE))</f>
        <v>54900</v>
      </c>
      <c r="P265" s="46">
        <f t="shared" ca="1" si="13"/>
        <v>9.531250000066183E-3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input_settle_541100!A$2</f>
        <v>541100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IFERROR(VLOOKUP(B266,input_settle_541100!L:R,7,FALSE),VLOOKUP(tables_settle_541100!C266,input_settle_541100!A:H,8,FALSE))</f>
        <v>6000</v>
      </c>
      <c r="P266" s="46">
        <f t="shared" ca="1" si="13"/>
        <v>1.0416666666738998E-3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input_settle_541100!A$2</f>
        <v>541100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IFERROR(VLOOKUP(B267,input_settle_541100!L:R,7,FALSE),VLOOKUP(tables_settle_541100!C267,input_settle_541100!A:H,8,FALSE))</f>
        <v>6000</v>
      </c>
      <c r="P267" s="46">
        <f t="shared" ca="1" si="13"/>
        <v>1.0416666666738998E-3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input_settle_541100!A$2</f>
        <v>541100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IFERROR(VLOOKUP(B268,input_settle_541100!L:R,7,FALSE),VLOOKUP(tables_settle_541100!C268,input_settle_541100!A:H,8,FALSE))</f>
        <v>6000</v>
      </c>
      <c r="P268" s="46">
        <f t="shared" ca="1" si="13"/>
        <v>1.0416666666738998E-3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input_settle_541100!A$2</f>
        <v>541100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IFERROR(VLOOKUP(B269,input_settle_541100!L:R,7,FALSE),VLOOKUP(tables_settle_541100!C269,input_settle_541100!A:H,8,FALSE))</f>
        <v>6000</v>
      </c>
      <c r="P269" s="46">
        <f t="shared" ca="1" si="13"/>
        <v>1.0416666666738998E-3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input_settle_541100!A$2</f>
        <v>541100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IFERROR(VLOOKUP(B270,input_settle_541100!L:R,7,FALSE),VLOOKUP(tables_settle_541100!C270,input_settle_541100!A:H,8,FALSE))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input_settle_541100!A$2</f>
        <v>541100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IFERROR(VLOOKUP(B271,input_settle_541100!L:R,7,FALSE),VLOOKUP(tables_settle_541100!C271,input_settle_541100!A:H,8,FALSE))</f>
        <v>54900</v>
      </c>
      <c r="P271" s="46">
        <f t="shared" ca="1" si="13"/>
        <v>9.531250000066183E-3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input_settle_541100!A$2</f>
        <v>541100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IFERROR(VLOOKUP(B272,input_settle_541100!L:R,7,FALSE),VLOOKUP(tables_settle_541100!C272,input_settle_541100!A:H,8,FALSE))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input_settle_541100!A$2</f>
        <v>541100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IFERROR(VLOOKUP(B273,input_settle_541100!L:R,7,FALSE),VLOOKUP(tables_settle_541100!C273,input_settle_541100!A:H,8,FALSE))</f>
        <v>54900</v>
      </c>
      <c r="P273" s="46">
        <f t="shared" ca="1" si="13"/>
        <v>9.531250000066183E-3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input_settle_541100!A$2</f>
        <v>541100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IFERROR(VLOOKUP(B274,input_settle_541100!L:R,7,FALSE),VLOOKUP(tables_settle_541100!C274,input_settle_541100!A:H,8,FALSE))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input_settle_541100!A$2</f>
        <v>541100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IFERROR(VLOOKUP(B275,input_settle_541100!L:R,7,FALSE),VLOOKUP(tables_settle_541100!C275,input_settle_541100!A:H,8,FALSE))</f>
        <v>6000</v>
      </c>
      <c r="P275" s="46">
        <f t="shared" ca="1" si="13"/>
        <v>1.0416666666738998E-3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input_settle_541100!A$2</f>
        <v>541100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IFERROR(VLOOKUP(B276,input_settle_541100!L:R,7,FALSE),VLOOKUP(tables_settle_541100!C276,input_settle_541100!A:H,8,FALSE))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input_settle_541100!A$2</f>
        <v>541100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IFERROR(VLOOKUP(B277,input_settle_541100!L:R,7,FALSE),VLOOKUP(tables_settle_541100!C277,input_settle_541100!A:H,8,FALSE))</f>
        <v>6000</v>
      </c>
      <c r="P277" s="46">
        <f t="shared" ca="1" si="13"/>
        <v>1.0416666666738998E-3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input_settle_541100!A$2</f>
        <v>541100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IFERROR(VLOOKUP(B278,input_settle_541100!L:R,7,FALSE),VLOOKUP(tables_settle_541100!C278,input_settle_541100!A:H,8,FALSE))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input_settle_541100!A$2</f>
        <v>541100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IFERROR(VLOOKUP(B279,input_settle_541100!L:R,7,FALSE),VLOOKUP(tables_settle_541100!C279,input_settle_541100!A:H,8,FALSE))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input_settle_541100!A$2</f>
        <v>541100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IFERROR(VLOOKUP(B280,input_settle_541100!L:R,7,FALSE),VLOOKUP(tables_settle_541100!C280,input_settle_541100!A:H,8,FALSE))</f>
        <v>69680.769230000005</v>
      </c>
      <c r="P280" s="46">
        <f t="shared" ca="1" si="13"/>
        <v>1.2097355769181225E-2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input_settle_541100!A$2</f>
        <v>541100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IFERROR(VLOOKUP(B281,input_settle_541100!L:R,7,FALSE),VLOOKUP(tables_settle_541100!C281,input_settle_541100!A:H,8,FALSE))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input_settle_541100!A$2</f>
        <v>541100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IFERROR(VLOOKUP(B282,input_settle_541100!L:R,7,FALSE),VLOOKUP(tables_settle_541100!C282,input_settle_541100!A:H,8,FALSE))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input_settle_541100!A$2</f>
        <v>541100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IFERROR(VLOOKUP(B283,input_settle_541100!L:R,7,FALSE),VLOOKUP(tables_settle_541100!C283,input_settle_541100!A:H,8,FALSE))</f>
        <v>69680.769230000005</v>
      </c>
      <c r="P283" s="46">
        <f t="shared" ca="1" si="13"/>
        <v>1.2097355769181225E-2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input_settle_541100!A$2</f>
        <v>541100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IFERROR(VLOOKUP(B284,input_settle_541100!L:R,7,FALSE),VLOOKUP(tables_settle_541100!C284,input_settle_541100!A:H,8,FALSE))</f>
        <v>6000</v>
      </c>
      <c r="P284" s="46">
        <f t="shared" ca="1" si="13"/>
        <v>1.0416666666738998E-3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input_settle_541100!A$2</f>
        <v>541100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IFERROR(VLOOKUP(B285,input_settle_541100!L:R,7,FALSE),VLOOKUP(tables_settle_541100!C285,input_settle_541100!A:H,8,FALSE))</f>
        <v>6000</v>
      </c>
      <c r="P285" s="46">
        <f t="shared" ca="1" si="13"/>
        <v>1.0416666666738998E-3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input_settle_541100!A$2</f>
        <v>541100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IFERROR(VLOOKUP(B286,input_settle_541100!L:R,7,FALSE),VLOOKUP(tables_settle_541100!C286,input_settle_541100!A:H,8,FALSE))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input_settle_541100!A$2</f>
        <v>541100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IFERROR(VLOOKUP(B287,input_settle_541100!L:R,7,FALSE),VLOOKUP(tables_settle_541100!C287,input_settle_541100!A:H,8,FALSE))</f>
        <v>54900</v>
      </c>
      <c r="P287" s="46">
        <f t="shared" ca="1" si="13"/>
        <v>9.531250000066183E-3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input_settle_541100!A$2</f>
        <v>541100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IFERROR(VLOOKUP(B288,input_settle_541100!L:R,7,FALSE),VLOOKUP(tables_settle_541100!C288,input_settle_541100!A:H,8,FALSE))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input_settle_541100!A$2</f>
        <v>541100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IFERROR(VLOOKUP(B289,input_settle_541100!L:R,7,FALSE),VLOOKUP(tables_settle_541100!C289,input_settle_541100!A:H,8,FALSE))</f>
        <v>54900</v>
      </c>
      <c r="P289" s="46">
        <f t="shared" ca="1" si="13"/>
        <v>9.531250000066183E-3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input_settle_541100!A$2</f>
        <v>541100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IFERROR(VLOOKUP(B290,input_settle_541100!L:R,7,FALSE),VLOOKUP(tables_settle_541100!C290,input_settle_541100!A:H,8,FALSE))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input_settle_541100!A$2</f>
        <v>541100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IFERROR(VLOOKUP(B291,input_settle_541100!L:R,7,FALSE),VLOOKUP(tables_settle_541100!C291,input_settle_541100!A:H,8,FALSE))</f>
        <v>54900</v>
      </c>
      <c r="P291" s="46">
        <f t="shared" ca="1" si="13"/>
        <v>9.531250000066183E-3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input_settle_541100!A$2</f>
        <v>541100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IFERROR(VLOOKUP(B292,input_settle_541100!L:R,7,FALSE),VLOOKUP(tables_settle_541100!C292,input_settle_541100!A:H,8,FALSE))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input_settle_541100!A$2</f>
        <v>541100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IFERROR(VLOOKUP(B293,input_settle_541100!L:R,7,FALSE),VLOOKUP(tables_settle_541100!C293,input_settle_541100!A:H,8,FALSE))</f>
        <v>54900</v>
      </c>
      <c r="P293" s="46">
        <f t="shared" ca="1" si="13"/>
        <v>9.531250000066183E-3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input_settle_541100!A$2</f>
        <v>541100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IFERROR(VLOOKUP(B294,input_settle_541100!L:R,7,FALSE),VLOOKUP(tables_settle_541100!C294,input_settle_541100!A:H,8,FALSE))</f>
        <v>6000</v>
      </c>
      <c r="P294" s="46">
        <f t="shared" ca="1" si="13"/>
        <v>1.0416666666738998E-3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input_settle_541100!A$2</f>
        <v>541100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IFERROR(VLOOKUP(B295,input_settle_541100!L:R,7,FALSE),VLOOKUP(tables_settle_541100!C295,input_settle_541100!A:H,8,FALSE))</f>
        <v>6000</v>
      </c>
      <c r="P295" s="46">
        <f t="shared" ca="1" si="13"/>
        <v>1.0416666666738998E-3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input_settle_541100!A$2</f>
        <v>541100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IFERROR(VLOOKUP(B296,input_settle_541100!L:R,7,FALSE),VLOOKUP(tables_settle_541100!C296,input_settle_541100!A:H,8,FALSE))</f>
        <v>6000</v>
      </c>
      <c r="P296" s="46">
        <f t="shared" ca="1" si="13"/>
        <v>1.0416666666738998E-3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input_settle_541100!A$2</f>
        <v>541100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IFERROR(VLOOKUP(B297,input_settle_541100!L:R,7,FALSE),VLOOKUP(tables_settle_541100!C297,input_settle_541100!A:H,8,FALSE))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input_settle_541100!A$2</f>
        <v>541100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IFERROR(VLOOKUP(B298,input_settle_541100!L:R,7,FALSE),VLOOKUP(tables_settle_541100!C298,input_settle_541100!A:H,8,FALSE))</f>
        <v>54900</v>
      </c>
      <c r="P298" s="46">
        <f t="shared" ca="1" si="13"/>
        <v>9.531250000066183E-3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input_settle_541100!A$2</f>
        <v>541100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IFERROR(VLOOKUP(B299,input_settle_541100!L:R,7,FALSE),VLOOKUP(tables_settle_541100!C299,input_settle_541100!A:H,8,FALSE))</f>
        <v>6000</v>
      </c>
      <c r="P299" s="46">
        <f t="shared" ca="1" si="13"/>
        <v>1.0416666666738998E-3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input_settle_541100!A$2</f>
        <v>541100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IFERROR(VLOOKUP(B300,input_settle_541100!L:R,7,FALSE),VLOOKUP(tables_settle_541100!C300,input_settle_541100!A:H,8,FALSE))</f>
        <v>6000</v>
      </c>
      <c r="P300" s="46">
        <f t="shared" ca="1" si="13"/>
        <v>1.0416666666738998E-3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input_settle_541100!A$2</f>
        <v>541100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IFERROR(VLOOKUP(B301,input_settle_541100!L:R,7,FALSE),VLOOKUP(tables_settle_541100!C301,input_settle_541100!A:H,8,FALSE))</f>
        <v>6000</v>
      </c>
      <c r="P301" s="46">
        <f t="shared" ca="1" si="13"/>
        <v>1.0416666666738998E-3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input_settle_541100!A$2</f>
        <v>541100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IFERROR(VLOOKUP(B302,input_settle_541100!L:R,7,FALSE),VLOOKUP(tables_settle_541100!C302,input_settle_541100!A:H,8,FALSE))</f>
        <v>6000</v>
      </c>
      <c r="P302" s="46">
        <f t="shared" ca="1" si="13"/>
        <v>1.0416666666738998E-3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input_settle_541100!A$2</f>
        <v>541100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IFERROR(VLOOKUP(B303,input_settle_541100!L:R,7,FALSE),VLOOKUP(tables_settle_541100!C303,input_settle_541100!A:H,8,FALSE))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input_settle_541100!A$2</f>
        <v>541100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IFERROR(VLOOKUP(B304,input_settle_541100!L:R,7,FALSE),VLOOKUP(tables_settle_541100!C304,input_settle_541100!A:H,8,FALSE))</f>
        <v>54900</v>
      </c>
      <c r="P304" s="46">
        <f t="shared" ca="1" si="13"/>
        <v>9.531250000066183E-3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input_settle_541100!A$2</f>
        <v>541100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IFERROR(VLOOKUP(B305,input_settle_541100!L:R,7,FALSE),VLOOKUP(tables_settle_541100!C305,input_settle_541100!A:H,8,FALSE))</f>
        <v>6000</v>
      </c>
      <c r="P305" s="46">
        <f t="shared" ca="1" si="13"/>
        <v>1.0416666666738998E-3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input_settle_541100!A$2</f>
        <v>541100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IFERROR(VLOOKUP(B306,input_settle_541100!L:R,7,FALSE),VLOOKUP(tables_settle_541100!C306,input_settle_541100!A:H,8,FALSE))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input_settle_541100!A$2</f>
        <v>541100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IFERROR(VLOOKUP(B307,input_settle_541100!L:R,7,FALSE),VLOOKUP(tables_settle_541100!C307,input_settle_541100!A:H,8,FALSE))</f>
        <v>54900</v>
      </c>
      <c r="P307" s="46">
        <f t="shared" ca="1" si="13"/>
        <v>9.531250000066183E-3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input_settle_541100!A$2</f>
        <v>541100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IFERROR(VLOOKUP(B308,input_settle_541100!L:R,7,FALSE),VLOOKUP(tables_settle_541100!C308,input_settle_541100!A:H,8,FALSE))</f>
        <v>6000</v>
      </c>
      <c r="P308" s="46">
        <f t="shared" ca="1" si="13"/>
        <v>1.0416666666738998E-3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input_settle_541100!A$2</f>
        <v>541100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IFERROR(VLOOKUP(B309,input_settle_541100!L:R,7,FALSE),VLOOKUP(tables_settle_541100!C309,input_settle_541100!A:H,8,FALSE))</f>
        <v>6000</v>
      </c>
      <c r="P309" s="46">
        <f t="shared" ca="1" si="13"/>
        <v>1.0416666666738998E-3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input_settle_541100!A$2</f>
        <v>541100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IFERROR(VLOOKUP(B310,input_settle_541100!L:R,7,FALSE),VLOOKUP(tables_settle_541100!C310,input_settle_541100!A:H,8,FALSE))</f>
        <v>6000</v>
      </c>
      <c r="P310" s="46">
        <f t="shared" ca="1" si="13"/>
        <v>1.0416666666738998E-3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input_settle_541100!A$2</f>
        <v>541100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IFERROR(VLOOKUP(B311,input_settle_541100!L:R,7,FALSE),VLOOKUP(tables_settle_541100!C311,input_settle_541100!A:H,8,FALSE))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input_settle_541100!A$2</f>
        <v>541100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IFERROR(VLOOKUP(B312,input_settle_541100!L:R,7,FALSE),VLOOKUP(tables_settle_541100!C312,input_settle_541100!A:H,8,FALSE))</f>
        <v>54900</v>
      </c>
      <c r="P312" s="46">
        <f t="shared" ca="1" si="13"/>
        <v>9.531250000066183E-3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input_settle_541100!A$2</f>
        <v>541100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IFERROR(VLOOKUP(B313,input_settle_541100!L:R,7,FALSE),VLOOKUP(tables_settle_541100!C313,input_settle_541100!A:H,8,FALSE))</f>
        <v>6000</v>
      </c>
      <c r="P313" s="46">
        <f t="shared" ca="1" si="13"/>
        <v>1.0416666666738998E-3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input_settle_541100!A$2</f>
        <v>541100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IFERROR(VLOOKUP(B314,input_settle_541100!L:R,7,FALSE),VLOOKUP(tables_settle_541100!C314,input_settle_541100!A:H,8,FALSE))</f>
        <v>6000</v>
      </c>
      <c r="P314" s="46">
        <f t="shared" ca="1" si="13"/>
        <v>1.0416666666738998E-3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input_settle_541100!A$2</f>
        <v>541100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IFERROR(VLOOKUP(B315,input_settle_541100!L:R,7,FALSE),VLOOKUP(tables_settle_541100!C315,input_settle_541100!A:H,8,FALSE))</f>
        <v>6000</v>
      </c>
      <c r="P315" s="46">
        <f t="shared" ca="1" si="13"/>
        <v>1.0416666666738998E-3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input_settle_541100!A$2</f>
        <v>541100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IFERROR(VLOOKUP(B316,input_settle_541100!L:R,7,FALSE),VLOOKUP(tables_settle_541100!C316,input_settle_541100!A:H,8,FALSE))</f>
        <v>6000</v>
      </c>
      <c r="P316" s="46">
        <f t="shared" ca="1" si="13"/>
        <v>1.0416666666738998E-3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input_settle_541100!A$2</f>
        <v>541100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IFERROR(VLOOKUP(B317,input_settle_541100!L:R,7,FALSE),VLOOKUP(tables_settle_541100!C317,input_settle_541100!A:H,8,FALSE))</f>
        <v>6000</v>
      </c>
      <c r="P317" s="46">
        <f t="shared" ca="1" si="13"/>
        <v>1.0416666666738998E-3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input_settle_541100!A$2</f>
        <v>541100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IFERROR(VLOOKUP(B318,input_settle_541100!L:R,7,FALSE),VLOOKUP(tables_settle_541100!C318,input_settle_541100!A:H,8,FALSE))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input_settle_541100!A$2</f>
        <v>541100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IFERROR(VLOOKUP(B319,input_settle_541100!L:R,7,FALSE),VLOOKUP(tables_settle_541100!C319,input_settle_541100!A:H,8,FALSE))</f>
        <v>54900</v>
      </c>
      <c r="P319" s="46">
        <f t="shared" ca="1" si="13"/>
        <v>9.531250000066183E-3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input_settle_541100!A$2</f>
        <v>541100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IFERROR(VLOOKUP(B320,input_settle_541100!L:R,7,FALSE),VLOOKUP(tables_settle_541100!C320,input_settle_541100!A:H,8,FALSE))</f>
        <v>6000</v>
      </c>
      <c r="P320" s="46">
        <f t="shared" ca="1" si="13"/>
        <v>1.0416666666738998E-3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input_settle_541100!A$2</f>
        <v>541100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IFERROR(VLOOKUP(B321,input_settle_541100!L:R,7,FALSE),VLOOKUP(tables_settle_541100!C321,input_settle_541100!A:H,8,FALSE))</f>
        <v>6000</v>
      </c>
      <c r="P321" s="46">
        <f t="shared" ca="1" si="13"/>
        <v>1.0416666666738998E-3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input_settle_541100!A$2</f>
        <v>541100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IFERROR(VLOOKUP(B322,input_settle_541100!L:R,7,FALSE),VLOOKUP(tables_settle_541100!C322,input_settle_541100!A:H,8,FALSE))</f>
        <v>6000</v>
      </c>
      <c r="P322" s="46">
        <f t="shared" ref="P322:P358" ca="1" si="23">O322/SUM(O:O)</f>
        <v>1.0416666666738998E-3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input_settle_541100!A$2</f>
        <v>541100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IFERROR(VLOOKUP(B323,input_settle_541100!L:R,7,FALSE),VLOOKUP(tables_settle_541100!C323,input_settle_541100!A:H,8,FALSE))</f>
        <v>6000</v>
      </c>
      <c r="P323" s="46">
        <f t="shared" ca="1" si="23"/>
        <v>1.0416666666738998E-3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input_settle_541100!A$2</f>
        <v>541100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IFERROR(VLOOKUP(B324,input_settle_541100!L:R,7,FALSE),VLOOKUP(tables_settle_541100!C324,input_settle_541100!A:H,8,FALSE))</f>
        <v>0</v>
      </c>
      <c r="P324" s="46">
        <f t="shared" ca="1" si="23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input_settle_541100!A$2</f>
        <v>541100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IFERROR(VLOOKUP(B325,input_settle_541100!L:R,7,FALSE),VLOOKUP(tables_settle_541100!C325,input_settle_541100!A:H,8,FALSE))</f>
        <v>54900</v>
      </c>
      <c r="P325" s="46">
        <f t="shared" ca="1" si="23"/>
        <v>9.531250000066183E-3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input_settle_541100!A$2</f>
        <v>541100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IFERROR(VLOOKUP(B326,input_settle_541100!L:R,7,FALSE),VLOOKUP(tables_settle_541100!C326,input_settle_541100!A:H,8,FALSE))</f>
        <v>0</v>
      </c>
      <c r="P326" s="46">
        <f t="shared" ca="1" si="23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input_settle_541100!A$2</f>
        <v>541100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IFERROR(VLOOKUP(B327,input_settle_541100!L:R,7,FALSE),VLOOKUP(tables_settle_541100!C327,input_settle_541100!A:H,8,FALSE))</f>
        <v>54900</v>
      </c>
      <c r="P327" s="46">
        <f t="shared" ca="1" si="23"/>
        <v>9.531250000066183E-3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input_settle_541100!A$2</f>
        <v>541100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IFERROR(VLOOKUP(B328,input_settle_541100!L:R,7,FALSE),VLOOKUP(tables_settle_541100!C328,input_settle_541100!A:H,8,FALSE))</f>
        <v>6000</v>
      </c>
      <c r="P328" s="46">
        <f t="shared" ca="1" si="23"/>
        <v>1.0416666666738998E-3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input_settle_541100!A$2</f>
        <v>541100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IFERROR(VLOOKUP(B329,input_settle_541100!L:R,7,FALSE),VLOOKUP(tables_settle_541100!C329,input_settle_541100!A:H,8,FALSE))</f>
        <v>6000</v>
      </c>
      <c r="P329" s="46">
        <f t="shared" ca="1" si="23"/>
        <v>1.0416666666738998E-3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input_settle_541100!A$2</f>
        <v>541100</v>
      </c>
      <c r="B330" s="2">
        <v>1157</v>
      </c>
      <c r="C330" s="7" t="str">
        <f t="shared" si="25"/>
        <v>PremiumSS5R5only</v>
      </c>
      <c r="D330" s="96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IFERROR(VLOOKUP(B330,input_settle_541100!L:R,7,FALSE),VLOOKUP(tables_settle_541100!C330,input_settle_541100!A:H,8,FALSE))</f>
        <v>6000</v>
      </c>
      <c r="P330" s="46">
        <f t="shared" ca="1" si="23"/>
        <v>1.0416666666738998E-3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input_settle_541100!A$2</f>
        <v>541100</v>
      </c>
      <c r="B331" s="60">
        <v>1214</v>
      </c>
      <c r="C331" s="7" t="str">
        <f t="shared" ref="C331:C335" si="26">D331&amp;J331&amp;E331&amp;F331&amp;G331</f>
        <v>PremiumSS5R5only</v>
      </c>
      <c r="D331" s="96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IFERROR(VLOOKUP(B331,input_settle_541100!L:R,7,FALSE),VLOOKUP(tables_settle_541100!C331,input_settle_541100!A:H,8,FALSE))</f>
        <v>6000</v>
      </c>
      <c r="P331" s="46">
        <f t="shared" ca="1" si="23"/>
        <v>1.0416666666738998E-3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input_settle_541100!A$2</f>
        <v>541100</v>
      </c>
      <c r="B332" s="60">
        <v>1212</v>
      </c>
      <c r="C332" s="7" t="str">
        <f t="shared" si="26"/>
        <v>PremiumSS5R5only</v>
      </c>
      <c r="D332" s="96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IFERROR(VLOOKUP(B332,input_settle_541100!L:R,7,FALSE),VLOOKUP(tables_settle_541100!C332,input_settle_541100!A:H,8,FALSE))</f>
        <v>6000</v>
      </c>
      <c r="P332" s="46">
        <f t="shared" ca="1" si="23"/>
        <v>1.0416666666738998E-3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input_settle_541100!A$2</f>
        <v>541100</v>
      </c>
      <c r="B333" s="60">
        <v>1208</v>
      </c>
      <c r="C333" s="7" t="str">
        <f t="shared" si="26"/>
        <v>PremiumSS5R5only</v>
      </c>
      <c r="D333" s="96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IFERROR(VLOOKUP(B333,input_settle_541100!L:R,7,FALSE),VLOOKUP(tables_settle_541100!C333,input_settle_541100!A:H,8,FALSE))</f>
        <v>6000</v>
      </c>
      <c r="P333" s="46">
        <f t="shared" ca="1" si="23"/>
        <v>1.0416666666738998E-3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input_settle_541100!A$2</f>
        <v>541100</v>
      </c>
      <c r="B334" s="92">
        <v>1210</v>
      </c>
      <c r="C334" s="7" t="str">
        <f t="shared" si="26"/>
        <v>Premium4R3less</v>
      </c>
      <c r="D334" s="96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IFERROR(VLOOKUP(B334,input_settle_541100!L:R,7,FALSE),VLOOKUP(tables_settle_541100!C334,input_settle_541100!A:H,8,FALSE))</f>
        <v>0</v>
      </c>
      <c r="P334" s="46">
        <f t="shared" ca="1" si="23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input_settle_541100!A$2</f>
        <v>541100</v>
      </c>
      <c r="B335" s="60">
        <v>1211</v>
      </c>
      <c r="C335" s="7" t="str">
        <f t="shared" si="26"/>
        <v>Premium5R3less</v>
      </c>
      <c r="D335" s="96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IFERROR(VLOOKUP(B335,input_settle_541100!L:R,7,FALSE),VLOOKUP(tables_settle_541100!C335,input_settle_541100!A:H,8,FALSE))</f>
        <v>54900</v>
      </c>
      <c r="P335" s="46">
        <f t="shared" ca="1" si="23"/>
        <v>9.531250000066183E-3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input_settle_541100!A$2</f>
        <v>541100</v>
      </c>
      <c r="B336" s="2">
        <v>1224</v>
      </c>
      <c r="C336" s="7" t="str">
        <f t="shared" ref="C336:C340" si="28">D336&amp;J336&amp;E336&amp;F336&amp;G336</f>
        <v>Premium4R3less</v>
      </c>
      <c r="D336" s="96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IFERROR(VLOOKUP(B336,input_settle_541100!L:R,7,FALSE),VLOOKUP(tables_settle_541100!C336,input_settle_541100!A:H,8,FALSE))</f>
        <v>0</v>
      </c>
      <c r="P336" s="46">
        <f t="shared" ca="1" si="23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input_settle_541100!A$2</f>
        <v>541100</v>
      </c>
      <c r="B337" s="2">
        <v>1225</v>
      </c>
      <c r="C337" s="7" t="str">
        <f t="shared" si="28"/>
        <v>Premium5R3less</v>
      </c>
      <c r="D337" s="96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IFERROR(VLOOKUP(B337,input_settle_541100!L:R,7,FALSE),VLOOKUP(tables_settle_541100!C337,input_settle_541100!A:H,8,FALSE))</f>
        <v>54900</v>
      </c>
      <c r="P337" s="46">
        <f t="shared" ca="1" si="23"/>
        <v>9.531250000066183E-3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input_settle_541100!A$2</f>
        <v>541100</v>
      </c>
      <c r="B338" s="2">
        <v>1226</v>
      </c>
      <c r="C338" s="7" t="str">
        <f t="shared" si="28"/>
        <v>PremiumSS5R5only</v>
      </c>
      <c r="D338" s="96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IFERROR(VLOOKUP(B338,input_settle_541100!L:R,7,FALSE),VLOOKUP(tables_settle_541100!C338,input_settle_541100!A:H,8,FALSE))</f>
        <v>6000</v>
      </c>
      <c r="P338" s="46">
        <f t="shared" ca="1" si="23"/>
        <v>1.0416666666738998E-3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input_settle_541100!A$2</f>
        <v>541100</v>
      </c>
      <c r="B339" s="2">
        <v>1228</v>
      </c>
      <c r="C339" s="7" t="str">
        <f t="shared" si="28"/>
        <v>PremiumSS5R5only</v>
      </c>
      <c r="D339" s="96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IFERROR(VLOOKUP(B339,input_settle_541100!L:R,7,FALSE),VLOOKUP(tables_settle_541100!C339,input_settle_541100!A:H,8,FALSE))</f>
        <v>6000</v>
      </c>
      <c r="P339" s="46">
        <f t="shared" ca="1" si="23"/>
        <v>1.0416666666738998E-3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input_settle_541100!A$2</f>
        <v>541100</v>
      </c>
      <c r="B340" s="2">
        <v>1230</v>
      </c>
      <c r="C340" s="7" t="str">
        <f t="shared" si="28"/>
        <v>PremiumSS5R5only</v>
      </c>
      <c r="D340" s="96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IFERROR(VLOOKUP(B340,input_settle_541100!L:R,7,FALSE),VLOOKUP(tables_settle_541100!C340,input_settle_541100!A:H,8,FALSE))</f>
        <v>6000</v>
      </c>
      <c r="P340" s="46">
        <f t="shared" ca="1" si="23"/>
        <v>1.0416666666738998E-3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input_settle_541100!A$2</f>
        <v>541100</v>
      </c>
      <c r="B341" s="1">
        <v>1250</v>
      </c>
      <c r="C341" s="7" t="str">
        <f t="shared" ref="C341" si="30">D341&amp;J341&amp;E341&amp;F341&amp;G341</f>
        <v>PremiumSS5R5only</v>
      </c>
      <c r="D341" s="96" t="str">
        <f t="shared" ref="D341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IFERROR(VLOOKUP(B341,input_settle_541100!L:R,7,FALSE),VLOOKUP(tables_settle_541100!C341,input_settle_541100!A:H,8,FALSE))</f>
        <v>6000</v>
      </c>
      <c r="P341" s="46">
        <f t="shared" ca="1" si="23"/>
        <v>1.0416666666738998E-3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input_settle_541100!A$2</f>
        <v>541100</v>
      </c>
      <c r="B342" s="1">
        <v>1248</v>
      </c>
      <c r="C342" s="7" t="str">
        <f t="shared" ref="C342:C345" si="32">D342&amp;J342&amp;E342&amp;F342&amp;G342</f>
        <v>Premium4R3less</v>
      </c>
      <c r="D342" s="96" t="str">
        <f t="shared" ref="D342:D345" si="33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IFERROR(VLOOKUP(B342,input_settle_541100!L:R,7,FALSE),VLOOKUP(tables_settle_541100!C342,input_settle_541100!A:H,8,FALSE))</f>
        <v>0</v>
      </c>
      <c r="P342" s="46">
        <f t="shared" ca="1" si="23"/>
        <v>0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input_settle_541100!A$2</f>
        <v>541100</v>
      </c>
      <c r="B343" s="1">
        <v>1249</v>
      </c>
      <c r="C343" s="7" t="str">
        <f t="shared" si="32"/>
        <v>Premium5R3less</v>
      </c>
      <c r="D343" s="96" t="str">
        <f t="shared" si="3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IFERROR(VLOOKUP(B343,input_settle_541100!L:R,7,FALSE),VLOOKUP(tables_settle_541100!C343,input_settle_541100!A:H,8,FALSE))</f>
        <v>54900</v>
      </c>
      <c r="P343" s="46">
        <f t="shared" ca="1" si="23"/>
        <v>9.531250000066183E-3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input_settle_541100!A$2</f>
        <v>541100</v>
      </c>
      <c r="B344" s="1">
        <v>1246</v>
      </c>
      <c r="C344" s="7" t="str">
        <f t="shared" si="32"/>
        <v>PremiumSS5R5only</v>
      </c>
      <c r="D344" s="96" t="str">
        <f t="shared" si="3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IFERROR(VLOOKUP(B344,input_settle_541100!L:R,7,FALSE),VLOOKUP(tables_settle_541100!C344,input_settle_541100!A:H,8,FALSE))</f>
        <v>6000</v>
      </c>
      <c r="P344" s="46">
        <f t="shared" ca="1" si="23"/>
        <v>1.0416666666738998E-3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input_settle_541100!A$2</f>
        <v>541100</v>
      </c>
      <c r="B345" s="1">
        <v>1244</v>
      </c>
      <c r="C345" s="7" t="str">
        <f t="shared" si="32"/>
        <v>PremiumSS5R5only</v>
      </c>
      <c r="D345" s="96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IFERROR(VLOOKUP(B345,input_settle_541100!L:R,7,FALSE),VLOOKUP(tables_settle_541100!C345,input_settle_541100!A:H,8,FALSE))</f>
        <v>6000</v>
      </c>
      <c r="P345" s="46">
        <f t="shared" ca="1" si="23"/>
        <v>1.0416666666738998E-3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input_settle_541100!A$2</f>
        <v>541100</v>
      </c>
      <c r="B346" s="1">
        <v>1260</v>
      </c>
      <c r="C346" s="7" t="str">
        <f t="shared" ref="C346:C349" si="34">D346&amp;J346&amp;E346&amp;F346&amp;G346</f>
        <v>PremiumSS5R5only</v>
      </c>
      <c r="D346" s="96" t="str">
        <f t="shared" ref="D346:D349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IFERROR(VLOOKUP(B346,input_settle_541100!L:R,7,FALSE),VLOOKUP(tables_settle_541100!C346,input_settle_541100!A:H,8,FALSE))</f>
        <v>6000</v>
      </c>
      <c r="P346" s="46">
        <f t="shared" ca="1" si="23"/>
        <v>1.0416666666738998E-3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input_settle_541100!A$2</f>
        <v>541100</v>
      </c>
      <c r="B347" s="1">
        <v>1262</v>
      </c>
      <c r="C347" s="7" t="str">
        <f t="shared" si="34"/>
        <v>PremiumSS5R5only</v>
      </c>
      <c r="D347" s="96" t="str">
        <f t="shared" si="35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IFERROR(VLOOKUP(B347,input_settle_541100!L:R,7,FALSE),VLOOKUP(tables_settle_541100!C347,input_settle_541100!A:H,8,FALSE))</f>
        <v>6000</v>
      </c>
      <c r="P347" s="46">
        <f t="shared" ca="1" si="23"/>
        <v>1.0416666666738998E-3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input_settle_541100!A$2</f>
        <v>541100</v>
      </c>
      <c r="B348" s="1">
        <v>1264</v>
      </c>
      <c r="C348" s="7" t="str">
        <f t="shared" si="34"/>
        <v>PremiumSS5R5only</v>
      </c>
      <c r="D348" s="96" t="str">
        <f t="shared" si="35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IFERROR(VLOOKUP(B348,input_settle_541100!L:R,7,FALSE),VLOOKUP(tables_settle_541100!C348,input_settle_541100!A:H,8,FALSE))</f>
        <v>6000</v>
      </c>
      <c r="P348" s="46">
        <f t="shared" ca="1" si="23"/>
        <v>1.0416666666738998E-3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input_settle_541100!A$2</f>
        <v>541100</v>
      </c>
      <c r="B349" s="1">
        <v>1266</v>
      </c>
      <c r="C349" s="7" t="str">
        <f t="shared" si="34"/>
        <v>Premium4R3less</v>
      </c>
      <c r="D349" s="96" t="str">
        <f t="shared" si="3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IFERROR(VLOOKUP(B349,input_settle_541100!L:R,7,FALSE),VLOOKUP(tables_settle_541100!C349,input_settle_541100!A:H,8,FALSE))</f>
        <v>0</v>
      </c>
      <c r="P349" s="46">
        <f t="shared" ca="1" si="23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input_settle_541100!A$2</f>
        <v>541100</v>
      </c>
      <c r="B350" s="1">
        <v>1267</v>
      </c>
      <c r="C350" s="7" t="str">
        <f t="shared" ref="C350" si="36">D350&amp;J350&amp;E350&amp;F350&amp;G350</f>
        <v>Premium5R3less</v>
      </c>
      <c r="D350" s="96" t="str">
        <f t="shared" ref="D350" si="37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IFERROR(VLOOKUP(B350,input_settle_541100!L:R,7,FALSE),VLOOKUP(tables_settle_541100!C350,input_settle_541100!A:H,8,FALSE))</f>
        <v>54900</v>
      </c>
      <c r="P350" s="46">
        <f t="shared" ca="1" si="23"/>
        <v>9.531250000066183E-3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input_settle_541100!A$2</f>
        <v>541100</v>
      </c>
      <c r="B351" s="99">
        <v>1332</v>
      </c>
      <c r="C351" s="7" t="str">
        <f t="shared" ref="C351:C352" si="38">D351&amp;J351&amp;E351&amp;F351&amp;G351</f>
        <v>PremiumSS5R5only</v>
      </c>
      <c r="D351" s="96" t="str">
        <f t="shared" ref="D351:D352" si="3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IFERROR(VLOOKUP(B351,input_settle_541100!L:R,7,FALSE),VLOOKUP(tables_settle_541100!C351,input_settle_541100!A:H,8,FALSE))</f>
        <v>6000</v>
      </c>
      <c r="P351" s="46">
        <f t="shared" ca="1" si="23"/>
        <v>1.0416666666738998E-3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input_settle_541100!A$2</f>
        <v>541100</v>
      </c>
      <c r="B352" s="99">
        <v>1336</v>
      </c>
      <c r="C352" s="7" t="str">
        <f t="shared" si="38"/>
        <v>PremiumSS5R5only</v>
      </c>
      <c r="D352" s="96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IFERROR(VLOOKUP(B352,input_settle_541100!L:R,7,FALSE),VLOOKUP(tables_settle_541100!C352,input_settle_541100!A:H,8,FALSE))</f>
        <v>6000</v>
      </c>
      <c r="P352" s="46">
        <f t="shared" ca="1" si="23"/>
        <v>1.0416666666738998E-3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input_settle_541100!A$2</f>
        <v>541100</v>
      </c>
      <c r="B353" s="99">
        <v>1338</v>
      </c>
      <c r="C353" s="7" t="str">
        <f t="shared" ref="C353:C358" si="40">D353&amp;J353&amp;E353&amp;F353&amp;G353</f>
        <v>PremiumSS5R5only</v>
      </c>
      <c r="D353" s="96" t="str">
        <f t="shared" ref="D353:D358" si="41">IF(OR(I353="PremiumSS",I353="PremiumSSw"),"PremiumSS",IF(I353="PremiumSSS",I353,IF(I353="PremiumW",IF(J353=5,"premium",I353),"Premium")))</f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IFERROR(VLOOKUP(B353,input_settle_541100!L:R,7,FALSE),VLOOKUP(tables_settle_541100!C353,input_settle_541100!A:H,8,FALSE))</f>
        <v>6000</v>
      </c>
      <c r="P353" s="46">
        <f t="shared" ca="1" si="23"/>
        <v>1.0416666666738998E-3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input_settle_541100!A$2</f>
        <v>541100</v>
      </c>
      <c r="B354" s="99">
        <v>1334</v>
      </c>
      <c r="C354" s="7" t="str">
        <f t="shared" si="40"/>
        <v>Premium4R3less</v>
      </c>
      <c r="D354" s="96" t="str">
        <f t="shared" si="4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IFERROR(VLOOKUP(B354,input_settle_541100!L:R,7,FALSE),VLOOKUP(tables_settle_541100!C354,input_settle_541100!A:H,8,FALSE))</f>
        <v>0</v>
      </c>
      <c r="P354" s="46">
        <f t="shared" ca="1" si="23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input_settle_541100!A$2</f>
        <v>541100</v>
      </c>
      <c r="B355" s="99">
        <v>1335</v>
      </c>
      <c r="C355" s="7" t="str">
        <f t="shared" si="40"/>
        <v>Premium5R3less</v>
      </c>
      <c r="D355" s="96" t="str">
        <f t="shared" si="4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IFERROR(VLOOKUP(B355,input_settle_541100!L:R,7,FALSE),VLOOKUP(tables_settle_541100!C355,input_settle_541100!A:H,8,FALSE))</f>
        <v>54900</v>
      </c>
      <c r="P355" s="46">
        <f t="shared" ca="1" si="23"/>
        <v>9.531250000066183E-3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input_settle_541100!A$2</f>
        <v>541100</v>
      </c>
      <c r="B356" s="1">
        <v>410</v>
      </c>
      <c r="C356" s="7" t="str">
        <f t="shared" si="40"/>
        <v>PremiumSSS4R3less</v>
      </c>
      <c r="D356" s="96" t="str">
        <f t="shared" si="41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ファラデー</v>
      </c>
      <c r="I356" s="7" t="str">
        <f>VLOOKUP(B356,[1]characters!$A:$J,10,FALSE)</f>
        <v>PremiumSSS</v>
      </c>
      <c r="J356" s="7">
        <f>VLOOKUP(B356,[1]characters!$A:$I,9,FALSE)</f>
        <v>4</v>
      </c>
      <c r="K356" s="7" t="str">
        <f>VLOOKUP(B356,[1]characters!$A:$H,8,FALSE)</f>
        <v>yellow</v>
      </c>
      <c r="L356" s="7" t="str">
        <f>VLOOKUP(B356,[1]characters!$A:$K,11,FALSE)</f>
        <v>balance</v>
      </c>
      <c r="M356" s="7" t="str">
        <f>VLOOKUP(B356,[1]characters!$A:$M,13,FALSE)</f>
        <v>human</v>
      </c>
      <c r="N356" s="7" t="str">
        <f>VLOOKUP(B356,[1]characters!$A:$G,7,FALSE)</f>
        <v>女性</v>
      </c>
      <c r="O356" s="45">
        <f ca="1">IFERROR(VLOOKUP(B356,input_settle_541100!L:R,7,FALSE),VLOOKUP(tables_settle_541100!C356,input_settle_541100!A:H,8,FALSE))</f>
        <v>0</v>
      </c>
      <c r="P356" s="46">
        <f t="shared" ca="1" si="23"/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input_settle_541100!A$2</f>
        <v>541100</v>
      </c>
      <c r="B357" s="1">
        <v>411</v>
      </c>
      <c r="C357" s="7" t="str">
        <f t="shared" si="40"/>
        <v>PremiumSSS5R3less</v>
      </c>
      <c r="D357" s="96" t="str">
        <f t="shared" si="41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電隷の始祖 ファラデー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balance</v>
      </c>
      <c r="M357" s="7" t="str">
        <f>VLOOKUP(B357,[1]characters!$A:$M,13,FALSE)</f>
        <v>human</v>
      </c>
      <c r="N357" s="7" t="str">
        <f>VLOOKUP(B357,[1]characters!$A:$G,7,FALSE)</f>
        <v>女性</v>
      </c>
      <c r="O357" s="45">
        <f>IFERROR(VLOOKUP(B357,input_settle_541100!L:R,7,FALSE),VLOOKUP(tables_settle_541100!C357,input_settle_541100!A:H,8,FALSE))</f>
        <v>28800</v>
      </c>
      <c r="P357" s="46">
        <f t="shared" ca="1" si="23"/>
        <v>5.0000000000347189E-3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input_settle_541100!A$2</f>
        <v>541100</v>
      </c>
      <c r="B358" s="1">
        <v>1348</v>
      </c>
      <c r="C358" s="7" t="str">
        <f t="shared" si="40"/>
        <v>PremiumSSS5R3less</v>
      </c>
      <c r="D358" s="96" t="str">
        <f t="shared" si="41"/>
        <v>PremiumSSS</v>
      </c>
      <c r="E358" s="7" t="str">
        <f>IF(COUNTIF('R6追加前'!A:A,B358)=0,IF(OR(I358="PremiumSS",I358="PremiumSSw"),"R5only","R3less"),"")</f>
        <v>R3less</v>
      </c>
      <c r="F358" s="7" t="str">
        <f>IF(COUNTIF('R6開放'!A:A,B358)&gt;0,"R6release","")</f>
        <v/>
      </c>
      <c r="G358" s="7"/>
      <c r="H358" s="7" t="str">
        <f>VLOOKUP(B358,[1]characters!$A:$C,3,FALSE)</f>
        <v>パウリR5</v>
      </c>
      <c r="I358" s="7" t="str">
        <f>VLOOKUP(B358,[1]characters!$A:$J,10,FALSE)</f>
        <v>PremiumSSS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hp</v>
      </c>
      <c r="M358" s="7" t="str">
        <f>VLOOKUP(B358,[1]characters!$A:$M,13,FALSE)</f>
        <v>academia</v>
      </c>
      <c r="N358" s="7">
        <f>VLOOKUP(B358,[1]characters!$A:$G,7,FALSE)</f>
        <v>0</v>
      </c>
      <c r="O358" s="45">
        <f>IFERROR(VLOOKUP(B358,input_settle_541100!L:R,7,FALSE),VLOOKUP(tables_settle_541100!C358,input_settle_541100!A:H,8,FALSE))</f>
        <v>28800</v>
      </c>
      <c r="P358" s="46">
        <f t="shared" ca="1" si="23"/>
        <v>5.0000000000347189E-3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</sheetData>
  <autoFilter ref="A1:V358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/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410</v>
      </c>
      <c r="M3" s="37" t="str">
        <f>VLOOKUP(L3,[1]characters!$A:$C,3,FALSE)</f>
        <v>ファラデー</v>
      </c>
      <c r="N3" s="63">
        <v>4.4999999999999997E-3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VLOOKUP(L3,tables_541100!B:C,2,FALSE)</f>
        <v>PremiumSSS4R3less</v>
      </c>
      <c r="R3" s="62">
        <f t="shared" ref="R3:R20" si="1">N3*A$36</f>
        <v>25919.999999999996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411</v>
      </c>
      <c r="M4" s="37" t="str">
        <f>VLOOKUP(L4,[1]characters!$A:$C,3,FALSE)</f>
        <v>電隷の始祖 ファラデー</v>
      </c>
      <c r="N4" s="63">
        <v>5.0000000000000001E-4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VLOOKUP(L4,tables_541100!B:C,2,FALSE)</f>
        <v>PremiumSSS5R3less</v>
      </c>
      <c r="R4" s="62">
        <f t="shared" si="1"/>
        <v>2880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1.0416666666666667E-3</v>
      </c>
      <c r="F5">
        <f>(COUNTIF(tables_541100!C:C,input_541100!A28)+COUNTIF(tables_541100!C:C,input_541100!A29))</f>
        <v>72</v>
      </c>
      <c r="H5" s="84">
        <v>0</v>
      </c>
      <c r="I5" s="31">
        <v>0</v>
      </c>
      <c r="L5" s="1">
        <v>1348</v>
      </c>
      <c r="M5" s="37" t="str">
        <f>VLOOKUP(L5,[1]characters!$A:$C,3,FALSE)</f>
        <v>パウリR5</v>
      </c>
      <c r="N5" s="63">
        <v>5.0000000000000001E-3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VLOOKUP(L5,tables_541100!B:C,2,FALSE)</f>
        <v>PremiumSSS5R3less</v>
      </c>
      <c r="R5" s="62">
        <f t="shared" si="1"/>
        <v>28800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9.5312499999999998E-3</v>
      </c>
      <c r="F6">
        <f>(COUNTIF(tables_541100!C:C,input_541100!A25)+COUNTIF(tables_541100!C:C,input_541100!A18)+COUNTIF(tables_541100!C:C,input_541100!A20)+COUNTIF(tables_541100!C:C,input_541100!A22))</f>
        <v>96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VLOOKUP(L6,tables_541100!B:C,2,FALSE)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VLOOKUP(L7,tables_541100!B:C,2,FALSE)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VLOOKUP(L8,tables_541100!B:C,2,FALSE)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VLOOKUP(L9,tables_541100!B:C,2,FALSE)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VLOOKUP(L10,tables_541100!B:C,2,FALSE)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252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VLOOKUP(L11,tables_541100!B:C,2,FALSE)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VLOOKUP(L12,tables_541100!B:C,2,FALSE)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VLOOKUP(L13,tables_541100!B:C,2,FALSE)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VLOOKUP(L14,tables_541100!B:C,2,FALSE)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VLOOKUP(L15,tables_541100!B:C,2,FALSE)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VLOOKUP(L16,tables_541100!B:C,2,FALSE)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COUNTIF(tables_541100!C:C,input_541100!A17)-COUNTIF(Q:Q,A17)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VLOOKUP(L17,tables_541100!B:C,2,FALSE)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B6-SUM(B20,B22,B25,B27,B30,C30)</f>
        <v>0.22303125000000013</v>
      </c>
      <c r="C18" s="85">
        <f t="shared" si="2"/>
        <v>0</v>
      </c>
      <c r="D18" s="74">
        <f t="shared" si="3"/>
        <v>0.22303125000000013</v>
      </c>
      <c r="E18">
        <f>COUNTIF(tables_541100!C:C,input_541100!A18)-COUNTIF(Q:Q,A18)</f>
        <v>20</v>
      </c>
      <c r="F18" s="43">
        <f>IFERROR(B18/E18,0)</f>
        <v>1.1151562500000007E-2</v>
      </c>
      <c r="G18">
        <f t="shared" si="4"/>
        <v>1284660.0000000007</v>
      </c>
      <c r="H18">
        <f t="shared" si="5"/>
        <v>64233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VLOOKUP(L18,tables_541100!B:C,2,FALSE)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COUNTIF(tables_541100!C:C,input_541100!A19)-COUNTIF(Q:Q,A19)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VLOOKUP(L19,tables_541100!B:C,2,FALSE)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0.44606249999999997</v>
      </c>
      <c r="C20" s="85">
        <f t="shared" si="2"/>
        <v>0</v>
      </c>
      <c r="D20" s="74">
        <f t="shared" si="3"/>
        <v>0.44606249999999997</v>
      </c>
      <c r="E20">
        <f>COUNTIF(tables_541100!C:C,input_541100!A20)-COUNTIF(Q:Q,A20)</f>
        <v>52</v>
      </c>
      <c r="F20" s="43">
        <f t="shared" si="8"/>
        <v>8.5781249999999989E-3</v>
      </c>
      <c r="G20">
        <f t="shared" si="4"/>
        <v>2569320</v>
      </c>
      <c r="H20">
        <f t="shared" si="5"/>
        <v>49410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VLOOKUP(L20,tables_541100!B:C,2,FALSE)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1.7156250000000012E-2</v>
      </c>
      <c r="C21" s="85">
        <f t="shared" si="2"/>
        <v>0</v>
      </c>
      <c r="D21" s="74">
        <f t="shared" si="3"/>
        <v>1.7156250000000012E-2</v>
      </c>
      <c r="E21">
        <f>COUNTIF(tables_541100!C:C,input_541100!A21)-COUNTIF(Q:Q,A21)</f>
        <v>52</v>
      </c>
      <c r="F21" s="43">
        <f t="shared" si="8"/>
        <v>3.2992788461538484E-4</v>
      </c>
      <c r="G21">
        <f t="shared" si="4"/>
        <v>98820.000000000073</v>
      </c>
      <c r="H21">
        <f t="shared" si="5"/>
        <v>1900.38462</v>
      </c>
      <c r="I21">
        <f t="shared" si="6"/>
        <v>0.38462000000004082</v>
      </c>
      <c r="J21">
        <f t="shared" si="7"/>
        <v>2.5999688003741195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0.16584374999999998</v>
      </c>
      <c r="C22" s="85">
        <f t="shared" si="2"/>
        <v>0</v>
      </c>
      <c r="D22" s="74">
        <f t="shared" si="3"/>
        <v>0.16584374999999998</v>
      </c>
      <c r="E22">
        <f>COUNTIF(tables_541100!C:C,input_541100!A22)-COUNTIF(Q:Q,A22)</f>
        <v>20</v>
      </c>
      <c r="F22" s="43">
        <f t="shared" si="8"/>
        <v>8.2921874999999992E-3</v>
      </c>
      <c r="G22">
        <f t="shared" si="4"/>
        <v>955259.99999999988</v>
      </c>
      <c r="H22">
        <f t="shared" si="5"/>
        <v>47763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2.4781250000000001E-2</v>
      </c>
      <c r="C23" s="85">
        <f t="shared" si="2"/>
        <v>0</v>
      </c>
      <c r="D23" s="74">
        <f t="shared" si="3"/>
        <v>2.4781250000000001E-2</v>
      </c>
      <c r="E23">
        <f>COUNTIF(tables_541100!C:C,input_541100!A23)-COUNTIF(Q:Q,A23)</f>
        <v>26</v>
      </c>
      <c r="F23" s="43">
        <f t="shared" si="8"/>
        <v>9.5312500000000009E-4</v>
      </c>
      <c r="G23">
        <f t="shared" si="4"/>
        <v>142740</v>
      </c>
      <c r="H23">
        <f t="shared" si="5"/>
        <v>5490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COUNTIF(tables_541100!C:C,input_541100!A24)-COUNTIF(Q:Q,A24)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3.4312500000000003E-2</v>
      </c>
      <c r="C25" s="85">
        <f t="shared" si="2"/>
        <v>0</v>
      </c>
      <c r="D25" s="74">
        <f t="shared" si="3"/>
        <v>3.4312500000000003E-2</v>
      </c>
      <c r="E25">
        <f>COUNTIF(tables_541100!C:C,input_541100!A25)-COUNTIF(Q:Q,A25)</f>
        <v>4</v>
      </c>
      <c r="F25" s="43">
        <f t="shared" si="8"/>
        <v>8.5781250000000007E-3</v>
      </c>
      <c r="G25">
        <f t="shared" si="4"/>
        <v>197640.00000000003</v>
      </c>
      <c r="H25">
        <f t="shared" si="5"/>
        <v>49410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3.8124999999999999E-3</v>
      </c>
      <c r="C26" s="85">
        <f t="shared" si="2"/>
        <v>0</v>
      </c>
      <c r="D26" s="74">
        <f t="shared" si="3"/>
        <v>3.8124999999999999E-3</v>
      </c>
      <c r="E26">
        <f>COUNTIF(tables_541100!C:C,input_541100!A26)-COUNTIF(Q:Q,A26)</f>
        <v>4</v>
      </c>
      <c r="F26" s="43">
        <f t="shared" si="8"/>
        <v>9.5312499999999998E-4</v>
      </c>
      <c r="G26">
        <f t="shared" si="4"/>
        <v>21960</v>
      </c>
      <c r="H26">
        <f t="shared" si="5"/>
        <v>5490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2.6250000000000002E-2</v>
      </c>
      <c r="C27" s="85">
        <f t="shared" si="2"/>
        <v>0</v>
      </c>
      <c r="D27" s="74">
        <f t="shared" si="3"/>
        <v>2.6250000000000002E-2</v>
      </c>
      <c r="E27">
        <f>COUNTIF(tables_541100!C:C,input_541100!A27)-COUNTIF(Q:Q,A27)</f>
        <v>28</v>
      </c>
      <c r="F27" s="43">
        <f>IFERROR(B27/E27,0)</f>
        <v>9.3750000000000007E-4</v>
      </c>
      <c r="G27">
        <f t="shared" si="4"/>
        <v>151200</v>
      </c>
      <c r="H27">
        <f t="shared" si="5"/>
        <v>5400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2.9166666666666668E-3</v>
      </c>
      <c r="C28" s="85">
        <f t="shared" si="2"/>
        <v>0</v>
      </c>
      <c r="D28" s="74">
        <f t="shared" si="3"/>
        <v>2.9166666666666668E-3</v>
      </c>
      <c r="E28">
        <f>COUNTIF(tables_541100!C:C,input_541100!A28)-COUNTIF(Q:Q,A28)</f>
        <v>28</v>
      </c>
      <c r="F28" s="43">
        <f t="shared" si="8"/>
        <v>1.0416666666666667E-4</v>
      </c>
      <c r="G28">
        <f t="shared" si="4"/>
        <v>16800</v>
      </c>
      <c r="H28">
        <f t="shared" si="5"/>
        <v>600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4.583333333333333E-2</v>
      </c>
      <c r="C29" s="85">
        <f t="shared" si="2"/>
        <v>0</v>
      </c>
      <c r="D29" s="74">
        <f t="shared" si="3"/>
        <v>4.583333333333333E-2</v>
      </c>
      <c r="E29">
        <f>COUNTIF(tables_541100!C:C,input_541100!A29)-COUNTIF(Q:Q,A29)</f>
        <v>44</v>
      </c>
      <c r="F29" s="43">
        <f t="shared" si="8"/>
        <v>1.0416666666666667E-3</v>
      </c>
      <c r="G29">
        <f t="shared" si="4"/>
        <v>264000</v>
      </c>
      <c r="H29">
        <f t="shared" si="5"/>
        <v>6000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4.4999999999999997E-3</v>
      </c>
      <c r="D30" s="74">
        <f t="shared" si="3"/>
        <v>-4.4999999999999997E-3</v>
      </c>
      <c r="E30">
        <f>COUNTIF(tables_541100!C:C,input_541100!A30)-COUNTIF(Q:Q,A30)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5.4999999999999997E-3</v>
      </c>
      <c r="D31" s="74">
        <f t="shared" si="3"/>
        <v>-5.4999999999999997E-3</v>
      </c>
      <c r="E31">
        <f>COUNTIF(tables_541100!C:C,input_541100!A31)-COUNTIF(Q:Q,A31)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0.98999999999999988</v>
      </c>
      <c r="C32" s="41">
        <f>SUM(C19:C31)</f>
        <v>9.9999999999999985E-3</v>
      </c>
      <c r="D32" s="42">
        <f t="shared" si="3"/>
        <v>0.97999999999999987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SUMIF(tables_541100!C:C,input_541100!A40,tables_541100!O:O)</f>
        <v>0</v>
      </c>
      <c r="C40" s="54">
        <f t="shared" ref="C40:C46" ca="1" si="9">B40/B$47</f>
        <v>0</v>
      </c>
      <c r="E40">
        <v>3</v>
      </c>
      <c r="F40">
        <f ca="1">SUMIF(tables_541100!J:J,input_541100!E40,tables_541100!O:O)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SUMIF(tables_541100!C:C,input_541100!A41,tables_541100!O:O)</f>
        <v>2569320</v>
      </c>
      <c r="C41" s="54">
        <f t="shared" ca="1" si="9"/>
        <v>0.90592142834365685</v>
      </c>
      <c r="E41">
        <v>4</v>
      </c>
      <c r="F41">
        <f ca="1">SUMIF(tables_541100!J:J,input_541100!E41,tables_541100!O:O)</f>
        <v>5184000</v>
      </c>
      <c r="G41">
        <f ca="1">F41/A36</f>
        <v>0.9</v>
      </c>
    </row>
    <row r="42" spans="1:7" x14ac:dyDescent="0.15">
      <c r="A42" s="33" t="s">
        <v>106</v>
      </c>
      <c r="B42">
        <f ca="1">SUMIF(tables_541100!C:C,input_541100!A42,tables_541100!O:O)</f>
        <v>151200</v>
      </c>
      <c r="C42" s="54">
        <f t="shared" ca="1" si="9"/>
        <v>5.3311895741114737E-2</v>
      </c>
      <c r="E42">
        <v>5</v>
      </c>
      <c r="F42">
        <f ca="1">SUMIF(tables_541100!J:J,input_541100!E42,tables_541100!O:O)</f>
        <v>576000.00023999985</v>
      </c>
      <c r="G42">
        <f ca="1">F42/A36</f>
        <v>0.10000000004166663</v>
      </c>
    </row>
    <row r="43" spans="1:7" x14ac:dyDescent="0.15">
      <c r="A43" s="33" t="s">
        <v>109</v>
      </c>
      <c r="B43">
        <f>SUMIF(tables_541100!C:C,input_541100!A43,tables_541100!O:O)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SUMIF(tables_541100!C:C,input_541100!A44,tables_541100!O:O)</f>
        <v>98820.000239999907</v>
      </c>
      <c r="C44" s="54">
        <f t="shared" ca="1" si="9"/>
        <v>3.4843131943993438E-2</v>
      </c>
      <c r="E44" t="s">
        <v>54</v>
      </c>
      <c r="F44" s="55"/>
    </row>
    <row r="45" spans="1:7" x14ac:dyDescent="0.15">
      <c r="A45" s="33" t="s">
        <v>107</v>
      </c>
      <c r="B45">
        <f ca="1">SUMIF(tables_541100!C:C,input_541100!A45,tables_541100!O:O)</f>
        <v>16800</v>
      </c>
      <c r="C45" s="54">
        <f t="shared" ca="1" si="9"/>
        <v>5.9235439712349708E-3</v>
      </c>
      <c r="E45" t="s">
        <v>204</v>
      </c>
      <c r="F45" s="100">
        <f ca="1">SUMIF(tables_541100!I:I,input_541100!E45,tables_541100!P:P)</f>
        <v>0.22874999999046849</v>
      </c>
    </row>
    <row r="46" spans="1:7" x14ac:dyDescent="0.15">
      <c r="A46" s="33" t="s">
        <v>108</v>
      </c>
      <c r="B46">
        <f>SUMIF(tables_541100!C:C,input_541100!A46,tables_541100!O:O)</f>
        <v>0</v>
      </c>
      <c r="C46" s="54">
        <f t="shared" ca="1" si="9"/>
        <v>0</v>
      </c>
      <c r="E46" t="s">
        <v>205</v>
      </c>
      <c r="F46" s="100">
        <f ca="1">SUMIF(tables_541100!I:I,input_541100!E46,tables_541100!P:P)</f>
        <v>0.18003064904458208</v>
      </c>
    </row>
    <row r="47" spans="1:7" x14ac:dyDescent="0.15">
      <c r="A47" s="39" t="s">
        <v>59</v>
      </c>
      <c r="B47">
        <f ca="1">SUM(B40:B46)</f>
        <v>2836140.00024</v>
      </c>
      <c r="C47" s="55">
        <f ca="1">SUM(C40:C46)</f>
        <v>1</v>
      </c>
      <c r="E47" t="s">
        <v>206</v>
      </c>
      <c r="F47" s="100">
        <f ca="1">SUMIF(tables_541100!I:I,input_541100!E47,tables_541100!P:P)</f>
        <v>0.50621935096849113</v>
      </c>
    </row>
    <row r="48" spans="1:7" x14ac:dyDescent="0.15">
      <c r="E48" t="s">
        <v>207</v>
      </c>
      <c r="F48" s="100">
        <f ca="1">SUMIF(tables_541100!I:I,input_541100!E48,tables_541100!P:P)</f>
        <v>6.562499999726551E-2</v>
      </c>
    </row>
    <row r="49" spans="5:6" x14ac:dyDescent="0.15">
      <c r="E49" t="s">
        <v>250</v>
      </c>
      <c r="F49" s="100">
        <f ca="1">SUMIF(tables_541100!I:I,input_541100!E49,tables_541100!P:P)</f>
        <v>9.3749999996093712E-3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8"/>
  <sheetViews>
    <sheetView showGridLines="0" zoomScale="75" zoomScaleNormal="75" zoomScalePageLayoutView="75" workbookViewId="0">
      <pane ySplit="1" topLeftCell="A332" activePane="bottomLeft" state="frozen"/>
      <selection activeCell="D34" sqref="D34"/>
      <selection pane="bottomLeft" activeCell="A354" sqref="A35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input_541100!A$2</f>
        <v>541100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IFERROR(VLOOKUP(B2,input_541100!L:R,7,FALSE),VLOOKUP(tables_541100!C2,input_541100!A:H,8,FALSE))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input_541100!A$2</f>
        <v>541100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IFERROR(VLOOKUP(B3,input_541100!L:R,7,FALSE),VLOOKUP(tables_541100!C3,input_541100!A:H,8,FALSE))</f>
        <v>64233</v>
      </c>
      <c r="P3" s="46">
        <f t="shared" ca="1" si="1"/>
        <v>1.1151562499535346E-2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input_541100!A$2</f>
        <v>541100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IFERROR(VLOOKUP(B4,input_541100!L:R,7,FALSE),VLOOKUP(tables_541100!C4,input_541100!A:H,8,FALSE))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input_541100!A$2</f>
        <v>541100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IFERROR(VLOOKUP(B5,input_541100!L:R,7,FALSE),VLOOKUP(tables_541100!C5,input_541100!A:H,8,FALSE))</f>
        <v>64233</v>
      </c>
      <c r="P5" s="46">
        <f t="shared" ca="1" si="1"/>
        <v>1.1151562499535346E-2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input_541100!A$2</f>
        <v>541100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IFERROR(VLOOKUP(B6,input_541100!L:R,7,FALSE),VLOOKUP(tables_541100!C6,input_541100!A:H,8,FALSE))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input_541100!A$2</f>
        <v>541100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IFERROR(VLOOKUP(B7,input_541100!L:R,7,FALSE),VLOOKUP(tables_541100!C7,input_541100!A:H,8,FALSE))</f>
        <v>64233</v>
      </c>
      <c r="P7" s="46">
        <f t="shared" ca="1" si="1"/>
        <v>1.1151562499535346E-2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input_541100!A$2</f>
        <v>541100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IFERROR(VLOOKUP(B8,input_541100!L:R,7,FALSE),VLOOKUP(tables_541100!C8,input_541100!A:H,8,FALSE))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input_541100!A$2</f>
        <v>541100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IFERROR(VLOOKUP(B9,input_541100!L:R,7,FALSE),VLOOKUP(tables_541100!C9,input_541100!A:H,8,FALSE))</f>
        <v>64233</v>
      </c>
      <c r="P9" s="46">
        <f t="shared" ca="1" si="1"/>
        <v>1.1151562499535346E-2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input_541100!A$2</f>
        <v>541100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IFERROR(VLOOKUP(B10,input_541100!L:R,7,FALSE),VLOOKUP(tables_541100!C10,input_541100!A:H,8,FALSE))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input_541100!A$2</f>
        <v>541100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IFERROR(VLOOKUP(B11,input_541100!L:R,7,FALSE),VLOOKUP(tables_541100!C11,input_541100!A:H,8,FALSE))</f>
        <v>64233</v>
      </c>
      <c r="P11" s="46">
        <f t="shared" ca="1" si="1"/>
        <v>1.1151562499535346E-2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input_541100!A$2</f>
        <v>541100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IFERROR(VLOOKUP(B12,input_541100!L:R,7,FALSE),VLOOKUP(tables_541100!C12,input_541100!A:H,8,FALSE))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input_541100!A$2</f>
        <v>541100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IFERROR(VLOOKUP(B13,input_541100!L:R,7,FALSE),VLOOKUP(tables_541100!C13,input_541100!A:H,8,FALSE))</f>
        <v>64233</v>
      </c>
      <c r="P13" s="46">
        <f t="shared" ca="1" si="1"/>
        <v>1.1151562499535346E-2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input_541100!A$2</f>
        <v>541100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IFERROR(VLOOKUP(B14,input_541100!L:R,7,FALSE),VLOOKUP(tables_541100!C14,input_541100!A:H,8,FALSE))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input_541100!A$2</f>
        <v>541100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IFERROR(VLOOKUP(B15,input_541100!L:R,7,FALSE),VLOOKUP(tables_541100!C15,input_541100!A:H,8,FALSE))</f>
        <v>64233</v>
      </c>
      <c r="P15" s="46">
        <f t="shared" ca="1" si="1"/>
        <v>1.1151562499535346E-2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input_541100!A$2</f>
        <v>541100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IFERROR(VLOOKUP(B16,input_541100!L:R,7,FALSE),VLOOKUP(tables_541100!C16,input_541100!A:H,8,FALSE))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input_541100!A$2</f>
        <v>541100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IFERROR(VLOOKUP(B17,input_541100!L:R,7,FALSE),VLOOKUP(tables_541100!C17,input_541100!A:H,8,FALSE))</f>
        <v>64233</v>
      </c>
      <c r="P17" s="46">
        <f t="shared" ca="1" si="1"/>
        <v>1.1151562499535346E-2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input_541100!A$2</f>
        <v>541100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IFERROR(VLOOKUP(B18,input_541100!L:R,7,FALSE),VLOOKUP(tables_541100!C18,input_541100!A:H,8,FALSE))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input_541100!A$2</f>
        <v>541100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IFERROR(VLOOKUP(B19,input_541100!L:R,7,FALSE),VLOOKUP(tables_541100!C19,input_541100!A:H,8,FALSE))</f>
        <v>64233</v>
      </c>
      <c r="P19" s="46">
        <f t="shared" ca="1" si="1"/>
        <v>1.1151562499535346E-2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input_541100!A$2</f>
        <v>541100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IFERROR(VLOOKUP(B20,input_541100!L:R,7,FALSE),VLOOKUP(tables_541100!C20,input_541100!A:H,8,FALSE))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input_541100!A$2</f>
        <v>541100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IFERROR(VLOOKUP(B21,input_541100!L:R,7,FALSE),VLOOKUP(tables_541100!C21,input_541100!A:H,8,FALSE))</f>
        <v>64233</v>
      </c>
      <c r="P21" s="46">
        <f t="shared" ca="1" si="1"/>
        <v>1.1151562499535346E-2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input_541100!A$2</f>
        <v>541100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IFERROR(VLOOKUP(B22,input_541100!L:R,7,FALSE),VLOOKUP(tables_541100!C22,input_541100!A:H,8,FALSE))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input_541100!A$2</f>
        <v>541100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IFERROR(VLOOKUP(B23,input_541100!L:R,7,FALSE),VLOOKUP(tables_541100!C23,input_541100!A:H,8,FALSE))</f>
        <v>64233</v>
      </c>
      <c r="P23" s="46">
        <f t="shared" ca="1" si="1"/>
        <v>1.1151562499535346E-2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input_541100!A$2</f>
        <v>541100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IFERROR(VLOOKUP(B24,input_541100!L:R,7,FALSE),VLOOKUP(tables_541100!C24,input_541100!A:H,8,FALSE))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input_541100!A$2</f>
        <v>541100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IFERROR(VLOOKUP(B25,input_541100!L:R,7,FALSE),VLOOKUP(tables_541100!C25,input_541100!A:H,8,FALSE))</f>
        <v>64233</v>
      </c>
      <c r="P25" s="46">
        <f t="shared" ca="1" si="1"/>
        <v>1.1151562499535346E-2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input_541100!A$2</f>
        <v>541100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IFERROR(VLOOKUP(B26,input_541100!L:R,7,FALSE),VLOOKUP(tables_541100!C26,input_541100!A:H,8,FALSE))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input_541100!A$2</f>
        <v>541100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IFERROR(VLOOKUP(B27,input_541100!L:R,7,FALSE),VLOOKUP(tables_541100!C27,input_541100!A:H,8,FALSE))</f>
        <v>64233</v>
      </c>
      <c r="P27" s="46">
        <f t="shared" ca="1" si="1"/>
        <v>1.1151562499535346E-2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input_541100!A$2</f>
        <v>541100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IFERROR(VLOOKUP(B28,input_541100!L:R,7,FALSE),VLOOKUP(tables_541100!C28,input_541100!A:H,8,FALSE))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input_541100!A$2</f>
        <v>541100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IFERROR(VLOOKUP(B29,input_541100!L:R,7,FALSE),VLOOKUP(tables_541100!C29,input_541100!A:H,8,FALSE))</f>
        <v>64233</v>
      </c>
      <c r="P29" s="46">
        <f t="shared" ca="1" si="1"/>
        <v>1.1151562499535346E-2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input_541100!A$2</f>
        <v>541100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IFERROR(VLOOKUP(B30,input_541100!L:R,7,FALSE),VLOOKUP(tables_541100!C30,input_541100!A:H,8,FALSE))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input_541100!A$2</f>
        <v>541100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IFERROR(VLOOKUP(B31,input_541100!L:R,7,FALSE),VLOOKUP(tables_541100!C31,input_541100!A:H,8,FALSE))</f>
        <v>64233</v>
      </c>
      <c r="P31" s="46">
        <f t="shared" ca="1" si="1"/>
        <v>1.1151562499535346E-2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input_541100!A$2</f>
        <v>541100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IFERROR(VLOOKUP(B32,input_541100!L:R,7,FALSE),VLOOKUP(tables_541100!C32,input_541100!A:H,8,FALSE))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input_541100!A$2</f>
        <v>541100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IFERROR(VLOOKUP(B33,input_541100!L:R,7,FALSE),VLOOKUP(tables_541100!C33,input_541100!A:H,8,FALSE))</f>
        <v>64233</v>
      </c>
      <c r="P33" s="46">
        <f t="shared" ca="1" si="1"/>
        <v>1.1151562499535346E-2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input_541100!A$2</f>
        <v>541100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IFERROR(VLOOKUP(B34,input_541100!L:R,7,FALSE),VLOOKUP(tables_541100!C34,input_541100!A:H,8,FALSE))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input_541100!A$2</f>
        <v>541100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IFERROR(VLOOKUP(B35,input_541100!L:R,7,FALSE),VLOOKUP(tables_541100!C35,input_541100!A:H,8,FALSE))</f>
        <v>64233</v>
      </c>
      <c r="P35" s="46">
        <f t="shared" ca="1" si="1"/>
        <v>1.1151562499535346E-2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input_541100!A$2</f>
        <v>541100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IFERROR(VLOOKUP(B36,input_541100!L:R,7,FALSE),VLOOKUP(tables_541100!C36,input_541100!A:H,8,FALSE))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input_541100!A$2</f>
        <v>541100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IFERROR(VLOOKUP(B37,input_541100!L:R,7,FALSE),VLOOKUP(tables_541100!C37,input_541100!A:H,8,FALSE))</f>
        <v>64233</v>
      </c>
      <c r="P37" s="46">
        <f t="shared" ca="1" si="1"/>
        <v>1.1151562499535346E-2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input_541100!A$2</f>
        <v>541100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IFERROR(VLOOKUP(B38,input_541100!L:R,7,FALSE),VLOOKUP(tables_541100!C38,input_541100!A:H,8,FALSE))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input_541100!A$2</f>
        <v>541100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IFERROR(VLOOKUP(B39,input_541100!L:R,7,FALSE),VLOOKUP(tables_541100!C39,input_541100!A:H,8,FALSE))</f>
        <v>64233</v>
      </c>
      <c r="P39" s="46">
        <f t="shared" ca="1" si="1"/>
        <v>1.1151562499535346E-2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input_541100!A$2</f>
        <v>541100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IFERROR(VLOOKUP(B40,input_541100!L:R,7,FALSE),VLOOKUP(tables_541100!C40,input_541100!A:H,8,FALSE))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input_541100!A$2</f>
        <v>541100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IFERROR(VLOOKUP(B41,input_541100!L:R,7,FALSE),VLOOKUP(tables_541100!C41,input_541100!A:H,8,FALSE))</f>
        <v>64233</v>
      </c>
      <c r="P41" s="46">
        <f t="shared" ca="1" si="1"/>
        <v>1.1151562499535346E-2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input_541100!A$2</f>
        <v>541100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IFERROR(VLOOKUP(B42,input_541100!L:R,7,FALSE),VLOOKUP(tables_541100!C42,input_541100!A:H,8,FALSE))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input_541100!A$2</f>
        <v>541100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IFERROR(VLOOKUP(B43,input_541100!L:R,7,FALSE),VLOOKUP(tables_541100!C43,input_541100!A:H,8,FALSE))</f>
        <v>49410</v>
      </c>
      <c r="P43" s="46">
        <f t="shared" ca="1" si="1"/>
        <v>8.5781249996425748E-3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input_541100!A$2</f>
        <v>541100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IFERROR(VLOOKUP(B44,input_541100!L:R,7,FALSE),VLOOKUP(tables_541100!C44,input_541100!A:H,8,FALSE))</f>
        <v>5490</v>
      </c>
      <c r="P44" s="46">
        <f t="shared" ca="1" si="1"/>
        <v>9.5312499996028598E-4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input_541100!A$2</f>
        <v>541100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IFERROR(VLOOKUP(B45,input_541100!L:R,7,FALSE),VLOOKUP(tables_541100!C45,input_541100!A:H,8,FALSE))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input_541100!A$2</f>
        <v>541100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IFERROR(VLOOKUP(B46,input_541100!L:R,7,FALSE),VLOOKUP(tables_541100!C46,input_541100!A:H,8,FALSE))</f>
        <v>49410</v>
      </c>
      <c r="P46" s="46">
        <f t="shared" ca="1" si="1"/>
        <v>8.5781249996425748E-3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input_541100!A$2</f>
        <v>541100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IFERROR(VLOOKUP(B47,input_541100!L:R,7,FALSE),VLOOKUP(tables_541100!C47,input_541100!A:H,8,FALSE))</f>
        <v>5490</v>
      </c>
      <c r="P47" s="46">
        <f t="shared" ca="1" si="1"/>
        <v>9.5312499996028598E-4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input_541100!A$2</f>
        <v>541100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IFERROR(VLOOKUP(B48,input_541100!L:R,7,FALSE),VLOOKUP(tables_541100!C48,input_541100!A:H,8,FALSE))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input_541100!A$2</f>
        <v>541100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IFERROR(VLOOKUP(B49,input_541100!L:R,7,FALSE),VLOOKUP(tables_541100!C49,input_541100!A:H,8,FALSE))</f>
        <v>49410</v>
      </c>
      <c r="P49" s="46">
        <f t="shared" ca="1" si="1"/>
        <v>8.5781249996425748E-3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input_541100!A$2</f>
        <v>541100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IFERROR(VLOOKUP(B50,input_541100!L:R,7,FALSE),VLOOKUP(tables_541100!C50,input_541100!A:H,8,FALSE))</f>
        <v>5490</v>
      </c>
      <c r="P50" s="46">
        <f t="shared" ca="1" si="1"/>
        <v>9.5312499996028598E-4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input_541100!A$2</f>
        <v>541100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IFERROR(VLOOKUP(B51,input_541100!L:R,7,FALSE),VLOOKUP(tables_541100!C51,input_541100!A:H,8,FALSE))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input_541100!A$2</f>
        <v>541100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IFERROR(VLOOKUP(B52,input_541100!L:R,7,FALSE),VLOOKUP(tables_541100!C52,input_541100!A:H,8,FALSE))</f>
        <v>49410</v>
      </c>
      <c r="P52" s="46">
        <f t="shared" ca="1" si="1"/>
        <v>8.5781249996425748E-3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input_541100!A$2</f>
        <v>541100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IFERROR(VLOOKUP(B53,input_541100!L:R,7,FALSE),VLOOKUP(tables_541100!C53,input_541100!A:H,8,FALSE))</f>
        <v>1900.38462</v>
      </c>
      <c r="P53" s="46">
        <f t="shared" ca="1" si="1"/>
        <v>3.2992788540291953E-4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input_541100!A$2</f>
        <v>541100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IFERROR(VLOOKUP(B54,input_541100!L:R,7,FALSE),VLOOKUP(tables_541100!C54,input_541100!A:H,8,FALSE))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input_541100!A$2</f>
        <v>541100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IFERROR(VLOOKUP(B55,input_541100!L:R,7,FALSE),VLOOKUP(tables_541100!C55,input_541100!A:H,8,FALSE))</f>
        <v>49410</v>
      </c>
      <c r="P55" s="46">
        <f t="shared" ca="1" si="1"/>
        <v>8.5781249996425748E-3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input_541100!A$2</f>
        <v>541100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IFERROR(VLOOKUP(B56,input_541100!L:R,7,FALSE),VLOOKUP(tables_541100!C56,input_541100!A:H,8,FALSE))</f>
        <v>1900.38462</v>
      </c>
      <c r="P56" s="46">
        <f t="shared" ca="1" si="1"/>
        <v>3.2992788540291953E-4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input_541100!A$2</f>
        <v>541100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IFERROR(VLOOKUP(B57,input_541100!L:R,7,FALSE),VLOOKUP(tables_541100!C57,input_541100!A:H,8,FALSE))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input_541100!A$2</f>
        <v>541100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IFERROR(VLOOKUP(B58,input_541100!L:R,7,FALSE),VLOOKUP(tables_541100!C58,input_541100!A:H,8,FALSE))</f>
        <v>49410</v>
      </c>
      <c r="P58" s="46">
        <f t="shared" ca="1" si="1"/>
        <v>8.5781249996425748E-3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input_541100!A$2</f>
        <v>541100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IFERROR(VLOOKUP(B59,input_541100!L:R,7,FALSE),VLOOKUP(tables_541100!C59,input_541100!A:H,8,FALSE))</f>
        <v>1900.38462</v>
      </c>
      <c r="P59" s="46">
        <f t="shared" ca="1" si="1"/>
        <v>3.2992788540291953E-4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input_541100!A$2</f>
        <v>541100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IFERROR(VLOOKUP(B60,input_541100!L:R,7,FALSE),VLOOKUP(tables_541100!C60,input_541100!A:H,8,FALSE))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input_541100!A$2</f>
        <v>541100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IFERROR(VLOOKUP(B61,input_541100!L:R,7,FALSE),VLOOKUP(tables_541100!C61,input_541100!A:H,8,FALSE))</f>
        <v>49410</v>
      </c>
      <c r="P61" s="46">
        <f t="shared" ca="1" si="1"/>
        <v>8.5781249996425748E-3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input_541100!A$2</f>
        <v>541100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IFERROR(VLOOKUP(B62,input_541100!L:R,7,FALSE),VLOOKUP(tables_541100!C62,input_541100!A:H,8,FALSE))</f>
        <v>1900.38462</v>
      </c>
      <c r="P62" s="46">
        <f t="shared" ca="1" si="1"/>
        <v>3.2992788540291953E-4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input_541100!A$2</f>
        <v>541100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IFERROR(VLOOKUP(B63,input_541100!L:R,7,FALSE),VLOOKUP(tables_541100!C63,input_541100!A:H,8,FALSE))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input_541100!A$2</f>
        <v>541100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IFERROR(VLOOKUP(B64,input_541100!L:R,7,FALSE),VLOOKUP(tables_541100!C64,input_541100!A:H,8,FALSE))</f>
        <v>49410</v>
      </c>
      <c r="P64" s="46">
        <f t="shared" ca="1" si="1"/>
        <v>8.5781249996425748E-3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input_541100!A$2</f>
        <v>541100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IFERROR(VLOOKUP(B65,input_541100!L:R,7,FALSE),VLOOKUP(tables_541100!C65,input_541100!A:H,8,FALSE))</f>
        <v>1900.38462</v>
      </c>
      <c r="P65" s="46">
        <f t="shared" ca="1" si="1"/>
        <v>3.2992788540291953E-4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input_541100!A$2</f>
        <v>541100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IFERROR(VLOOKUP(B66,input_541100!L:R,7,FALSE),VLOOKUP(tables_541100!C66,input_541100!A:H,8,FALSE))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input_541100!A$2</f>
        <v>541100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IFERROR(VLOOKUP(B67,input_541100!L:R,7,FALSE),VLOOKUP(tables_541100!C67,input_541100!A:H,8,FALSE))</f>
        <v>49410</v>
      </c>
      <c r="P67" s="46">
        <f t="shared" ca="1" si="4"/>
        <v>8.5781249996425748E-3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input_541100!A$2</f>
        <v>541100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IFERROR(VLOOKUP(B68,input_541100!L:R,7,FALSE),VLOOKUP(tables_541100!C68,input_541100!A:H,8,FALSE))</f>
        <v>1900.38462</v>
      </c>
      <c r="P68" s="46">
        <f t="shared" ca="1" si="4"/>
        <v>3.2992788540291953E-4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input_541100!A$2</f>
        <v>541100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IFERROR(VLOOKUP(B69,input_541100!L:R,7,FALSE),VLOOKUP(tables_541100!C69,input_541100!A:H,8,FALSE))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input_541100!A$2</f>
        <v>541100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IFERROR(VLOOKUP(B70,input_541100!L:R,7,FALSE),VLOOKUP(tables_541100!C70,input_541100!A:H,8,FALSE))</f>
        <v>49410</v>
      </c>
      <c r="P70" s="46">
        <f t="shared" ca="1" si="4"/>
        <v>8.5781249996425748E-3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input_541100!A$2</f>
        <v>541100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IFERROR(VLOOKUP(B71,input_541100!L:R,7,FALSE),VLOOKUP(tables_541100!C71,input_541100!A:H,8,FALSE))</f>
        <v>1900.38462</v>
      </c>
      <c r="P71" s="46">
        <f t="shared" ca="1" si="4"/>
        <v>3.2992788540291953E-4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input_541100!A$2</f>
        <v>541100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IFERROR(VLOOKUP(B72,input_541100!L:R,7,FALSE),VLOOKUP(tables_541100!C72,input_541100!A:H,8,FALSE))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input_541100!A$2</f>
        <v>541100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IFERROR(VLOOKUP(B73,input_541100!L:R,7,FALSE),VLOOKUP(tables_541100!C73,input_541100!A:H,8,FALSE))</f>
        <v>49410</v>
      </c>
      <c r="P73" s="46">
        <f t="shared" ca="1" si="4"/>
        <v>8.5781249996425748E-3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input_541100!A$2</f>
        <v>541100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IFERROR(VLOOKUP(B74,input_541100!L:R,7,FALSE),VLOOKUP(tables_541100!C74,input_541100!A:H,8,FALSE))</f>
        <v>1900.38462</v>
      </c>
      <c r="P74" s="46">
        <f t="shared" ca="1" si="4"/>
        <v>3.2992788540291953E-4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input_541100!A$2</f>
        <v>541100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IFERROR(VLOOKUP(B75,input_541100!L:R,7,FALSE),VLOOKUP(tables_541100!C75,input_541100!A:H,8,FALSE))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input_541100!A$2</f>
        <v>541100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IFERROR(VLOOKUP(B76,input_541100!L:R,7,FALSE),VLOOKUP(tables_541100!C76,input_541100!A:H,8,FALSE))</f>
        <v>49410</v>
      </c>
      <c r="P76" s="46">
        <f t="shared" ca="1" si="4"/>
        <v>8.5781249996425748E-3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input_541100!A$2</f>
        <v>541100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IFERROR(VLOOKUP(B77,input_541100!L:R,7,FALSE),VLOOKUP(tables_541100!C77,input_541100!A:H,8,FALSE))</f>
        <v>1900.38462</v>
      </c>
      <c r="P77" s="46">
        <f t="shared" ca="1" si="4"/>
        <v>3.2992788540291953E-4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input_541100!A$2</f>
        <v>541100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IFERROR(VLOOKUP(B78,input_541100!L:R,7,FALSE),VLOOKUP(tables_541100!C78,input_541100!A:H,8,FALSE))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input_541100!A$2</f>
        <v>541100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IFERROR(VLOOKUP(B79,input_541100!L:R,7,FALSE),VLOOKUP(tables_541100!C79,input_541100!A:H,8,FALSE))</f>
        <v>49410</v>
      </c>
      <c r="P79" s="46">
        <f t="shared" ca="1" si="4"/>
        <v>8.5781249996425748E-3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input_541100!A$2</f>
        <v>541100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IFERROR(VLOOKUP(B80,input_541100!L:R,7,FALSE),VLOOKUP(tables_541100!C80,input_541100!A:H,8,FALSE))</f>
        <v>1900.38462</v>
      </c>
      <c r="P80" s="46">
        <f t="shared" ca="1" si="4"/>
        <v>3.2992788540291953E-4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input_541100!A$2</f>
        <v>541100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IFERROR(VLOOKUP(B81,input_541100!L:R,7,FALSE),VLOOKUP(tables_541100!C81,input_541100!A:H,8,FALSE))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input_541100!A$2</f>
        <v>541100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IFERROR(VLOOKUP(B82,input_541100!L:R,7,FALSE),VLOOKUP(tables_541100!C82,input_541100!A:H,8,FALSE))</f>
        <v>49410</v>
      </c>
      <c r="P82" s="46">
        <f t="shared" ca="1" si="4"/>
        <v>8.5781249996425748E-3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input_541100!A$2</f>
        <v>541100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IFERROR(VLOOKUP(B83,input_541100!L:R,7,FALSE),VLOOKUP(tables_541100!C83,input_541100!A:H,8,FALSE))</f>
        <v>1900.38462</v>
      </c>
      <c r="P83" s="46">
        <f t="shared" ca="1" si="4"/>
        <v>3.2992788540291953E-4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input_541100!A$2</f>
        <v>541100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IFERROR(VLOOKUP(B84,input_541100!L:R,7,FALSE),VLOOKUP(tables_541100!C84,input_541100!A:H,8,FALSE))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input_541100!A$2</f>
        <v>541100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IFERROR(VLOOKUP(B85,input_541100!L:R,7,FALSE),VLOOKUP(tables_541100!C85,input_541100!A:H,8,FALSE))</f>
        <v>49410</v>
      </c>
      <c r="P85" s="46">
        <f t="shared" ca="1" si="4"/>
        <v>8.5781249996425748E-3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input_541100!A$2</f>
        <v>541100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IFERROR(VLOOKUP(B86,input_541100!L:R,7,FALSE),VLOOKUP(tables_541100!C86,input_541100!A:H,8,FALSE))</f>
        <v>1900.38462</v>
      </c>
      <c r="P86" s="46">
        <f t="shared" ca="1" si="4"/>
        <v>3.2992788540291953E-4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input_541100!A$2</f>
        <v>541100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IFERROR(VLOOKUP(B87,input_541100!L:R,7,FALSE),VLOOKUP(tables_541100!C87,input_541100!A:H,8,FALSE))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input_541100!A$2</f>
        <v>541100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IFERROR(VLOOKUP(B88,input_541100!L:R,7,FALSE),VLOOKUP(tables_541100!C88,input_541100!A:H,8,FALSE))</f>
        <v>49410</v>
      </c>
      <c r="P88" s="46">
        <f t="shared" ca="1" si="4"/>
        <v>8.5781249996425748E-3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input_541100!A$2</f>
        <v>541100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IFERROR(VLOOKUP(B89,input_541100!L:R,7,FALSE),VLOOKUP(tables_541100!C89,input_541100!A:H,8,FALSE))</f>
        <v>1900.38462</v>
      </c>
      <c r="P89" s="46">
        <f t="shared" ca="1" si="4"/>
        <v>3.2992788540291953E-4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input_541100!A$2</f>
        <v>541100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IFERROR(VLOOKUP(B90,input_541100!L:R,7,FALSE),VLOOKUP(tables_541100!C90,input_541100!A:H,8,FALSE))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input_541100!A$2</f>
        <v>541100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IFERROR(VLOOKUP(B91,input_541100!L:R,7,FALSE),VLOOKUP(tables_541100!C91,input_541100!A:H,8,FALSE))</f>
        <v>49410</v>
      </c>
      <c r="P91" s="46">
        <f t="shared" ca="1" si="4"/>
        <v>8.5781249996425748E-3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input_541100!A$2</f>
        <v>541100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IFERROR(VLOOKUP(B92,input_541100!L:R,7,FALSE),VLOOKUP(tables_541100!C92,input_541100!A:H,8,FALSE))</f>
        <v>1900.38462</v>
      </c>
      <c r="P92" s="46">
        <f t="shared" ca="1" si="4"/>
        <v>3.2992788540291953E-4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input_541100!A$2</f>
        <v>541100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IFERROR(VLOOKUP(B93,input_541100!L:R,7,FALSE),VLOOKUP(tables_541100!C93,input_541100!A:H,8,FALSE))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input_541100!A$2</f>
        <v>541100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IFERROR(VLOOKUP(B94,input_541100!L:R,7,FALSE),VLOOKUP(tables_541100!C94,input_541100!A:H,8,FALSE))</f>
        <v>49410</v>
      </c>
      <c r="P94" s="46">
        <f t="shared" ca="1" si="4"/>
        <v>8.5781249996425748E-3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input_541100!A$2</f>
        <v>541100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IFERROR(VLOOKUP(B95,input_541100!L:R,7,FALSE),VLOOKUP(tables_541100!C95,input_541100!A:H,8,FALSE))</f>
        <v>1900.38462</v>
      </c>
      <c r="P95" s="46">
        <f t="shared" ca="1" si="4"/>
        <v>3.2992788540291953E-4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input_541100!A$2</f>
        <v>541100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IFERROR(VLOOKUP(B96,input_541100!L:R,7,FALSE),VLOOKUP(tables_541100!C96,input_541100!A:H,8,FALSE))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input_541100!A$2</f>
        <v>541100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IFERROR(VLOOKUP(B97,input_541100!L:R,7,FALSE),VLOOKUP(tables_541100!C97,input_541100!A:H,8,FALSE))</f>
        <v>49410</v>
      </c>
      <c r="P97" s="46">
        <f t="shared" ca="1" si="4"/>
        <v>8.5781249996425748E-3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input_541100!A$2</f>
        <v>541100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IFERROR(VLOOKUP(B98,input_541100!L:R,7,FALSE),VLOOKUP(tables_541100!C98,input_541100!A:H,8,FALSE))</f>
        <v>1900.38462</v>
      </c>
      <c r="P98" s="46">
        <f t="shared" ca="1" si="4"/>
        <v>3.2992788540291953E-4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input_541100!A$2</f>
        <v>541100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IFERROR(VLOOKUP(B99,input_541100!L:R,7,FALSE),VLOOKUP(tables_541100!C99,input_541100!A:H,8,FALSE))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input_541100!A$2</f>
        <v>541100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IFERROR(VLOOKUP(B100,input_541100!L:R,7,FALSE),VLOOKUP(tables_541100!C100,input_541100!A:H,8,FALSE))</f>
        <v>49410</v>
      </c>
      <c r="P100" s="46">
        <f t="shared" ca="1" si="4"/>
        <v>8.5781249996425748E-3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input_541100!A$2</f>
        <v>541100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IFERROR(VLOOKUP(B101,input_541100!L:R,7,FALSE),VLOOKUP(tables_541100!C101,input_541100!A:H,8,FALSE))</f>
        <v>1900.38462</v>
      </c>
      <c r="P101" s="46">
        <f t="shared" ca="1" si="4"/>
        <v>3.2992788540291953E-4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input_541100!A$2</f>
        <v>541100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IFERROR(VLOOKUP(B102,input_541100!L:R,7,FALSE),VLOOKUP(tables_541100!C102,input_541100!A:H,8,FALSE))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input_541100!A$2</f>
        <v>541100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IFERROR(VLOOKUP(B103,input_541100!L:R,7,FALSE),VLOOKUP(tables_541100!C103,input_541100!A:H,8,FALSE))</f>
        <v>49410</v>
      </c>
      <c r="P103" s="46">
        <f t="shared" ca="1" si="4"/>
        <v>8.5781249996425748E-3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input_541100!A$2</f>
        <v>541100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IFERROR(VLOOKUP(B104,input_541100!L:R,7,FALSE),VLOOKUP(tables_541100!C104,input_541100!A:H,8,FALSE))</f>
        <v>1900.38462</v>
      </c>
      <c r="P104" s="46">
        <f t="shared" ca="1" si="4"/>
        <v>3.2992788540291953E-4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input_541100!A$2</f>
        <v>541100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IFERROR(VLOOKUP(B105,input_541100!L:R,7,FALSE),VLOOKUP(tables_541100!C105,input_541100!A:H,8,FALSE))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input_541100!A$2</f>
        <v>541100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IFERROR(VLOOKUP(B106,input_541100!L:R,7,FALSE),VLOOKUP(tables_541100!C106,input_541100!A:H,8,FALSE))</f>
        <v>49410</v>
      </c>
      <c r="P106" s="46">
        <f t="shared" ca="1" si="4"/>
        <v>8.5781249996425748E-3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input_541100!A$2</f>
        <v>541100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IFERROR(VLOOKUP(B107,input_541100!L:R,7,FALSE),VLOOKUP(tables_541100!C107,input_541100!A:H,8,FALSE))</f>
        <v>1900.38462</v>
      </c>
      <c r="P107" s="46">
        <f t="shared" ca="1" si="4"/>
        <v>3.2992788540291953E-4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input_541100!A$2</f>
        <v>541100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IFERROR(VLOOKUP(B108,input_541100!L:R,7,FALSE),VLOOKUP(tables_541100!C108,input_541100!A:H,8,FALSE))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input_541100!A$2</f>
        <v>541100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IFERROR(VLOOKUP(B109,input_541100!L:R,7,FALSE),VLOOKUP(tables_541100!C109,input_541100!A:H,8,FALSE))</f>
        <v>49410</v>
      </c>
      <c r="P109" s="46">
        <f t="shared" ca="1" si="4"/>
        <v>8.5781249996425748E-3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input_541100!A$2</f>
        <v>541100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IFERROR(VLOOKUP(B110,input_541100!L:R,7,FALSE),VLOOKUP(tables_541100!C110,input_541100!A:H,8,FALSE))</f>
        <v>1900.38462</v>
      </c>
      <c r="P110" s="46">
        <f t="shared" ca="1" si="4"/>
        <v>3.2992788540291953E-4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input_541100!A$2</f>
        <v>541100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IFERROR(VLOOKUP(B111,input_541100!L:R,7,FALSE),VLOOKUP(tables_541100!C111,input_541100!A:H,8,FALSE))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input_541100!A$2</f>
        <v>541100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IFERROR(VLOOKUP(B112,input_541100!L:R,7,FALSE),VLOOKUP(tables_541100!C112,input_541100!A:H,8,FALSE))</f>
        <v>49410</v>
      </c>
      <c r="P112" s="46">
        <f t="shared" ca="1" si="4"/>
        <v>8.5781249996425748E-3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input_541100!A$2</f>
        <v>541100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IFERROR(VLOOKUP(B113,input_541100!L:R,7,FALSE),VLOOKUP(tables_541100!C113,input_541100!A:H,8,FALSE))</f>
        <v>5490</v>
      </c>
      <c r="P113" s="46">
        <f t="shared" ca="1" si="4"/>
        <v>9.5312499996028598E-4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input_541100!A$2</f>
        <v>541100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IFERROR(VLOOKUP(B114,input_541100!L:R,7,FALSE),VLOOKUP(tables_541100!C114,input_541100!A:H,8,FALSE))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input_541100!A$2</f>
        <v>541100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IFERROR(VLOOKUP(B115,input_541100!L:R,7,FALSE),VLOOKUP(tables_541100!C115,input_541100!A:H,8,FALSE))</f>
        <v>49410</v>
      </c>
      <c r="P115" s="46">
        <f t="shared" ca="1" si="4"/>
        <v>8.5781249996425748E-3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input_541100!A$2</f>
        <v>541100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IFERROR(VLOOKUP(B116,input_541100!L:R,7,FALSE),VLOOKUP(tables_541100!C116,input_541100!A:H,8,FALSE))</f>
        <v>1900.38462</v>
      </c>
      <c r="P116" s="46">
        <f t="shared" ca="1" si="4"/>
        <v>3.2992788540291953E-4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input_541100!A$2</f>
        <v>541100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IFERROR(VLOOKUP(B117,input_541100!L:R,7,FALSE),VLOOKUP(tables_541100!C117,input_541100!A:H,8,FALSE))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input_541100!A$2</f>
        <v>541100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IFERROR(VLOOKUP(B118,input_541100!L:R,7,FALSE),VLOOKUP(tables_541100!C118,input_541100!A:H,8,FALSE))</f>
        <v>49410</v>
      </c>
      <c r="P118" s="46">
        <f t="shared" ca="1" si="4"/>
        <v>8.5781249996425748E-3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input_541100!A$2</f>
        <v>541100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IFERROR(VLOOKUP(B119,input_541100!L:R,7,FALSE),VLOOKUP(tables_541100!C119,input_541100!A:H,8,FALSE))</f>
        <v>1900.38462</v>
      </c>
      <c r="P119" s="46">
        <f t="shared" ca="1" si="4"/>
        <v>3.2992788540291953E-4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input_541100!A$2</f>
        <v>541100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IFERROR(VLOOKUP(B120,input_541100!L:R,7,FALSE),VLOOKUP(tables_541100!C120,input_541100!A:H,8,FALSE))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input_541100!A$2</f>
        <v>541100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IFERROR(VLOOKUP(B121,input_541100!L:R,7,FALSE),VLOOKUP(tables_541100!C121,input_541100!A:H,8,FALSE))</f>
        <v>49410</v>
      </c>
      <c r="P121" s="46">
        <f t="shared" ca="1" si="4"/>
        <v>8.5781249996425748E-3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input_541100!A$2</f>
        <v>541100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IFERROR(VLOOKUP(B122,input_541100!L:R,7,FALSE),VLOOKUP(tables_541100!C122,input_541100!A:H,8,FALSE))</f>
        <v>1900.38462</v>
      </c>
      <c r="P122" s="46">
        <f t="shared" ca="1" si="4"/>
        <v>3.2992788540291953E-4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input_541100!A$2</f>
        <v>541100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IFERROR(VLOOKUP(B123,input_541100!L:R,7,FALSE),VLOOKUP(tables_541100!C123,input_541100!A:H,8,FALSE))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input_541100!A$2</f>
        <v>541100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IFERROR(VLOOKUP(B124,input_541100!L:R,7,FALSE),VLOOKUP(tables_541100!C124,input_541100!A:H,8,FALSE))</f>
        <v>49410</v>
      </c>
      <c r="P124" s="46">
        <f t="shared" ca="1" si="4"/>
        <v>8.5781249996425748E-3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input_541100!A$2</f>
        <v>541100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IFERROR(VLOOKUP(B125,input_541100!L:R,7,FALSE),VLOOKUP(tables_541100!C125,input_541100!A:H,8,FALSE))</f>
        <v>1900.38462</v>
      </c>
      <c r="P125" s="46">
        <f t="shared" ca="1" si="4"/>
        <v>3.2992788540291953E-4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input_541100!A$2</f>
        <v>541100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IFERROR(VLOOKUP(B126,input_541100!L:R,7,FALSE),VLOOKUP(tables_541100!C126,input_541100!A:H,8,FALSE))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input_541100!A$2</f>
        <v>541100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IFERROR(VLOOKUP(B127,input_541100!L:R,7,FALSE),VLOOKUP(tables_541100!C127,input_541100!A:H,8,FALSE))</f>
        <v>49410</v>
      </c>
      <c r="P127" s="46">
        <f t="shared" ca="1" si="4"/>
        <v>8.5781249996425748E-3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input_541100!A$2</f>
        <v>541100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IFERROR(VLOOKUP(B128,input_541100!L:R,7,FALSE),VLOOKUP(tables_541100!C128,input_541100!A:H,8,FALSE))</f>
        <v>1900.38462</v>
      </c>
      <c r="P128" s="46">
        <f t="shared" ca="1" si="4"/>
        <v>3.2992788540291953E-4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input_541100!A$2</f>
        <v>541100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IFERROR(VLOOKUP(B129,input_541100!L:R,7,FALSE),VLOOKUP(tables_541100!C129,input_541100!A:H,8,FALSE))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input_541100!A$2</f>
        <v>541100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IFERROR(VLOOKUP(B130,input_541100!L:R,7,FALSE),VLOOKUP(tables_541100!C130,input_541100!A:H,8,FALSE))</f>
        <v>49410</v>
      </c>
      <c r="P130" s="46">
        <f t="shared" ref="P130:P193" ca="1" si="7">O130/SUM(O:O)</f>
        <v>8.5781249996425748E-3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input_541100!A$2</f>
        <v>541100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IFERROR(VLOOKUP(B131,input_541100!L:R,7,FALSE),VLOOKUP(tables_541100!C131,input_541100!A:H,8,FALSE))</f>
        <v>1900.38462</v>
      </c>
      <c r="P131" s="46">
        <f t="shared" ca="1" si="7"/>
        <v>3.2992788540291953E-4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input_541100!A$2</f>
        <v>541100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IFERROR(VLOOKUP(B132,input_541100!L:R,7,FALSE),VLOOKUP(tables_541100!C132,input_541100!A:H,8,FALSE))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input_541100!A$2</f>
        <v>541100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IFERROR(VLOOKUP(B133,input_541100!L:R,7,FALSE),VLOOKUP(tables_541100!C133,input_541100!A:H,8,FALSE))</f>
        <v>49410</v>
      </c>
      <c r="P133" s="46">
        <f t="shared" ca="1" si="7"/>
        <v>8.5781249996425748E-3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input_541100!A$2</f>
        <v>541100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IFERROR(VLOOKUP(B134,input_541100!L:R,7,FALSE),VLOOKUP(tables_541100!C134,input_541100!A:H,8,FALSE))</f>
        <v>1900.38462</v>
      </c>
      <c r="P134" s="46">
        <f t="shared" ca="1" si="7"/>
        <v>3.2992788540291953E-4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input_541100!A$2</f>
        <v>541100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IFERROR(VLOOKUP(B135,input_541100!L:R,7,FALSE),VLOOKUP(tables_541100!C135,input_541100!A:H,8,FALSE))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input_541100!A$2</f>
        <v>541100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IFERROR(VLOOKUP(B136,input_541100!L:R,7,FALSE),VLOOKUP(tables_541100!C136,input_541100!A:H,8,FALSE))</f>
        <v>49410</v>
      </c>
      <c r="P136" s="46">
        <f t="shared" ca="1" si="7"/>
        <v>8.5781249996425748E-3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input_541100!A$2</f>
        <v>541100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IFERROR(VLOOKUP(B137,input_541100!L:R,7,FALSE),VLOOKUP(tables_541100!C137,input_541100!A:H,8,FALSE))</f>
        <v>1900.38462</v>
      </c>
      <c r="P137" s="46">
        <f t="shared" ca="1" si="7"/>
        <v>3.2992788540291953E-4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input_541100!A$2</f>
        <v>541100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IFERROR(VLOOKUP(B138,input_541100!L:R,7,FALSE),VLOOKUP(tables_541100!C138,input_541100!A:H,8,FALSE))</f>
        <v>5400</v>
      </c>
      <c r="P138" s="46">
        <f t="shared" ca="1" si="7"/>
        <v>9.3749999996093703E-4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input_541100!A$2</f>
        <v>541100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IFERROR(VLOOKUP(B139,input_541100!L:R,7,FALSE),VLOOKUP(tables_541100!C139,input_541100!A:H,8,FALSE))</f>
        <v>600</v>
      </c>
      <c r="P139" s="46">
        <f t="shared" ca="1" si="7"/>
        <v>1.0416666666232634E-4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input_541100!A$2</f>
        <v>541100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IFERROR(VLOOKUP(B140,input_541100!L:R,7,FALSE),VLOOKUP(tables_541100!C140,input_541100!A:H,8,FALSE))</f>
        <v>5400</v>
      </c>
      <c r="P140" s="46">
        <f t="shared" ca="1" si="7"/>
        <v>9.3749999996093703E-4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input_541100!A$2</f>
        <v>541100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IFERROR(VLOOKUP(B141,input_541100!L:R,7,FALSE),VLOOKUP(tables_541100!C141,input_541100!A:H,8,FALSE))</f>
        <v>600</v>
      </c>
      <c r="P141" s="46">
        <f t="shared" ca="1" si="7"/>
        <v>1.0416666666232634E-4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input_541100!A$2</f>
        <v>541100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IFERROR(VLOOKUP(B142,input_541100!L:R,7,FALSE),VLOOKUP(tables_541100!C142,input_541100!A:H,8,FALSE))</f>
        <v>5400</v>
      </c>
      <c r="P142" s="46">
        <f t="shared" ca="1" si="7"/>
        <v>9.3749999996093703E-4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input_541100!A$2</f>
        <v>541100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IFERROR(VLOOKUP(B143,input_541100!L:R,7,FALSE),VLOOKUP(tables_541100!C143,input_541100!A:H,8,FALSE))</f>
        <v>600</v>
      </c>
      <c r="P143" s="46">
        <f t="shared" ca="1" si="7"/>
        <v>1.0416666666232634E-4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input_541100!A$2</f>
        <v>541100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IFERROR(VLOOKUP(B144,input_541100!L:R,7,FALSE),VLOOKUP(tables_541100!C144,input_541100!A:H,8,FALSE))</f>
        <v>5400</v>
      </c>
      <c r="P144" s="46">
        <f t="shared" ca="1" si="7"/>
        <v>9.3749999996093703E-4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input_541100!A$2</f>
        <v>541100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IFERROR(VLOOKUP(B145,input_541100!L:R,7,FALSE),VLOOKUP(tables_541100!C145,input_541100!A:H,8,FALSE))</f>
        <v>600</v>
      </c>
      <c r="P145" s="46">
        <f t="shared" ca="1" si="7"/>
        <v>1.0416666666232634E-4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input_541100!A$2</f>
        <v>541100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IFERROR(VLOOKUP(B146,input_541100!L:R,7,FALSE),VLOOKUP(tables_541100!C146,input_541100!A:H,8,FALSE))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input_541100!A$2</f>
        <v>541100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IFERROR(VLOOKUP(B147,input_541100!L:R,7,FALSE),VLOOKUP(tables_541100!C147,input_541100!A:H,8,FALSE))</f>
        <v>49410</v>
      </c>
      <c r="P147" s="46">
        <f t="shared" ca="1" si="7"/>
        <v>8.5781249996425748E-3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input_541100!A$2</f>
        <v>541100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IFERROR(VLOOKUP(B148,input_541100!L:R,7,FALSE),VLOOKUP(tables_541100!C148,input_541100!A:H,8,FALSE))</f>
        <v>1900.38462</v>
      </c>
      <c r="P148" s="46">
        <f t="shared" ca="1" si="7"/>
        <v>3.2992788540291953E-4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input_541100!A$2</f>
        <v>541100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IFERROR(VLOOKUP(B149,input_541100!L:R,7,FALSE),VLOOKUP(tables_541100!C149,input_541100!A:H,8,FALSE))</f>
        <v>5400</v>
      </c>
      <c r="P149" s="46">
        <f t="shared" ca="1" si="7"/>
        <v>9.3749999996093703E-4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input_541100!A$2</f>
        <v>541100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IFERROR(VLOOKUP(B150,input_541100!L:R,7,FALSE),VLOOKUP(tables_541100!C150,input_541100!A:H,8,FALSE))</f>
        <v>600</v>
      </c>
      <c r="P150" s="46">
        <f t="shared" ca="1" si="7"/>
        <v>1.0416666666232634E-4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input_541100!A$2</f>
        <v>541100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IFERROR(VLOOKUP(B151,input_541100!L:R,7,FALSE),VLOOKUP(tables_541100!C151,input_541100!A:H,8,FALSE))</f>
        <v>5400</v>
      </c>
      <c r="P151" s="46">
        <f t="shared" ca="1" si="7"/>
        <v>9.3749999996093703E-4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input_541100!A$2</f>
        <v>541100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IFERROR(VLOOKUP(B152,input_541100!L:R,7,FALSE),VLOOKUP(tables_541100!C152,input_541100!A:H,8,FALSE))</f>
        <v>600</v>
      </c>
      <c r="P152" s="46">
        <f t="shared" ca="1" si="7"/>
        <v>1.0416666666232634E-4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input_541100!A$2</f>
        <v>541100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IFERROR(VLOOKUP(B153,input_541100!L:R,7,FALSE),VLOOKUP(tables_541100!C153,input_541100!A:H,8,FALSE))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input_541100!A$2</f>
        <v>541100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IFERROR(VLOOKUP(B154,input_541100!L:R,7,FALSE),VLOOKUP(tables_541100!C154,input_541100!A:H,8,FALSE))</f>
        <v>49410</v>
      </c>
      <c r="P154" s="46">
        <f t="shared" ca="1" si="7"/>
        <v>8.5781249996425748E-3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input_541100!A$2</f>
        <v>541100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IFERROR(VLOOKUP(B155,input_541100!L:R,7,FALSE),VLOOKUP(tables_541100!C155,input_541100!A:H,8,FALSE))</f>
        <v>1900.38462</v>
      </c>
      <c r="P155" s="46">
        <f t="shared" ca="1" si="7"/>
        <v>3.2992788540291953E-4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input_541100!A$2</f>
        <v>541100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IFERROR(VLOOKUP(B156,input_541100!L:R,7,FALSE),VLOOKUP(tables_541100!C156,input_541100!A:H,8,FALSE))</f>
        <v>5400</v>
      </c>
      <c r="P156" s="46">
        <f t="shared" ca="1" si="7"/>
        <v>9.3749999996093703E-4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input_541100!A$2</f>
        <v>541100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IFERROR(VLOOKUP(B157,input_541100!L:R,7,FALSE),VLOOKUP(tables_541100!C157,input_541100!A:H,8,FALSE))</f>
        <v>600</v>
      </c>
      <c r="P157" s="46">
        <f t="shared" ca="1" si="7"/>
        <v>1.0416666666232634E-4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input_541100!A$2</f>
        <v>541100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IFERROR(VLOOKUP(B158,input_541100!L:R,7,FALSE),VLOOKUP(tables_541100!C158,input_541100!A:H,8,FALSE))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input_541100!A$2</f>
        <v>541100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IFERROR(VLOOKUP(B159,input_541100!L:R,7,FALSE),VLOOKUP(tables_541100!C159,input_541100!A:H,8,FALSE))</f>
        <v>49410</v>
      </c>
      <c r="P159" s="46">
        <f t="shared" ca="1" si="7"/>
        <v>8.5781249996425748E-3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input_541100!A$2</f>
        <v>541100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IFERROR(VLOOKUP(B160,input_541100!L:R,7,FALSE),VLOOKUP(tables_541100!C160,input_541100!A:H,8,FALSE))</f>
        <v>1900.38462</v>
      </c>
      <c r="P160" s="46">
        <f t="shared" ca="1" si="7"/>
        <v>3.2992788540291953E-4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input_541100!A$2</f>
        <v>541100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IFERROR(VLOOKUP(B161,input_541100!L:R,7,FALSE),VLOOKUP(tables_541100!C161,input_541100!A:H,8,FALSE))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input_541100!A$2</f>
        <v>541100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IFERROR(VLOOKUP(B162,input_541100!L:R,7,FALSE),VLOOKUP(tables_541100!C162,input_541100!A:H,8,FALSE))</f>
        <v>49410</v>
      </c>
      <c r="P162" s="46">
        <f t="shared" ca="1" si="7"/>
        <v>8.5781249996425748E-3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input_541100!A$2</f>
        <v>541100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IFERROR(VLOOKUP(B163,input_541100!L:R,7,FALSE),VLOOKUP(tables_541100!C163,input_541100!A:H,8,FALSE))</f>
        <v>1900.38462</v>
      </c>
      <c r="P163" s="46">
        <f t="shared" ca="1" si="7"/>
        <v>3.2992788540291953E-4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input_541100!A$2</f>
        <v>541100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IFERROR(VLOOKUP(B164,input_541100!L:R,7,FALSE),VLOOKUP(tables_541100!C164,input_541100!A:H,8,FALSE))</f>
        <v>5400</v>
      </c>
      <c r="P164" s="46">
        <f t="shared" ca="1" si="7"/>
        <v>9.3749999996093703E-4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input_541100!A$2</f>
        <v>541100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IFERROR(VLOOKUP(B165,input_541100!L:R,7,FALSE),VLOOKUP(tables_541100!C165,input_541100!A:H,8,FALSE))</f>
        <v>600</v>
      </c>
      <c r="P165" s="46">
        <f t="shared" ca="1" si="7"/>
        <v>1.0416666666232634E-4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input_541100!A$2</f>
        <v>541100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IFERROR(VLOOKUP(B166,input_541100!L:R,7,FALSE),VLOOKUP(tables_541100!C166,input_541100!A:H,8,FALSE))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input_541100!A$2</f>
        <v>541100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IFERROR(VLOOKUP(B167,input_541100!L:R,7,FALSE),VLOOKUP(tables_541100!C167,input_541100!A:H,8,FALSE))</f>
        <v>49410</v>
      </c>
      <c r="P167" s="46">
        <f t="shared" ca="1" si="7"/>
        <v>8.5781249996425748E-3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input_541100!A$2</f>
        <v>541100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IFERROR(VLOOKUP(B168,input_541100!L:R,7,FALSE),VLOOKUP(tables_541100!C168,input_541100!A:H,8,FALSE))</f>
        <v>1900.38462</v>
      </c>
      <c r="P168" s="46">
        <f t="shared" ca="1" si="7"/>
        <v>3.2992788540291953E-4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input_541100!A$2</f>
        <v>541100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IFERROR(VLOOKUP(B169,input_541100!L:R,7,FALSE),VLOOKUP(tables_541100!C169,input_541100!A:H,8,FALSE))</f>
        <v>5400</v>
      </c>
      <c r="P169" s="46">
        <f t="shared" ca="1" si="7"/>
        <v>9.3749999996093703E-4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input_541100!A$2</f>
        <v>541100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IFERROR(VLOOKUP(B170,input_541100!L:R,7,FALSE),VLOOKUP(tables_541100!C170,input_541100!A:H,8,FALSE))</f>
        <v>600</v>
      </c>
      <c r="P170" s="46">
        <f t="shared" ca="1" si="7"/>
        <v>1.0416666666232634E-4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input_541100!A$2</f>
        <v>541100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IFERROR(VLOOKUP(B171,input_541100!L:R,7,FALSE),VLOOKUP(tables_541100!C171,input_541100!A:H,8,FALSE))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input_541100!A$2</f>
        <v>541100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IFERROR(VLOOKUP(B172,input_541100!L:R,7,FALSE),VLOOKUP(tables_541100!C172,input_541100!A:H,8,FALSE))</f>
        <v>49410</v>
      </c>
      <c r="P172" s="46">
        <f t="shared" ca="1" si="7"/>
        <v>8.5781249996425748E-3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input_541100!A$2</f>
        <v>541100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IFERROR(VLOOKUP(B173,input_541100!L:R,7,FALSE),VLOOKUP(tables_541100!C173,input_541100!A:H,8,FALSE))</f>
        <v>1900.38462</v>
      </c>
      <c r="P173" s="46">
        <f t="shared" ca="1" si="7"/>
        <v>3.2992788540291953E-4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input_541100!A$2</f>
        <v>541100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IFERROR(VLOOKUP(B174,input_541100!L:R,7,FALSE),VLOOKUP(tables_541100!C174,input_541100!A:H,8,FALSE))</f>
        <v>5400</v>
      </c>
      <c r="P174" s="46">
        <f t="shared" ca="1" si="7"/>
        <v>9.3749999996093703E-4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input_541100!A$2</f>
        <v>541100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IFERROR(VLOOKUP(B175,input_541100!L:R,7,FALSE),VLOOKUP(tables_541100!C175,input_541100!A:H,8,FALSE))</f>
        <v>600</v>
      </c>
      <c r="P175" s="46">
        <f t="shared" ca="1" si="7"/>
        <v>1.0416666666232634E-4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input_541100!A$2</f>
        <v>541100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IFERROR(VLOOKUP(B176,input_541100!L:R,7,FALSE),VLOOKUP(tables_541100!C176,input_541100!A:H,8,FALSE))</f>
        <v>5400</v>
      </c>
      <c r="P176" s="46">
        <f t="shared" ca="1" si="7"/>
        <v>9.3749999996093703E-4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input_541100!A$2</f>
        <v>541100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IFERROR(VLOOKUP(B177,input_541100!L:R,7,FALSE),VLOOKUP(tables_541100!C177,input_541100!A:H,8,FALSE))</f>
        <v>600</v>
      </c>
      <c r="P177" s="46">
        <f t="shared" ca="1" si="7"/>
        <v>1.0416666666232634E-4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input_541100!A$2</f>
        <v>541100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IFERROR(VLOOKUP(B178,input_541100!L:R,7,FALSE),VLOOKUP(tables_541100!C178,input_541100!A:H,8,FALSE))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input_541100!A$2</f>
        <v>541100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IFERROR(VLOOKUP(B179,input_541100!L:R,7,FALSE),VLOOKUP(tables_541100!C179,input_541100!A:H,8,FALSE))</f>
        <v>49410</v>
      </c>
      <c r="P179" s="46">
        <f t="shared" ca="1" si="7"/>
        <v>8.5781249996425748E-3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input_541100!A$2</f>
        <v>541100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IFERROR(VLOOKUP(B180,input_541100!L:R,7,FALSE),VLOOKUP(tables_541100!C180,input_541100!A:H,8,FALSE))</f>
        <v>1900.38462</v>
      </c>
      <c r="P180" s="46">
        <f t="shared" ca="1" si="7"/>
        <v>3.2992788540291953E-4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input_541100!A$2</f>
        <v>541100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IFERROR(VLOOKUP(B181,input_541100!L:R,7,FALSE),VLOOKUP(tables_541100!C181,input_541100!A:H,8,FALSE))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input_541100!A$2</f>
        <v>541100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IFERROR(VLOOKUP(B182,input_541100!L:R,7,FALSE),VLOOKUP(tables_541100!C182,input_541100!A:H,8,FALSE))</f>
        <v>49410</v>
      </c>
      <c r="P182" s="46">
        <f t="shared" ca="1" si="7"/>
        <v>8.5781249996425748E-3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input_541100!A$2</f>
        <v>541100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IFERROR(VLOOKUP(B183,input_541100!L:R,7,FALSE),VLOOKUP(tables_541100!C183,input_541100!A:H,8,FALSE))</f>
        <v>1900.38462</v>
      </c>
      <c r="P183" s="46">
        <f t="shared" ca="1" si="7"/>
        <v>3.2992788540291953E-4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input_541100!A$2</f>
        <v>541100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IFERROR(VLOOKUP(B184,input_541100!L:R,7,FALSE),VLOOKUP(tables_541100!C184,input_541100!A:H,8,FALSE))</f>
        <v>5400</v>
      </c>
      <c r="P184" s="46">
        <f t="shared" ca="1" si="7"/>
        <v>9.3749999996093703E-4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input_541100!A$2</f>
        <v>541100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IFERROR(VLOOKUP(B185,input_541100!L:R,7,FALSE),VLOOKUP(tables_541100!C185,input_541100!A:H,8,FALSE))</f>
        <v>600</v>
      </c>
      <c r="P185" s="46">
        <f t="shared" ca="1" si="7"/>
        <v>1.0416666666232634E-4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input_541100!A$2</f>
        <v>541100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IFERROR(VLOOKUP(B186,input_541100!L:R,7,FALSE),VLOOKUP(tables_541100!C186,input_541100!A:H,8,FALSE))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input_541100!A$2</f>
        <v>541100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IFERROR(VLOOKUP(B187,input_541100!L:R,7,FALSE),VLOOKUP(tables_541100!C187,input_541100!A:H,8,FALSE))</f>
        <v>49410</v>
      </c>
      <c r="P187" s="46">
        <f t="shared" ca="1" si="7"/>
        <v>8.5781249996425748E-3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input_541100!A$2</f>
        <v>541100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IFERROR(VLOOKUP(B188,input_541100!L:R,7,FALSE),VLOOKUP(tables_541100!C188,input_541100!A:H,8,FALSE))</f>
        <v>1900.38462</v>
      </c>
      <c r="P188" s="46">
        <f t="shared" ca="1" si="7"/>
        <v>3.2992788540291953E-4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input_541100!A$2</f>
        <v>541100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IFERROR(VLOOKUP(B189,input_541100!L:R,7,FALSE),VLOOKUP(tables_541100!C189,input_541100!A:H,8,FALSE))</f>
        <v>5400</v>
      </c>
      <c r="P189" s="46">
        <f t="shared" ca="1" si="7"/>
        <v>9.3749999996093703E-4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input_541100!A$2</f>
        <v>541100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IFERROR(VLOOKUP(B190,input_541100!L:R,7,FALSE),VLOOKUP(tables_541100!C190,input_541100!A:H,8,FALSE))</f>
        <v>600</v>
      </c>
      <c r="P190" s="46">
        <f t="shared" ca="1" si="7"/>
        <v>1.0416666666232634E-4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input_541100!A$2</f>
        <v>541100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IFERROR(VLOOKUP(B191,input_541100!L:R,7,FALSE),VLOOKUP(tables_541100!C191,input_541100!A:H,8,FALSE))</f>
        <v>5400</v>
      </c>
      <c r="P191" s="46">
        <f t="shared" ca="1" si="7"/>
        <v>9.3749999996093703E-4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input_541100!A$2</f>
        <v>541100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IFERROR(VLOOKUP(B192,input_541100!L:R,7,FALSE),VLOOKUP(tables_541100!C192,input_541100!A:H,8,FALSE))</f>
        <v>600</v>
      </c>
      <c r="P192" s="46">
        <f t="shared" ca="1" si="7"/>
        <v>1.0416666666232634E-4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input_541100!A$2</f>
        <v>541100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IFERROR(VLOOKUP(B193,input_541100!L:R,7,FALSE),VLOOKUP(tables_541100!C193,input_541100!A:H,8,FALSE))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input_541100!A$2</f>
        <v>541100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IFERROR(VLOOKUP(B194,input_541100!L:R,7,FALSE),VLOOKUP(tables_541100!C194,input_541100!A:H,8,FALSE))</f>
        <v>49410</v>
      </c>
      <c r="P194" s="46">
        <f t="shared" ref="P194:P257" ca="1" si="10">O194/SUM(O:O)</f>
        <v>8.5781249996425748E-3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input_541100!A$2</f>
        <v>541100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IFERROR(VLOOKUP(B195,input_541100!L:R,7,FALSE),VLOOKUP(tables_541100!C195,input_541100!A:H,8,FALSE))</f>
        <v>1900.38462</v>
      </c>
      <c r="P195" s="46">
        <f t="shared" ca="1" si="10"/>
        <v>3.2992788540291953E-4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input_541100!A$2</f>
        <v>541100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IFERROR(VLOOKUP(B196,input_541100!L:R,7,FALSE),VLOOKUP(tables_541100!C196,input_541100!A:H,8,FALSE))</f>
        <v>5400</v>
      </c>
      <c r="P196" s="46">
        <f t="shared" ca="1" si="10"/>
        <v>9.3749999996093703E-4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input_541100!A$2</f>
        <v>541100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IFERROR(VLOOKUP(B197,input_541100!L:R,7,FALSE),VLOOKUP(tables_541100!C197,input_541100!A:H,8,FALSE))</f>
        <v>600</v>
      </c>
      <c r="P197" s="46">
        <f t="shared" ca="1" si="10"/>
        <v>1.0416666666232634E-4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input_541100!A$2</f>
        <v>541100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IFERROR(VLOOKUP(B198,input_541100!L:R,7,FALSE),VLOOKUP(tables_541100!C198,input_541100!A:H,8,FALSE))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input_541100!A$2</f>
        <v>541100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IFERROR(VLOOKUP(B199,input_541100!L:R,7,FALSE),VLOOKUP(tables_541100!C199,input_541100!A:H,8,FALSE))</f>
        <v>49410</v>
      </c>
      <c r="P199" s="46">
        <f t="shared" ca="1" si="10"/>
        <v>8.5781249996425748E-3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input_541100!A$2</f>
        <v>541100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IFERROR(VLOOKUP(B200,input_541100!L:R,7,FALSE),VLOOKUP(tables_541100!C200,input_541100!A:H,8,FALSE))</f>
        <v>1900.38462</v>
      </c>
      <c r="P200" s="46">
        <f t="shared" ca="1" si="10"/>
        <v>3.2992788540291953E-4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input_541100!A$2</f>
        <v>541100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IFERROR(VLOOKUP(B201,input_541100!L:R,7,FALSE),VLOOKUP(tables_541100!C201,input_541100!A:H,8,FALSE))</f>
        <v>5400</v>
      </c>
      <c r="P201" s="46">
        <f t="shared" ca="1" si="10"/>
        <v>9.3749999996093703E-4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input_541100!A$2</f>
        <v>541100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IFERROR(VLOOKUP(B202,input_541100!L:R,7,FALSE),VLOOKUP(tables_541100!C202,input_541100!A:H,8,FALSE))</f>
        <v>600</v>
      </c>
      <c r="P202" s="46">
        <f t="shared" ca="1" si="10"/>
        <v>1.0416666666232634E-4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input_541100!A$2</f>
        <v>541100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IFERROR(VLOOKUP(B203,input_541100!L:R,7,FALSE),VLOOKUP(tables_541100!C203,input_541100!A:H,8,FALSE))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input_541100!A$2</f>
        <v>541100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IFERROR(VLOOKUP(B204,input_541100!L:R,7,FALSE),VLOOKUP(tables_541100!C204,input_541100!A:H,8,FALSE))</f>
        <v>49410</v>
      </c>
      <c r="P204" s="46">
        <f t="shared" ca="1" si="10"/>
        <v>8.5781249996425748E-3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input_541100!A$2</f>
        <v>541100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IFERROR(VLOOKUP(B205,input_541100!L:R,7,FALSE),VLOOKUP(tables_541100!C205,input_541100!A:H,8,FALSE))</f>
        <v>1900.38462</v>
      </c>
      <c r="P205" s="46">
        <f t="shared" ca="1" si="10"/>
        <v>3.2992788540291953E-4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input_541100!A$2</f>
        <v>541100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IFERROR(VLOOKUP(B206,input_541100!L:R,7,FALSE),VLOOKUP(tables_541100!C206,input_541100!A:H,8,FALSE))</f>
        <v>5400</v>
      </c>
      <c r="P206" s="46">
        <f t="shared" ca="1" si="10"/>
        <v>9.3749999996093703E-4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input_541100!A$2</f>
        <v>541100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IFERROR(VLOOKUP(B207,input_541100!L:R,7,FALSE),VLOOKUP(tables_541100!C207,input_541100!A:H,8,FALSE))</f>
        <v>600</v>
      </c>
      <c r="P207" s="46">
        <f t="shared" ca="1" si="10"/>
        <v>1.0416666666232634E-4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input_541100!A$2</f>
        <v>541100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IFERROR(VLOOKUP(B208,input_541100!L:R,7,FALSE),VLOOKUP(tables_541100!C208,input_541100!A:H,8,FALSE))</f>
        <v>5400</v>
      </c>
      <c r="P208" s="46">
        <f t="shared" ca="1" si="10"/>
        <v>9.3749999996093703E-4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input_541100!A$2</f>
        <v>541100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IFERROR(VLOOKUP(B209,input_541100!L:R,7,FALSE),VLOOKUP(tables_541100!C209,input_541100!A:H,8,FALSE))</f>
        <v>600</v>
      </c>
      <c r="P209" s="46">
        <f t="shared" ca="1" si="10"/>
        <v>1.0416666666232634E-4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input_541100!A$2</f>
        <v>541100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IFERROR(VLOOKUP(B210,input_541100!L:R,7,FALSE),VLOOKUP(tables_541100!C210,input_541100!A:H,8,FALSE))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input_541100!A$2</f>
        <v>541100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IFERROR(VLOOKUP(B211,input_541100!L:R,7,FALSE),VLOOKUP(tables_541100!C211,input_541100!A:H,8,FALSE))</f>
        <v>49410</v>
      </c>
      <c r="P211" s="46">
        <f t="shared" ca="1" si="10"/>
        <v>8.5781249996425748E-3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input_541100!A$2</f>
        <v>541100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IFERROR(VLOOKUP(B212,input_541100!L:R,7,FALSE),VLOOKUP(tables_541100!C212,input_541100!A:H,8,FALSE))</f>
        <v>1900.38462</v>
      </c>
      <c r="P212" s="46">
        <f t="shared" ca="1" si="10"/>
        <v>3.2992788540291953E-4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input_541100!A$2</f>
        <v>541100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IFERROR(VLOOKUP(B213,input_541100!L:R,7,FALSE),VLOOKUP(tables_541100!C213,input_541100!A:H,8,FALSE))</f>
        <v>5400</v>
      </c>
      <c r="P213" s="46">
        <f t="shared" ca="1" si="10"/>
        <v>9.3749999996093703E-4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input_541100!A$2</f>
        <v>541100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IFERROR(VLOOKUP(B214,input_541100!L:R,7,FALSE),VLOOKUP(tables_541100!C214,input_541100!A:H,8,FALSE))</f>
        <v>600</v>
      </c>
      <c r="P214" s="46">
        <f t="shared" ca="1" si="10"/>
        <v>1.0416666666232634E-4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input_541100!A$2</f>
        <v>541100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IFERROR(VLOOKUP(B215,input_541100!L:R,7,FALSE),VLOOKUP(tables_541100!C215,input_541100!A:H,8,FALSE))</f>
        <v>5490</v>
      </c>
      <c r="P215" s="46">
        <f t="shared" ca="1" si="10"/>
        <v>9.5312499996028598E-4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input_541100!A$2</f>
        <v>541100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IFERROR(VLOOKUP(B216,input_541100!L:R,7,FALSE),VLOOKUP(tables_541100!C216,input_541100!A:H,8,FALSE))</f>
        <v>5490</v>
      </c>
      <c r="P216" s="46">
        <f t="shared" ca="1" si="10"/>
        <v>9.5312499996028598E-4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input_541100!A$2</f>
        <v>541100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IFERROR(VLOOKUP(B217,input_541100!L:R,7,FALSE),VLOOKUP(tables_541100!C217,input_541100!A:H,8,FALSE))</f>
        <v>5490</v>
      </c>
      <c r="P217" s="46">
        <f t="shared" ca="1" si="10"/>
        <v>9.5312499996028598E-4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input_541100!A$2</f>
        <v>541100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IFERROR(VLOOKUP(B218,input_541100!L:R,7,FALSE),VLOOKUP(tables_541100!C218,input_541100!A:H,8,FALSE))</f>
        <v>5490</v>
      </c>
      <c r="P218" s="46">
        <f t="shared" ca="1" si="10"/>
        <v>9.5312499996028598E-4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input_541100!A$2</f>
        <v>541100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IFERROR(VLOOKUP(B219,input_541100!L:R,7,FALSE),VLOOKUP(tables_541100!C219,input_541100!A:H,8,FALSE))</f>
        <v>5490</v>
      </c>
      <c r="P219" s="46">
        <f t="shared" ca="1" si="10"/>
        <v>9.5312499996028598E-4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input_541100!A$2</f>
        <v>541100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IFERROR(VLOOKUP(B220,input_541100!L:R,7,FALSE),VLOOKUP(tables_541100!C220,input_541100!A:H,8,FALSE))</f>
        <v>5490</v>
      </c>
      <c r="P220" s="46">
        <f t="shared" ca="1" si="10"/>
        <v>9.5312499996028598E-4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input_541100!A$2</f>
        <v>541100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IFERROR(VLOOKUP(B221,input_541100!L:R,7,FALSE),VLOOKUP(tables_541100!C221,input_541100!A:H,8,FALSE))</f>
        <v>5400</v>
      </c>
      <c r="P221" s="46">
        <f t="shared" ca="1" si="10"/>
        <v>9.3749999996093703E-4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input_541100!A$2</f>
        <v>541100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IFERROR(VLOOKUP(B222,input_541100!L:R,7,FALSE),VLOOKUP(tables_541100!C222,input_541100!A:H,8,FALSE))</f>
        <v>600</v>
      </c>
      <c r="P222" s="46">
        <f t="shared" ca="1" si="10"/>
        <v>1.0416666666232634E-4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input_541100!A$2</f>
        <v>541100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IFERROR(VLOOKUP(B223,input_541100!L:R,7,FALSE),VLOOKUP(tables_541100!C223,input_541100!A:H,8,FALSE))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input_541100!A$2</f>
        <v>541100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IFERROR(VLOOKUP(B224,input_541100!L:R,7,FALSE),VLOOKUP(tables_541100!C224,input_541100!A:H,8,FALSE))</f>
        <v>49410</v>
      </c>
      <c r="P224" s="46">
        <f t="shared" ca="1" si="10"/>
        <v>8.5781249996425748E-3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input_541100!A$2</f>
        <v>541100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IFERROR(VLOOKUP(B225,input_541100!L:R,7,FALSE),VLOOKUP(tables_541100!C225,input_541100!A:H,8,FALSE))</f>
        <v>1900.38462</v>
      </c>
      <c r="P225" s="46">
        <f t="shared" ca="1" si="10"/>
        <v>3.2992788540291953E-4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input_541100!A$2</f>
        <v>541100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IFERROR(VLOOKUP(B226,input_541100!L:R,7,FALSE),VLOOKUP(tables_541100!C226,input_541100!A:H,8,FALSE))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input_541100!A$2</f>
        <v>541100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IFERROR(VLOOKUP(B227,input_541100!L:R,7,FALSE),VLOOKUP(tables_541100!C227,input_541100!A:H,8,FALSE))</f>
        <v>49410</v>
      </c>
      <c r="P227" s="46">
        <f t="shared" ca="1" si="10"/>
        <v>8.5781249996425748E-3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input_541100!A$2</f>
        <v>541100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IFERROR(VLOOKUP(B228,input_541100!L:R,7,FALSE),VLOOKUP(tables_541100!C228,input_541100!A:H,8,FALSE))</f>
        <v>1900.38462</v>
      </c>
      <c r="P228" s="46">
        <f t="shared" ca="1" si="10"/>
        <v>3.2992788540291953E-4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input_541100!A$2</f>
        <v>541100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IFERROR(VLOOKUP(B229,input_541100!L:R,7,FALSE),VLOOKUP(tables_541100!C229,input_541100!A:H,8,FALSE))</f>
        <v>5400</v>
      </c>
      <c r="P229" s="46">
        <f t="shared" ca="1" si="10"/>
        <v>9.3749999996093703E-4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input_541100!A$2</f>
        <v>541100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IFERROR(VLOOKUP(B230,input_541100!L:R,7,FALSE),VLOOKUP(tables_541100!C230,input_541100!A:H,8,FALSE))</f>
        <v>600</v>
      </c>
      <c r="P230" s="46">
        <f t="shared" ca="1" si="10"/>
        <v>1.0416666666232634E-4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input_541100!A$2</f>
        <v>541100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IFERROR(VLOOKUP(B231,input_541100!L:R,7,FALSE),VLOOKUP(tables_541100!C231,input_541100!A:H,8,FALSE))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input_541100!A$2</f>
        <v>541100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IFERROR(VLOOKUP(B232,input_541100!L:R,7,FALSE),VLOOKUP(tables_541100!C232,input_541100!A:H,8,FALSE))</f>
        <v>49410</v>
      </c>
      <c r="P232" s="46">
        <f t="shared" ca="1" si="10"/>
        <v>8.5781249996425748E-3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input_541100!A$2</f>
        <v>541100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IFERROR(VLOOKUP(B233,input_541100!L:R,7,FALSE),VLOOKUP(tables_541100!C233,input_541100!A:H,8,FALSE))</f>
        <v>1900.38462</v>
      </c>
      <c r="P233" s="46">
        <f t="shared" ca="1" si="10"/>
        <v>3.2992788540291953E-4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input_541100!A$2</f>
        <v>541100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IFERROR(VLOOKUP(B234,input_541100!L:R,7,FALSE),VLOOKUP(tables_541100!C234,input_541100!A:H,8,FALSE))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input_541100!A$2</f>
        <v>541100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IFERROR(VLOOKUP(B235,input_541100!L:R,7,FALSE),VLOOKUP(tables_541100!C235,input_541100!A:H,8,FALSE))</f>
        <v>49410</v>
      </c>
      <c r="P235" s="46">
        <f t="shared" ca="1" si="10"/>
        <v>8.5781249996425748E-3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input_541100!A$2</f>
        <v>541100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IFERROR(VLOOKUP(B236,input_541100!L:R,7,FALSE),VLOOKUP(tables_541100!C236,input_541100!A:H,8,FALSE))</f>
        <v>1900.38462</v>
      </c>
      <c r="P236" s="46">
        <f t="shared" ca="1" si="10"/>
        <v>3.2992788540291953E-4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input_541100!A$2</f>
        <v>541100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IFERROR(VLOOKUP(B237,input_541100!L:R,7,FALSE),VLOOKUP(tables_541100!C237,input_541100!A:H,8,FALSE))</f>
        <v>5400</v>
      </c>
      <c r="P237" s="46">
        <f t="shared" ca="1" si="10"/>
        <v>9.3749999996093703E-4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input_541100!A$2</f>
        <v>541100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IFERROR(VLOOKUP(B238,input_541100!L:R,7,FALSE),VLOOKUP(tables_541100!C238,input_541100!A:H,8,FALSE))</f>
        <v>600</v>
      </c>
      <c r="P238" s="46">
        <f t="shared" ca="1" si="10"/>
        <v>1.0416666666232634E-4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input_541100!A$2</f>
        <v>541100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IFERROR(VLOOKUP(B239,input_541100!L:R,7,FALSE),VLOOKUP(tables_541100!C239,input_541100!A:H,8,FALSE))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input_541100!A$2</f>
        <v>541100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IFERROR(VLOOKUP(B240,input_541100!L:R,7,FALSE),VLOOKUP(tables_541100!C240,input_541100!A:H,8,FALSE))</f>
        <v>49410</v>
      </c>
      <c r="P240" s="46">
        <f t="shared" ca="1" si="10"/>
        <v>8.5781249996425748E-3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input_541100!A$2</f>
        <v>541100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IFERROR(VLOOKUP(B241,input_541100!L:R,7,FALSE),VLOOKUP(tables_541100!C241,input_541100!A:H,8,FALSE))</f>
        <v>1900.38462</v>
      </c>
      <c r="P241" s="46">
        <f t="shared" ca="1" si="10"/>
        <v>3.2992788540291953E-4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input_541100!A$2</f>
        <v>541100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IFERROR(VLOOKUP(B242,input_541100!L:R,7,FALSE),VLOOKUP(tables_541100!C242,input_541100!A:H,8,FALSE))</f>
        <v>5400</v>
      </c>
      <c r="P242" s="46">
        <f t="shared" ca="1" si="10"/>
        <v>9.3749999996093703E-4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input_541100!A$2</f>
        <v>541100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IFERROR(VLOOKUP(B243,input_541100!L:R,7,FALSE),VLOOKUP(tables_541100!C243,input_541100!A:H,8,FALSE))</f>
        <v>600</v>
      </c>
      <c r="P243" s="46">
        <f t="shared" ca="1" si="10"/>
        <v>1.0416666666232634E-4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input_541100!A$2</f>
        <v>541100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IFERROR(VLOOKUP(B244,input_541100!L:R,7,FALSE),VLOOKUP(tables_541100!C244,input_541100!A:H,8,FALSE))</f>
        <v>5400</v>
      </c>
      <c r="P244" s="46">
        <f t="shared" ca="1" si="10"/>
        <v>9.3749999996093703E-4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input_541100!A$2</f>
        <v>541100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IFERROR(VLOOKUP(B245,input_541100!L:R,7,FALSE),VLOOKUP(tables_541100!C245,input_541100!A:H,8,FALSE))</f>
        <v>600</v>
      </c>
      <c r="P245" s="46">
        <f t="shared" ca="1" si="10"/>
        <v>1.0416666666232634E-4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input_541100!A$2</f>
        <v>541100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IFERROR(VLOOKUP(B246,input_541100!L:R,7,FALSE),VLOOKUP(tables_541100!C246,input_541100!A:H,8,FALSE))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input_541100!A$2</f>
        <v>541100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IFERROR(VLOOKUP(B247,input_541100!L:R,7,FALSE),VLOOKUP(tables_541100!C247,input_541100!A:H,8,FALSE))</f>
        <v>49410</v>
      </c>
      <c r="P247" s="46">
        <f t="shared" ca="1" si="10"/>
        <v>8.5781249996425748E-3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input_541100!A$2</f>
        <v>541100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IFERROR(VLOOKUP(B248,input_541100!L:R,7,FALSE),VLOOKUP(tables_541100!C248,input_541100!A:H,8,FALSE))</f>
        <v>1900.38462</v>
      </c>
      <c r="P248" s="46">
        <f t="shared" ca="1" si="10"/>
        <v>3.2992788540291953E-4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input_541100!A$2</f>
        <v>541100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IFERROR(VLOOKUP(B249,input_541100!L:R,7,FALSE),VLOOKUP(tables_541100!C249,input_541100!A:H,8,FALSE))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input_541100!A$2</f>
        <v>541100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IFERROR(VLOOKUP(B250,input_541100!L:R,7,FALSE),VLOOKUP(tables_541100!C250,input_541100!A:H,8,FALSE))</f>
        <v>49410</v>
      </c>
      <c r="P250" s="46">
        <f t="shared" ca="1" si="10"/>
        <v>8.5781249996425748E-3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input_541100!A$2</f>
        <v>541100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IFERROR(VLOOKUP(B251,input_541100!L:R,7,FALSE),VLOOKUP(tables_541100!C251,input_541100!A:H,8,FALSE))</f>
        <v>1900.38462</v>
      </c>
      <c r="P251" s="46">
        <f t="shared" ca="1" si="10"/>
        <v>3.2992788540291953E-4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input_541100!A$2</f>
        <v>541100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IFERROR(VLOOKUP(B252,input_541100!L:R,7,FALSE),VLOOKUP(tables_541100!C252,input_541100!A:H,8,FALSE))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input_541100!A$2</f>
        <v>541100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IFERROR(VLOOKUP(B253,input_541100!L:R,7,FALSE),VLOOKUP(tables_541100!C253,input_541100!A:H,8,FALSE))</f>
        <v>49410</v>
      </c>
      <c r="P253" s="46">
        <f t="shared" ca="1" si="10"/>
        <v>8.5781249996425748E-3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input_541100!A$2</f>
        <v>541100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IFERROR(VLOOKUP(B254,input_541100!L:R,7,FALSE),VLOOKUP(tables_541100!C254,input_541100!A:H,8,FALSE))</f>
        <v>1900.38462</v>
      </c>
      <c r="P254" s="46">
        <f t="shared" ca="1" si="10"/>
        <v>3.2992788540291953E-4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input_541100!A$2</f>
        <v>541100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IFERROR(VLOOKUP(B255,input_541100!L:R,7,FALSE),VLOOKUP(tables_541100!C255,input_541100!A:H,8,FALSE))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input_541100!A$2</f>
        <v>541100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IFERROR(VLOOKUP(B256,input_541100!L:R,7,FALSE),VLOOKUP(tables_541100!C256,input_541100!A:H,8,FALSE))</f>
        <v>49410</v>
      </c>
      <c r="P256" s="46">
        <f t="shared" ca="1" si="10"/>
        <v>8.5781249996425748E-3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input_541100!A$2</f>
        <v>541100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IFERROR(VLOOKUP(B257,input_541100!L:R,7,FALSE),VLOOKUP(tables_541100!C257,input_541100!A:H,8,FALSE))</f>
        <v>1900.38462</v>
      </c>
      <c r="P257" s="46">
        <f t="shared" ca="1" si="10"/>
        <v>3.2992788540291953E-4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input_541100!A$2</f>
        <v>541100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IFERROR(VLOOKUP(B258,input_541100!L:R,7,FALSE),VLOOKUP(tables_541100!C258,input_541100!A:H,8,FALSE))</f>
        <v>5400</v>
      </c>
      <c r="P258" s="46">
        <f t="shared" ref="P258:P321" ca="1" si="13">O258/SUM(O:O)</f>
        <v>9.3749999996093703E-4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input_541100!A$2</f>
        <v>541100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IFERROR(VLOOKUP(B259,input_541100!L:R,7,FALSE),VLOOKUP(tables_541100!C259,input_541100!A:H,8,FALSE))</f>
        <v>600</v>
      </c>
      <c r="P259" s="46">
        <f t="shared" ca="1" si="13"/>
        <v>1.0416666666232634E-4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input_541100!A$2</f>
        <v>541100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IFERROR(VLOOKUP(B260,input_541100!L:R,7,FALSE),VLOOKUP(tables_541100!C260,input_541100!A:H,8,FALSE))</f>
        <v>5400</v>
      </c>
      <c r="P260" s="46">
        <f t="shared" ca="1" si="13"/>
        <v>9.3749999996093703E-4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input_541100!A$2</f>
        <v>541100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IFERROR(VLOOKUP(B261,input_541100!L:R,7,FALSE),VLOOKUP(tables_541100!C261,input_541100!A:H,8,FALSE))</f>
        <v>600</v>
      </c>
      <c r="P261" s="46">
        <f t="shared" ca="1" si="13"/>
        <v>1.0416666666232634E-4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input_541100!A$2</f>
        <v>541100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IFERROR(VLOOKUP(B262,input_541100!L:R,7,FALSE),VLOOKUP(tables_541100!C262,input_541100!A:H,8,FALSE))</f>
        <v>47763</v>
      </c>
      <c r="P262" s="46">
        <f t="shared" ca="1" si="13"/>
        <v>8.2921874996544874E-3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input_541100!A$2</f>
        <v>541100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IFERROR(VLOOKUP(B263,input_541100!L:R,7,FALSE),VLOOKUP(tables_541100!C263,input_541100!A:H,8,FALSE))</f>
        <v>5490</v>
      </c>
      <c r="P263" s="46">
        <f t="shared" ca="1" si="13"/>
        <v>9.5312499996028598E-4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input_541100!A$2</f>
        <v>541100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IFERROR(VLOOKUP(B264,input_541100!L:R,7,FALSE),VLOOKUP(tables_541100!C264,input_541100!A:H,8,FALSE))</f>
        <v>47763</v>
      </c>
      <c r="P264" s="46">
        <f t="shared" ca="1" si="13"/>
        <v>8.2921874996544874E-3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input_541100!A$2</f>
        <v>541100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IFERROR(VLOOKUP(B265,input_541100!L:R,7,FALSE),VLOOKUP(tables_541100!C265,input_541100!A:H,8,FALSE))</f>
        <v>5490</v>
      </c>
      <c r="P265" s="46">
        <f t="shared" ca="1" si="13"/>
        <v>9.5312499996028598E-4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input_541100!A$2</f>
        <v>541100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IFERROR(VLOOKUP(B266,input_541100!L:R,7,FALSE),VLOOKUP(tables_541100!C266,input_541100!A:H,8,FALSE))</f>
        <v>6000</v>
      </c>
      <c r="P266" s="46">
        <f t="shared" ca="1" si="13"/>
        <v>1.0416666666232634E-3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input_541100!A$2</f>
        <v>541100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IFERROR(VLOOKUP(B267,input_541100!L:R,7,FALSE),VLOOKUP(tables_541100!C267,input_541100!A:H,8,FALSE))</f>
        <v>6000</v>
      </c>
      <c r="P267" s="46">
        <f t="shared" ca="1" si="13"/>
        <v>1.0416666666232634E-3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input_541100!A$2</f>
        <v>541100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IFERROR(VLOOKUP(B268,input_541100!L:R,7,FALSE),VLOOKUP(tables_541100!C268,input_541100!A:H,8,FALSE))</f>
        <v>6000</v>
      </c>
      <c r="P268" s="46">
        <f t="shared" ca="1" si="13"/>
        <v>1.0416666666232634E-3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input_541100!A$2</f>
        <v>541100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IFERROR(VLOOKUP(B269,input_541100!L:R,7,FALSE),VLOOKUP(tables_541100!C269,input_541100!A:H,8,FALSE))</f>
        <v>6000</v>
      </c>
      <c r="P269" s="46">
        <f t="shared" ca="1" si="13"/>
        <v>1.0416666666232634E-3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input_541100!A$2</f>
        <v>541100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IFERROR(VLOOKUP(B270,input_541100!L:R,7,FALSE),VLOOKUP(tables_541100!C270,input_541100!A:H,8,FALSE))</f>
        <v>47763</v>
      </c>
      <c r="P270" s="46">
        <f t="shared" ca="1" si="13"/>
        <v>8.2921874996544874E-3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input_541100!A$2</f>
        <v>541100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IFERROR(VLOOKUP(B271,input_541100!L:R,7,FALSE),VLOOKUP(tables_541100!C271,input_541100!A:H,8,FALSE))</f>
        <v>5490</v>
      </c>
      <c r="P271" s="46">
        <f t="shared" ca="1" si="13"/>
        <v>9.5312499996028598E-4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input_541100!A$2</f>
        <v>541100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IFERROR(VLOOKUP(B272,input_541100!L:R,7,FALSE),VLOOKUP(tables_541100!C272,input_541100!A:H,8,FALSE))</f>
        <v>47763</v>
      </c>
      <c r="P272" s="46">
        <f t="shared" ca="1" si="13"/>
        <v>8.2921874996544874E-3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input_541100!A$2</f>
        <v>541100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IFERROR(VLOOKUP(B273,input_541100!L:R,7,FALSE),VLOOKUP(tables_541100!C273,input_541100!A:H,8,FALSE))</f>
        <v>5490</v>
      </c>
      <c r="P273" s="46">
        <f t="shared" ca="1" si="13"/>
        <v>9.5312499996028598E-4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input_541100!A$2</f>
        <v>541100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IFERROR(VLOOKUP(B274,input_541100!L:R,7,FALSE),VLOOKUP(tables_541100!C274,input_541100!A:H,8,FALSE))</f>
        <v>5400</v>
      </c>
      <c r="P274" s="46">
        <f t="shared" ca="1" si="13"/>
        <v>9.3749999996093703E-4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input_541100!A$2</f>
        <v>541100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IFERROR(VLOOKUP(B275,input_541100!L:R,7,FALSE),VLOOKUP(tables_541100!C275,input_541100!A:H,8,FALSE))</f>
        <v>600</v>
      </c>
      <c r="P275" s="46">
        <f t="shared" ca="1" si="13"/>
        <v>1.0416666666232634E-4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input_541100!A$2</f>
        <v>541100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IFERROR(VLOOKUP(B276,input_541100!L:R,7,FALSE),VLOOKUP(tables_541100!C276,input_541100!A:H,8,FALSE))</f>
        <v>5400</v>
      </c>
      <c r="P276" s="46">
        <f t="shared" ca="1" si="13"/>
        <v>9.3749999996093703E-4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input_541100!A$2</f>
        <v>541100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IFERROR(VLOOKUP(B277,input_541100!L:R,7,FALSE),VLOOKUP(tables_541100!C277,input_541100!A:H,8,FALSE))</f>
        <v>600</v>
      </c>
      <c r="P277" s="46">
        <f t="shared" ca="1" si="13"/>
        <v>1.0416666666232634E-4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input_541100!A$2</f>
        <v>541100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IFERROR(VLOOKUP(B278,input_541100!L:R,7,FALSE),VLOOKUP(tables_541100!C278,input_541100!A:H,8,FALSE))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input_541100!A$2</f>
        <v>541100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IFERROR(VLOOKUP(B279,input_541100!L:R,7,FALSE),VLOOKUP(tables_541100!C279,input_541100!A:H,8,FALSE))</f>
        <v>49410</v>
      </c>
      <c r="P279" s="46">
        <f t="shared" ca="1" si="13"/>
        <v>8.5781249996425748E-3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input_541100!A$2</f>
        <v>541100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IFERROR(VLOOKUP(B280,input_541100!L:R,7,FALSE),VLOOKUP(tables_541100!C280,input_541100!A:H,8,FALSE))</f>
        <v>1900.38462</v>
      </c>
      <c r="P280" s="46">
        <f t="shared" ca="1" si="13"/>
        <v>3.2992788540291953E-4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input_541100!A$2</f>
        <v>541100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IFERROR(VLOOKUP(B281,input_541100!L:R,7,FALSE),VLOOKUP(tables_541100!C281,input_541100!A:H,8,FALSE))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input_541100!A$2</f>
        <v>541100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IFERROR(VLOOKUP(B282,input_541100!L:R,7,FALSE),VLOOKUP(tables_541100!C282,input_541100!A:H,8,FALSE))</f>
        <v>49410</v>
      </c>
      <c r="P282" s="46">
        <f t="shared" ca="1" si="13"/>
        <v>8.5781249996425748E-3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input_541100!A$2</f>
        <v>541100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IFERROR(VLOOKUP(B283,input_541100!L:R,7,FALSE),VLOOKUP(tables_541100!C283,input_541100!A:H,8,FALSE))</f>
        <v>1900.38462</v>
      </c>
      <c r="P283" s="46">
        <f t="shared" ca="1" si="13"/>
        <v>3.2992788540291953E-4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input_541100!A$2</f>
        <v>541100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IFERROR(VLOOKUP(B284,input_541100!L:R,7,FALSE),VLOOKUP(tables_541100!C284,input_541100!A:H,8,FALSE))</f>
        <v>6000</v>
      </c>
      <c r="P284" s="46">
        <f t="shared" ca="1" si="13"/>
        <v>1.0416666666232634E-3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input_541100!A$2</f>
        <v>541100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IFERROR(VLOOKUP(B285,input_541100!L:R,7,FALSE),VLOOKUP(tables_541100!C285,input_541100!A:H,8,FALSE))</f>
        <v>6000</v>
      </c>
      <c r="P285" s="46">
        <f t="shared" ca="1" si="13"/>
        <v>1.0416666666232634E-3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input_541100!A$2</f>
        <v>541100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IFERROR(VLOOKUP(B286,input_541100!L:R,7,FALSE),VLOOKUP(tables_541100!C286,input_541100!A:H,8,FALSE))</f>
        <v>47763</v>
      </c>
      <c r="P286" s="46">
        <f t="shared" ca="1" si="13"/>
        <v>8.2921874996544874E-3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input_541100!A$2</f>
        <v>541100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IFERROR(VLOOKUP(B287,input_541100!L:R,7,FALSE),VLOOKUP(tables_541100!C287,input_541100!A:H,8,FALSE))</f>
        <v>5490</v>
      </c>
      <c r="P287" s="46">
        <f t="shared" ca="1" si="13"/>
        <v>9.5312499996028598E-4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input_541100!A$2</f>
        <v>541100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IFERROR(VLOOKUP(B288,input_541100!L:R,7,FALSE),VLOOKUP(tables_541100!C288,input_541100!A:H,8,FALSE))</f>
        <v>47763</v>
      </c>
      <c r="P288" s="46">
        <f t="shared" ca="1" si="13"/>
        <v>8.2921874996544874E-3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input_541100!A$2</f>
        <v>541100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IFERROR(VLOOKUP(B289,input_541100!L:R,7,FALSE),VLOOKUP(tables_541100!C289,input_541100!A:H,8,FALSE))</f>
        <v>5490</v>
      </c>
      <c r="P289" s="46">
        <f t="shared" ca="1" si="13"/>
        <v>9.5312499996028598E-4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input_541100!A$2</f>
        <v>541100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IFERROR(VLOOKUP(B290,input_541100!L:R,7,FALSE),VLOOKUP(tables_541100!C290,input_541100!A:H,8,FALSE))</f>
        <v>47763</v>
      </c>
      <c r="P290" s="46">
        <f t="shared" ca="1" si="13"/>
        <v>8.2921874996544874E-3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input_541100!A$2</f>
        <v>541100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IFERROR(VLOOKUP(B291,input_541100!L:R,7,FALSE),VLOOKUP(tables_541100!C291,input_541100!A:H,8,FALSE))</f>
        <v>5490</v>
      </c>
      <c r="P291" s="46">
        <f t="shared" ca="1" si="13"/>
        <v>9.5312499996028598E-4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input_541100!A$2</f>
        <v>541100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IFERROR(VLOOKUP(B292,input_541100!L:R,7,FALSE),VLOOKUP(tables_541100!C292,input_541100!A:H,8,FALSE))</f>
        <v>47763</v>
      </c>
      <c r="P292" s="46">
        <f t="shared" ca="1" si="13"/>
        <v>8.2921874996544874E-3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input_541100!A$2</f>
        <v>541100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IFERROR(VLOOKUP(B293,input_541100!L:R,7,FALSE),VLOOKUP(tables_541100!C293,input_541100!A:H,8,FALSE))</f>
        <v>5490</v>
      </c>
      <c r="P293" s="46">
        <f t="shared" ca="1" si="13"/>
        <v>9.5312499996028598E-4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input_541100!A$2</f>
        <v>541100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IFERROR(VLOOKUP(B294,input_541100!L:R,7,FALSE),VLOOKUP(tables_541100!C294,input_541100!A:H,8,FALSE))</f>
        <v>6000</v>
      </c>
      <c r="P294" s="46">
        <f t="shared" ca="1" si="13"/>
        <v>1.0416666666232634E-3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input_541100!A$2</f>
        <v>541100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IFERROR(VLOOKUP(B295,input_541100!L:R,7,FALSE),VLOOKUP(tables_541100!C295,input_541100!A:H,8,FALSE))</f>
        <v>6000</v>
      </c>
      <c r="P295" s="46">
        <f t="shared" ca="1" si="13"/>
        <v>1.0416666666232634E-3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input_541100!A$2</f>
        <v>541100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IFERROR(VLOOKUP(B296,input_541100!L:R,7,FALSE),VLOOKUP(tables_541100!C296,input_541100!A:H,8,FALSE))</f>
        <v>6000</v>
      </c>
      <c r="P296" s="46">
        <f t="shared" ca="1" si="13"/>
        <v>1.0416666666232634E-3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input_541100!A$2</f>
        <v>541100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IFERROR(VLOOKUP(B297,input_541100!L:R,7,FALSE),VLOOKUP(tables_541100!C297,input_541100!A:H,8,FALSE))</f>
        <v>47763</v>
      </c>
      <c r="P297" s="46">
        <f t="shared" ca="1" si="13"/>
        <v>8.2921874996544874E-3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input_541100!A$2</f>
        <v>541100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IFERROR(VLOOKUP(B298,input_541100!L:R,7,FALSE),VLOOKUP(tables_541100!C298,input_541100!A:H,8,FALSE))</f>
        <v>5490</v>
      </c>
      <c r="P298" s="46">
        <f t="shared" ca="1" si="13"/>
        <v>9.5312499996028598E-4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input_541100!A$2</f>
        <v>541100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IFERROR(VLOOKUP(B299,input_541100!L:R,7,FALSE),VLOOKUP(tables_541100!C299,input_541100!A:H,8,FALSE))</f>
        <v>6000</v>
      </c>
      <c r="P299" s="46">
        <f t="shared" ca="1" si="13"/>
        <v>1.0416666666232634E-3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input_541100!A$2</f>
        <v>541100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IFERROR(VLOOKUP(B300,input_541100!L:R,7,FALSE),VLOOKUP(tables_541100!C300,input_541100!A:H,8,FALSE))</f>
        <v>6000</v>
      </c>
      <c r="P300" s="46">
        <f t="shared" ca="1" si="13"/>
        <v>1.0416666666232634E-3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input_541100!A$2</f>
        <v>541100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IFERROR(VLOOKUP(B301,input_541100!L:R,7,FALSE),VLOOKUP(tables_541100!C301,input_541100!A:H,8,FALSE))</f>
        <v>6000</v>
      </c>
      <c r="P301" s="46">
        <f t="shared" ca="1" si="13"/>
        <v>1.0416666666232634E-3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input_541100!A$2</f>
        <v>541100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IFERROR(VLOOKUP(B302,input_541100!L:R,7,FALSE),VLOOKUP(tables_541100!C302,input_541100!A:H,8,FALSE))</f>
        <v>6000</v>
      </c>
      <c r="P302" s="46">
        <f t="shared" ca="1" si="13"/>
        <v>1.0416666666232634E-3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input_541100!A$2</f>
        <v>541100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IFERROR(VLOOKUP(B303,input_541100!L:R,7,FALSE),VLOOKUP(tables_541100!C303,input_541100!A:H,8,FALSE))</f>
        <v>47763</v>
      </c>
      <c r="P303" s="46">
        <f t="shared" ca="1" si="13"/>
        <v>8.2921874996544874E-3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input_541100!A$2</f>
        <v>541100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IFERROR(VLOOKUP(B304,input_541100!L:R,7,FALSE),VLOOKUP(tables_541100!C304,input_541100!A:H,8,FALSE))</f>
        <v>5490</v>
      </c>
      <c r="P304" s="46">
        <f t="shared" ca="1" si="13"/>
        <v>9.5312499996028598E-4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input_541100!A$2</f>
        <v>541100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IFERROR(VLOOKUP(B305,input_541100!L:R,7,FALSE),VLOOKUP(tables_541100!C305,input_541100!A:H,8,FALSE))</f>
        <v>6000</v>
      </c>
      <c r="P305" s="46">
        <f t="shared" ca="1" si="13"/>
        <v>1.0416666666232634E-3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input_541100!A$2</f>
        <v>541100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IFERROR(VLOOKUP(B306,input_541100!L:R,7,FALSE),VLOOKUP(tables_541100!C306,input_541100!A:H,8,FALSE))</f>
        <v>47763</v>
      </c>
      <c r="P306" s="46">
        <f t="shared" ca="1" si="13"/>
        <v>8.2921874996544874E-3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input_541100!A$2</f>
        <v>541100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IFERROR(VLOOKUP(B307,input_541100!L:R,7,FALSE),VLOOKUP(tables_541100!C307,input_541100!A:H,8,FALSE))</f>
        <v>5490</v>
      </c>
      <c r="P307" s="46">
        <f t="shared" ca="1" si="13"/>
        <v>9.5312499996028598E-4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input_541100!A$2</f>
        <v>541100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IFERROR(VLOOKUP(B308,input_541100!L:R,7,FALSE),VLOOKUP(tables_541100!C308,input_541100!A:H,8,FALSE))</f>
        <v>6000</v>
      </c>
      <c r="P308" s="46">
        <f t="shared" ca="1" si="13"/>
        <v>1.0416666666232634E-3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input_541100!A$2</f>
        <v>541100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IFERROR(VLOOKUP(B309,input_541100!L:R,7,FALSE),VLOOKUP(tables_541100!C309,input_541100!A:H,8,FALSE))</f>
        <v>6000</v>
      </c>
      <c r="P309" s="46">
        <f t="shared" ca="1" si="13"/>
        <v>1.0416666666232634E-3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input_541100!A$2</f>
        <v>541100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IFERROR(VLOOKUP(B310,input_541100!L:R,7,FALSE),VLOOKUP(tables_541100!C310,input_541100!A:H,8,FALSE))</f>
        <v>6000</v>
      </c>
      <c r="P310" s="46">
        <f t="shared" ca="1" si="13"/>
        <v>1.0416666666232634E-3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input_541100!A$2</f>
        <v>541100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IFERROR(VLOOKUP(B311,input_541100!L:R,7,FALSE),VLOOKUP(tables_541100!C311,input_541100!A:H,8,FALSE))</f>
        <v>47763</v>
      </c>
      <c r="P311" s="46">
        <f t="shared" ca="1" si="13"/>
        <v>8.2921874996544874E-3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input_541100!A$2</f>
        <v>541100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IFERROR(VLOOKUP(B312,input_541100!L:R,7,FALSE),VLOOKUP(tables_541100!C312,input_541100!A:H,8,FALSE))</f>
        <v>5490</v>
      </c>
      <c r="P312" s="46">
        <f t="shared" ca="1" si="13"/>
        <v>9.5312499996028598E-4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input_541100!A$2</f>
        <v>541100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IFERROR(VLOOKUP(B313,input_541100!L:R,7,FALSE),VLOOKUP(tables_541100!C313,input_541100!A:H,8,FALSE))</f>
        <v>6000</v>
      </c>
      <c r="P313" s="46">
        <f t="shared" ca="1" si="13"/>
        <v>1.0416666666232634E-3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input_541100!A$2</f>
        <v>541100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IFERROR(VLOOKUP(B314,input_541100!L:R,7,FALSE),VLOOKUP(tables_541100!C314,input_541100!A:H,8,FALSE))</f>
        <v>6000</v>
      </c>
      <c r="P314" s="46">
        <f t="shared" ca="1" si="13"/>
        <v>1.0416666666232634E-3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input_541100!A$2</f>
        <v>541100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IFERROR(VLOOKUP(B315,input_541100!L:R,7,FALSE),VLOOKUP(tables_541100!C315,input_541100!A:H,8,FALSE))</f>
        <v>6000</v>
      </c>
      <c r="P315" s="46">
        <f t="shared" ca="1" si="13"/>
        <v>1.0416666666232634E-3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input_541100!A$2</f>
        <v>541100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IFERROR(VLOOKUP(B316,input_541100!L:R,7,FALSE),VLOOKUP(tables_541100!C316,input_541100!A:H,8,FALSE))</f>
        <v>6000</v>
      </c>
      <c r="P316" s="46">
        <f t="shared" ca="1" si="13"/>
        <v>1.0416666666232634E-3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input_541100!A$2</f>
        <v>541100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IFERROR(VLOOKUP(B317,input_541100!L:R,7,FALSE),VLOOKUP(tables_541100!C317,input_541100!A:H,8,FALSE))</f>
        <v>6000</v>
      </c>
      <c r="P317" s="46">
        <f t="shared" ca="1" si="13"/>
        <v>1.0416666666232634E-3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input_541100!A$2</f>
        <v>541100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IFERROR(VLOOKUP(B318,input_541100!L:R,7,FALSE),VLOOKUP(tables_541100!C318,input_541100!A:H,8,FALSE))</f>
        <v>47763</v>
      </c>
      <c r="P318" s="46">
        <f t="shared" ca="1" si="13"/>
        <v>8.2921874996544874E-3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input_541100!A$2</f>
        <v>541100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IFERROR(VLOOKUP(B319,input_541100!L:R,7,FALSE),VLOOKUP(tables_541100!C319,input_541100!A:H,8,FALSE))</f>
        <v>5490</v>
      </c>
      <c r="P319" s="46">
        <f t="shared" ca="1" si="13"/>
        <v>9.5312499996028598E-4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input_541100!A$2</f>
        <v>541100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IFERROR(VLOOKUP(B320,input_541100!L:R,7,FALSE),VLOOKUP(tables_541100!C320,input_541100!A:H,8,FALSE))</f>
        <v>6000</v>
      </c>
      <c r="P320" s="46">
        <f t="shared" ca="1" si="13"/>
        <v>1.0416666666232634E-3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input_541100!A$2</f>
        <v>541100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IFERROR(VLOOKUP(B321,input_541100!L:R,7,FALSE),VLOOKUP(tables_541100!C321,input_541100!A:H,8,FALSE))</f>
        <v>6000</v>
      </c>
      <c r="P321" s="46">
        <f t="shared" ca="1" si="13"/>
        <v>1.0416666666232634E-3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input_541100!A$2</f>
        <v>541100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IFERROR(VLOOKUP(B322,input_541100!L:R,7,FALSE),VLOOKUP(tables_541100!C322,input_541100!A:H,8,FALSE))</f>
        <v>6000</v>
      </c>
      <c r="P322" s="46">
        <f t="shared" ref="P322:P358" ca="1" si="26">O322/SUM(O:O)</f>
        <v>1.0416666666232634E-3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input_541100!A$2</f>
        <v>541100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IFERROR(VLOOKUP(B323,input_541100!L:R,7,FALSE),VLOOKUP(tables_541100!C323,input_541100!A:H,8,FALSE))</f>
        <v>6000</v>
      </c>
      <c r="P323" s="46">
        <f t="shared" ca="1" si="26"/>
        <v>1.0416666666232634E-3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input_541100!A$2</f>
        <v>541100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IFERROR(VLOOKUP(B324,input_541100!L:R,7,FALSE),VLOOKUP(tables_541100!C324,input_541100!A:H,8,FALSE))</f>
        <v>47763</v>
      </c>
      <c r="P324" s="46">
        <f t="shared" ca="1" si="26"/>
        <v>8.2921874996544874E-3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input_541100!A$2</f>
        <v>541100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IFERROR(VLOOKUP(B325,input_541100!L:R,7,FALSE),VLOOKUP(tables_541100!C325,input_541100!A:H,8,FALSE))</f>
        <v>5490</v>
      </c>
      <c r="P325" s="46">
        <f t="shared" ca="1" si="26"/>
        <v>9.5312499996028598E-4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input_541100!A$2</f>
        <v>541100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IFERROR(VLOOKUP(B326,input_541100!L:R,7,FALSE),VLOOKUP(tables_541100!C326,input_541100!A:H,8,FALSE))</f>
        <v>47763</v>
      </c>
      <c r="P326" s="46">
        <f t="shared" ca="1" si="26"/>
        <v>8.2921874996544874E-3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input_541100!A$2</f>
        <v>541100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IFERROR(VLOOKUP(B327,input_541100!L:R,7,FALSE),VLOOKUP(tables_541100!C327,input_541100!A:H,8,FALSE))</f>
        <v>5490</v>
      </c>
      <c r="P327" s="46">
        <f t="shared" ca="1" si="26"/>
        <v>9.5312499996028598E-4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input_541100!A$2</f>
        <v>541100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IFERROR(VLOOKUP(B328,input_541100!L:R,7,FALSE),VLOOKUP(tables_541100!C328,input_541100!A:H,8,FALSE))</f>
        <v>6000</v>
      </c>
      <c r="P328" s="46">
        <f t="shared" ca="1" si="26"/>
        <v>1.0416666666232634E-3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input_541100!A$2</f>
        <v>541100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IFERROR(VLOOKUP(B329,input_541100!L:R,7,FALSE),VLOOKUP(tables_541100!C329,input_541100!A:H,8,FALSE))</f>
        <v>6000</v>
      </c>
      <c r="P329" s="46">
        <f t="shared" ca="1" si="26"/>
        <v>1.0416666666232634E-3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input_541100!A$2</f>
        <v>541100</v>
      </c>
      <c r="B330" s="2">
        <v>1157</v>
      </c>
      <c r="C330" s="7" t="str">
        <f t="shared" si="28"/>
        <v>PremiumSS5R5only</v>
      </c>
      <c r="D330" s="96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IFERROR(VLOOKUP(B330,input_541100!L:R,7,FALSE),VLOOKUP(tables_541100!C330,input_541100!A:H,8,FALSE))</f>
        <v>6000</v>
      </c>
      <c r="P330" s="46">
        <f t="shared" ca="1" si="26"/>
        <v>1.0416666666232634E-3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input_541100!A$2</f>
        <v>541100</v>
      </c>
      <c r="B331" s="60">
        <v>1214</v>
      </c>
      <c r="C331" s="7" t="str">
        <f t="shared" ref="C331:C335" si="29">D331&amp;J331&amp;E331&amp;F331&amp;G331</f>
        <v>PremiumSS5R5only</v>
      </c>
      <c r="D331" s="96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IFERROR(VLOOKUP(B331,input_541100!L:R,7,FALSE),VLOOKUP(tables_541100!C331,input_541100!A:H,8,FALSE))</f>
        <v>6000</v>
      </c>
      <c r="P331" s="46">
        <f t="shared" ca="1" si="26"/>
        <v>1.0416666666232634E-3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input_541100!A$2</f>
        <v>541100</v>
      </c>
      <c r="B332" s="60">
        <v>1212</v>
      </c>
      <c r="C332" s="7" t="str">
        <f t="shared" si="29"/>
        <v>PremiumSS5R5only</v>
      </c>
      <c r="D332" s="96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IFERROR(VLOOKUP(B332,input_541100!L:R,7,FALSE),VLOOKUP(tables_541100!C332,input_541100!A:H,8,FALSE))</f>
        <v>6000</v>
      </c>
      <c r="P332" s="46">
        <f t="shared" ca="1" si="26"/>
        <v>1.0416666666232634E-3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input_541100!A$2</f>
        <v>541100</v>
      </c>
      <c r="B333" s="60">
        <v>1208</v>
      </c>
      <c r="C333" s="7" t="str">
        <f t="shared" si="29"/>
        <v>PremiumSS5R5only</v>
      </c>
      <c r="D333" s="96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IFERROR(VLOOKUP(B333,input_541100!L:R,7,FALSE),VLOOKUP(tables_541100!C333,input_541100!A:H,8,FALSE))</f>
        <v>6000</v>
      </c>
      <c r="P333" s="46">
        <f t="shared" ca="1" si="26"/>
        <v>1.0416666666232634E-3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input_541100!A$2</f>
        <v>541100</v>
      </c>
      <c r="B334" s="92">
        <v>1210</v>
      </c>
      <c r="C334" s="7" t="str">
        <f t="shared" si="29"/>
        <v>Premium4R3less</v>
      </c>
      <c r="D334" s="96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IFERROR(VLOOKUP(B334,input_541100!L:R,7,FALSE),VLOOKUP(tables_541100!C334,input_541100!A:H,8,FALSE))</f>
        <v>47763</v>
      </c>
      <c r="P334" s="46">
        <f t="shared" ca="1" si="26"/>
        <v>8.2921874996544874E-3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input_541100!A$2</f>
        <v>541100</v>
      </c>
      <c r="B335" s="60">
        <v>1211</v>
      </c>
      <c r="C335" s="7" t="str">
        <f t="shared" si="29"/>
        <v>Premium5R3less</v>
      </c>
      <c r="D335" s="96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IFERROR(VLOOKUP(B335,input_541100!L:R,7,FALSE),VLOOKUP(tables_541100!C335,input_541100!A:H,8,FALSE))</f>
        <v>5490</v>
      </c>
      <c r="P335" s="46">
        <f t="shared" ca="1" si="26"/>
        <v>9.5312499996028598E-4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input_541100!A$2</f>
        <v>541100</v>
      </c>
      <c r="B336" s="2">
        <v>1224</v>
      </c>
      <c r="C336" s="7" t="str">
        <f t="shared" ref="C336:C340" si="31">D336&amp;J336&amp;E336&amp;F336&amp;G336</f>
        <v>Premium4R3less</v>
      </c>
      <c r="D336" s="96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IFERROR(VLOOKUP(B336,input_541100!L:R,7,FALSE),VLOOKUP(tables_541100!C336,input_541100!A:H,8,FALSE))</f>
        <v>47763</v>
      </c>
      <c r="P336" s="46">
        <f t="shared" ca="1" si="26"/>
        <v>8.2921874996544874E-3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input_541100!A$2</f>
        <v>541100</v>
      </c>
      <c r="B337" s="2">
        <v>1225</v>
      </c>
      <c r="C337" s="7" t="str">
        <f t="shared" si="31"/>
        <v>Premium5R3less</v>
      </c>
      <c r="D337" s="96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IFERROR(VLOOKUP(B337,input_541100!L:R,7,FALSE),VLOOKUP(tables_541100!C337,input_541100!A:H,8,FALSE))</f>
        <v>5490</v>
      </c>
      <c r="P337" s="46">
        <f t="shared" ca="1" si="26"/>
        <v>9.5312499996028598E-4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input_541100!A$2</f>
        <v>541100</v>
      </c>
      <c r="B338" s="2">
        <v>1226</v>
      </c>
      <c r="C338" s="7" t="str">
        <f t="shared" si="31"/>
        <v>PremiumSS5R5only</v>
      </c>
      <c r="D338" s="96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IFERROR(VLOOKUP(B338,input_541100!L:R,7,FALSE),VLOOKUP(tables_541100!C338,input_541100!A:H,8,FALSE))</f>
        <v>6000</v>
      </c>
      <c r="P338" s="46">
        <f t="shared" ca="1" si="26"/>
        <v>1.0416666666232634E-3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input_541100!A$2</f>
        <v>541100</v>
      </c>
      <c r="B339" s="2">
        <v>1228</v>
      </c>
      <c r="C339" s="7" t="str">
        <f t="shared" si="31"/>
        <v>PremiumSS5R5only</v>
      </c>
      <c r="D339" s="96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IFERROR(VLOOKUP(B339,input_541100!L:R,7,FALSE),VLOOKUP(tables_541100!C339,input_541100!A:H,8,FALSE))</f>
        <v>6000</v>
      </c>
      <c r="P339" s="46">
        <f t="shared" ca="1" si="26"/>
        <v>1.0416666666232634E-3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input_541100!A$2</f>
        <v>541100</v>
      </c>
      <c r="B340" s="2">
        <v>1230</v>
      </c>
      <c r="C340" s="7" t="str">
        <f t="shared" si="31"/>
        <v>PremiumSS5R5only</v>
      </c>
      <c r="D340" s="96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IFERROR(VLOOKUP(B340,input_541100!L:R,7,FALSE),VLOOKUP(tables_541100!C340,input_541100!A:H,8,FALSE))</f>
        <v>6000</v>
      </c>
      <c r="P340" s="46">
        <f t="shared" ca="1" si="26"/>
        <v>1.0416666666232634E-3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input_541100!A$2</f>
        <v>541100</v>
      </c>
      <c r="B341" s="1">
        <v>1250</v>
      </c>
      <c r="C341" s="7" t="str">
        <f t="shared" ref="C341:C345" si="33">D341&amp;J341&amp;E341&amp;F341&amp;G341</f>
        <v>PremiumSS5R5only</v>
      </c>
      <c r="D341" s="96" t="str">
        <f t="shared" ref="D341:D345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IFERROR(VLOOKUP(B341,input_541100!L:R,7,FALSE),VLOOKUP(tables_541100!C341,input_541100!A:H,8,FALSE))</f>
        <v>6000</v>
      </c>
      <c r="P341" s="46">
        <f t="shared" ca="1" si="26"/>
        <v>1.0416666666232634E-3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input_541100!A$2</f>
        <v>541100</v>
      </c>
      <c r="B342" s="1">
        <v>1248</v>
      </c>
      <c r="C342" s="7" t="str">
        <f t="shared" si="33"/>
        <v>Premium4R3less</v>
      </c>
      <c r="D342" s="96" t="str">
        <f t="shared" si="34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IFERROR(VLOOKUP(B342,input_541100!L:R,7,FALSE),VLOOKUP(tables_541100!C342,input_541100!A:H,8,FALSE))</f>
        <v>47763</v>
      </c>
      <c r="P342" s="46">
        <f t="shared" ca="1" si="26"/>
        <v>8.2921874996544874E-3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input_541100!A$2</f>
        <v>541100</v>
      </c>
      <c r="B343" s="1">
        <v>1249</v>
      </c>
      <c r="C343" s="7" t="str">
        <f t="shared" si="33"/>
        <v>Premium5R3less</v>
      </c>
      <c r="D343" s="96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IFERROR(VLOOKUP(B343,input_541100!L:R,7,FALSE),VLOOKUP(tables_541100!C343,input_541100!A:H,8,FALSE))</f>
        <v>5490</v>
      </c>
      <c r="P343" s="46">
        <f t="shared" ca="1" si="26"/>
        <v>9.5312499996028598E-4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input_541100!A$2</f>
        <v>541100</v>
      </c>
      <c r="B344" s="1">
        <v>1246</v>
      </c>
      <c r="C344" s="7" t="str">
        <f t="shared" si="33"/>
        <v>PremiumSS5R5only</v>
      </c>
      <c r="D344" s="96" t="str">
        <f t="shared" si="34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IFERROR(VLOOKUP(B344,input_541100!L:R,7,FALSE),VLOOKUP(tables_541100!C344,input_541100!A:H,8,FALSE))</f>
        <v>6000</v>
      </c>
      <c r="P344" s="46">
        <f t="shared" ca="1" si="26"/>
        <v>1.0416666666232634E-3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input_541100!A$2</f>
        <v>541100</v>
      </c>
      <c r="B345" s="1">
        <v>1244</v>
      </c>
      <c r="C345" s="7" t="str">
        <f t="shared" si="33"/>
        <v>PremiumSS5R5only</v>
      </c>
      <c r="D345" s="96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IFERROR(VLOOKUP(B345,input_541100!L:R,7,FALSE),VLOOKUP(tables_541100!C345,input_541100!A:H,8,FALSE))</f>
        <v>6000</v>
      </c>
      <c r="P345" s="46">
        <f t="shared" ca="1" si="26"/>
        <v>1.0416666666232634E-3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input_541100!A$2</f>
        <v>541100</v>
      </c>
      <c r="B346" s="1">
        <v>1260</v>
      </c>
      <c r="C346" s="7" t="str">
        <f t="shared" ref="C346:C350" si="35">D346&amp;J346&amp;E346&amp;F346&amp;G346</f>
        <v>PremiumSS5R5only</v>
      </c>
      <c r="D346" s="96" t="str">
        <f t="shared" ref="D346:D350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IFERROR(VLOOKUP(B346,input_541100!L:R,7,FALSE),VLOOKUP(tables_541100!C346,input_541100!A:H,8,FALSE))</f>
        <v>6000</v>
      </c>
      <c r="P346" s="46">
        <f t="shared" ca="1" si="26"/>
        <v>1.0416666666232634E-3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input_541100!A$2</f>
        <v>541100</v>
      </c>
      <c r="B347" s="1">
        <v>1262</v>
      </c>
      <c r="C347" s="7" t="str">
        <f t="shared" si="35"/>
        <v>PremiumSS5R5only</v>
      </c>
      <c r="D347" s="96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IFERROR(VLOOKUP(B347,input_541100!L:R,7,FALSE),VLOOKUP(tables_541100!C347,input_541100!A:H,8,FALSE))</f>
        <v>6000</v>
      </c>
      <c r="P347" s="46">
        <f t="shared" ca="1" si="26"/>
        <v>1.0416666666232634E-3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input_541100!A$2</f>
        <v>541100</v>
      </c>
      <c r="B348" s="1">
        <v>1264</v>
      </c>
      <c r="C348" s="7" t="str">
        <f t="shared" si="35"/>
        <v>PremiumSS5R5only</v>
      </c>
      <c r="D348" s="96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IFERROR(VLOOKUP(B348,input_541100!L:R,7,FALSE),VLOOKUP(tables_541100!C348,input_541100!A:H,8,FALSE))</f>
        <v>6000</v>
      </c>
      <c r="P348" s="46">
        <f t="shared" ca="1" si="26"/>
        <v>1.0416666666232634E-3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input_541100!A$2</f>
        <v>541100</v>
      </c>
      <c r="B349" s="1">
        <v>1266</v>
      </c>
      <c r="C349" s="7" t="str">
        <f t="shared" si="35"/>
        <v>Premium4R3less</v>
      </c>
      <c r="D349" s="96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IFERROR(VLOOKUP(B349,input_541100!L:R,7,FALSE),VLOOKUP(tables_541100!C349,input_541100!A:H,8,FALSE))</f>
        <v>47763</v>
      </c>
      <c r="P349" s="46">
        <f t="shared" ca="1" si="26"/>
        <v>8.2921874996544874E-3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input_541100!A$2</f>
        <v>541100</v>
      </c>
      <c r="B350" s="1">
        <v>1267</v>
      </c>
      <c r="C350" s="7" t="str">
        <f t="shared" si="35"/>
        <v>Premium5R3less</v>
      </c>
      <c r="D350" s="96" t="str">
        <f t="shared" si="3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IFERROR(VLOOKUP(B350,input_541100!L:R,7,FALSE),VLOOKUP(tables_541100!C350,input_541100!A:H,8,FALSE))</f>
        <v>5490</v>
      </c>
      <c r="P350" s="46">
        <f t="shared" ca="1" si="26"/>
        <v>9.5312499996028598E-4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input_541100!A$2</f>
        <v>541100</v>
      </c>
      <c r="B351" s="99">
        <v>1332</v>
      </c>
      <c r="C351" s="7" t="str">
        <f t="shared" ref="C351:C352" si="37">D351&amp;J351&amp;E351&amp;F351&amp;G351</f>
        <v>PremiumSS5R5only</v>
      </c>
      <c r="D351" s="96" t="str">
        <f t="shared" ref="D351:D352" si="38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IFERROR(VLOOKUP(B351,input_541100!L:R,7,FALSE),VLOOKUP(tables_541100!C351,input_541100!A:H,8,FALSE))</f>
        <v>6000</v>
      </c>
      <c r="P351" s="46">
        <f t="shared" ca="1" si="26"/>
        <v>1.0416666666232634E-3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input_541100!A$2</f>
        <v>541100</v>
      </c>
      <c r="B352" s="99">
        <v>1336</v>
      </c>
      <c r="C352" s="7" t="str">
        <f t="shared" si="37"/>
        <v>PremiumSS5R5only</v>
      </c>
      <c r="D352" s="96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IFERROR(VLOOKUP(B352,input_541100!L:R,7,FALSE),VLOOKUP(tables_541100!C352,input_541100!A:H,8,FALSE))</f>
        <v>6000</v>
      </c>
      <c r="P352" s="46">
        <f t="shared" ca="1" si="26"/>
        <v>1.0416666666232634E-3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input_541100!A$2</f>
        <v>541100</v>
      </c>
      <c r="B353" s="99">
        <v>1338</v>
      </c>
      <c r="C353" s="7" t="str">
        <f t="shared" ref="C353:C357" si="39">D353&amp;J353&amp;E353&amp;F353&amp;G353</f>
        <v>PremiumSS5R5only</v>
      </c>
      <c r="D353" s="96" t="str">
        <f t="shared" ref="D353:D357" si="40">IF(OR(I353="PremiumSS",I353="PremiumSSw"),"PremiumSS",IF(I353="PremiumSSS",I353,IF(I353="PremiumW",IF(J353=5,"premium",I353),"Premium")))</f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IFERROR(VLOOKUP(B353,input_541100!L:R,7,FALSE),VLOOKUP(tables_541100!C353,input_541100!A:H,8,FALSE))</f>
        <v>6000</v>
      </c>
      <c r="P353" s="46">
        <f t="shared" ca="1" si="26"/>
        <v>1.0416666666232634E-3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input_541100!A$2</f>
        <v>541100</v>
      </c>
      <c r="B354" s="99">
        <v>1334</v>
      </c>
      <c r="C354" s="7" t="str">
        <f t="shared" si="39"/>
        <v>Premium4R3less</v>
      </c>
      <c r="D354" s="96" t="str">
        <f t="shared" si="40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IFERROR(VLOOKUP(B354,input_541100!L:R,7,FALSE),VLOOKUP(tables_541100!C354,input_541100!A:H,8,FALSE))</f>
        <v>47763</v>
      </c>
      <c r="P354" s="46">
        <f t="shared" ca="1" si="26"/>
        <v>8.2921874996544874E-3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input_541100!A$2</f>
        <v>541100</v>
      </c>
      <c r="B355" s="99">
        <v>1335</v>
      </c>
      <c r="C355" s="7" t="str">
        <f t="shared" si="39"/>
        <v>Premium5R3less</v>
      </c>
      <c r="D355" s="96" t="str">
        <f t="shared" si="40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IFERROR(VLOOKUP(B355,input_541100!L:R,7,FALSE),VLOOKUP(tables_541100!C355,input_541100!A:H,8,FALSE))</f>
        <v>5490</v>
      </c>
      <c r="P355" s="46">
        <f t="shared" ca="1" si="26"/>
        <v>9.5312499996028598E-4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input_541100!A$2</f>
        <v>541100</v>
      </c>
      <c r="B356" s="1">
        <v>410</v>
      </c>
      <c r="C356" s="7" t="str">
        <f t="shared" si="39"/>
        <v>PremiumSSS4R3less</v>
      </c>
      <c r="D356" s="96" t="str">
        <f t="shared" si="40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ファラデー</v>
      </c>
      <c r="I356" s="7" t="str">
        <f>VLOOKUP(B356,[1]characters!$A:$J,10,FALSE)</f>
        <v>PremiumSSS</v>
      </c>
      <c r="J356" s="7">
        <f>VLOOKUP(B356,[1]characters!$A:$I,9,FALSE)</f>
        <v>4</v>
      </c>
      <c r="K356" s="7" t="str">
        <f>VLOOKUP(B356,[1]characters!$A:$H,8,FALSE)</f>
        <v>yellow</v>
      </c>
      <c r="L356" s="7" t="str">
        <f>VLOOKUP(B356,[1]characters!$A:$K,11,FALSE)</f>
        <v>balance</v>
      </c>
      <c r="M356" s="7" t="str">
        <f>VLOOKUP(B356,[1]characters!$A:$M,13,FALSE)</f>
        <v>human</v>
      </c>
      <c r="N356" s="7" t="str">
        <f>VLOOKUP(B356,[1]characters!$A:$G,7,FALSE)</f>
        <v>女性</v>
      </c>
      <c r="O356" s="45">
        <f>IFERROR(VLOOKUP(B356,input_541100!L:R,7,FALSE),VLOOKUP(tables_541100!C356,input_541100!A:H,8,FALSE))</f>
        <v>25919.999999999996</v>
      </c>
      <c r="P356" s="46">
        <f t="shared" ca="1" si="26"/>
        <v>4.4999999998124969E-3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input_541100!A$2</f>
        <v>541100</v>
      </c>
      <c r="B357" s="1">
        <v>411</v>
      </c>
      <c r="C357" s="7" t="str">
        <f t="shared" si="39"/>
        <v>PremiumSSS5R3less</v>
      </c>
      <c r="D357" s="96" t="str">
        <f t="shared" si="40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電隷の始祖 ファラデー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balance</v>
      </c>
      <c r="M357" s="7" t="str">
        <f>VLOOKUP(B357,[1]characters!$A:$M,13,FALSE)</f>
        <v>human</v>
      </c>
      <c r="N357" s="7" t="str">
        <f>VLOOKUP(B357,[1]characters!$A:$G,7,FALSE)</f>
        <v>女性</v>
      </c>
      <c r="O357" s="45">
        <f>IFERROR(VLOOKUP(B357,input_541100!L:R,7,FALSE),VLOOKUP(tables_541100!C357,input_541100!A:H,8,FALSE))</f>
        <v>2880</v>
      </c>
      <c r="P357" s="46">
        <f t="shared" ca="1" si="26"/>
        <v>4.9999999997916642E-4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input_541100!A$2</f>
        <v>541100</v>
      </c>
      <c r="B358" s="1">
        <v>1348</v>
      </c>
      <c r="C358" s="7" t="str">
        <f t="shared" ref="C358" si="41">D358&amp;J358&amp;E358&amp;F358&amp;G358</f>
        <v>PremiumSSS5R3less</v>
      </c>
      <c r="D358" s="96" t="str">
        <f t="shared" ref="D358" si="42">IF(OR(I358="PremiumSS",I358="PremiumSSw"),"PremiumSS",IF(I358="PremiumSSS",I358,IF(I358="PremiumW",IF(J358=5,"premium",I358),"Premium")))</f>
        <v>PremiumSSS</v>
      </c>
      <c r="E358" s="7" t="str">
        <f>IF(COUNTIF('R6追加前'!A:A,B358)=0,IF(OR(I358="PremiumSS",I358="PremiumSSw"),"R5only","R3less"),"")</f>
        <v>R3less</v>
      </c>
      <c r="F358" s="7" t="str">
        <f>IF(COUNTIF('R6開放'!A:A,B358)&gt;0,"R6release","")</f>
        <v/>
      </c>
      <c r="G358" s="7"/>
      <c r="H358" s="7" t="str">
        <f>VLOOKUP(B358,[1]characters!$A:$C,3,FALSE)</f>
        <v>パウリR5</v>
      </c>
      <c r="I358" s="7" t="str">
        <f>VLOOKUP(B358,[1]characters!$A:$J,10,FALSE)</f>
        <v>PremiumSSS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hp</v>
      </c>
      <c r="M358" s="7" t="str">
        <f>VLOOKUP(B358,[1]characters!$A:$M,13,FALSE)</f>
        <v>academia</v>
      </c>
      <c r="N358" s="7">
        <f>VLOOKUP(B358,[1]characters!$A:$G,7,FALSE)</f>
        <v>0</v>
      </c>
      <c r="O358" s="45">
        <f>IFERROR(VLOOKUP(B358,input_541100!L:R,7,FALSE),VLOOKUP(tables_541100!C358,input_541100!A:H,8,FALSE))</f>
        <v>28800</v>
      </c>
      <c r="P358" s="46">
        <f t="shared" ca="1" si="26"/>
        <v>4.9999999997916642E-3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input_settle_541100</vt:lpstr>
      <vt:lpstr>tables_settle_541100</vt:lpstr>
      <vt:lpstr>input_541100</vt:lpstr>
      <vt:lpstr>tables_541100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2017-02-23T03:56:18Z</dcterms:modified>
</cp:coreProperties>
</file>