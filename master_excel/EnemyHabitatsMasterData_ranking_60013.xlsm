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8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wagaki/BULL_data/master_excel/"/>
    </mc:Choice>
  </mc:AlternateContent>
  <bookViews>
    <workbookView xWindow="0" yWindow="620" windowWidth="25000" windowHeight="14780" tabRatio="93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6" l="1"/>
  <c r="E25" i="16"/>
  <c r="E26" i="16"/>
  <c r="G3" i="2"/>
  <c r="A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B3" i="2"/>
  <c r="G4" i="2"/>
  <c r="A4" i="2"/>
  <c r="B4" i="2"/>
  <c r="G5" i="2"/>
  <c r="A5" i="2"/>
  <c r="B5" i="2"/>
  <c r="G6" i="2"/>
  <c r="A6" i="2"/>
  <c r="B6" i="2"/>
  <c r="G7" i="2"/>
  <c r="A7" i="2"/>
  <c r="B7" i="2"/>
  <c r="G8" i="2"/>
  <c r="A8" i="2"/>
  <c r="B8" i="2"/>
  <c r="G9" i="2"/>
  <c r="A9" i="2"/>
  <c r="B9" i="2"/>
  <c r="G10" i="2"/>
  <c r="A10" i="2"/>
  <c r="B10" i="2"/>
  <c r="G11" i="2"/>
  <c r="A11" i="2"/>
  <c r="B11" i="2"/>
  <c r="G12" i="2"/>
  <c r="A12" i="2"/>
  <c r="B12" i="2"/>
  <c r="G13" i="2"/>
  <c r="A13" i="2"/>
  <c r="B13" i="2"/>
  <c r="G14" i="2"/>
  <c r="A14" i="2"/>
  <c r="B14" i="2"/>
  <c r="G2" i="2"/>
  <c r="A2" i="2"/>
  <c r="B2" i="2"/>
  <c r="L61" i="19"/>
  <c r="K61" i="19"/>
  <c r="G61" i="19"/>
  <c r="F61" i="19"/>
  <c r="D61" i="19"/>
  <c r="C61" i="19"/>
  <c r="L60" i="19"/>
  <c r="K60" i="19"/>
  <c r="G60" i="19"/>
  <c r="F60" i="19"/>
  <c r="D60" i="19"/>
  <c r="C60" i="19"/>
  <c r="L59" i="19"/>
  <c r="K59" i="19"/>
  <c r="G59" i="19"/>
  <c r="F59" i="19"/>
  <c r="D59" i="19"/>
  <c r="C59" i="19"/>
  <c r="L58" i="19"/>
  <c r="K58" i="19"/>
  <c r="G58" i="19"/>
  <c r="F58" i="19"/>
  <c r="D58" i="19"/>
  <c r="C58" i="19"/>
  <c r="L57" i="19"/>
  <c r="K57" i="19"/>
  <c r="G57" i="19"/>
  <c r="F57" i="19"/>
  <c r="D57" i="19"/>
  <c r="C57" i="19"/>
  <c r="L56" i="19"/>
  <c r="K56" i="19"/>
  <c r="G56" i="19"/>
  <c r="F56" i="19"/>
  <c r="D56" i="19"/>
  <c r="C56" i="19"/>
  <c r="L55" i="19"/>
  <c r="K55" i="19"/>
  <c r="G55" i="19"/>
  <c r="F55" i="19"/>
  <c r="D55" i="19"/>
  <c r="C55" i="19"/>
  <c r="L54" i="19"/>
  <c r="K54" i="19"/>
  <c r="G54" i="19"/>
  <c r="F54" i="19"/>
  <c r="D54" i="19"/>
  <c r="C54" i="19"/>
  <c r="L53" i="19"/>
  <c r="K53" i="19"/>
  <c r="G53" i="19"/>
  <c r="F53" i="19"/>
  <c r="D53" i="19"/>
  <c r="C53" i="19"/>
  <c r="L52" i="19"/>
  <c r="K52" i="19"/>
  <c r="G52" i="19"/>
  <c r="F52" i="19"/>
  <c r="D52" i="19"/>
  <c r="C52" i="19"/>
  <c r="L51" i="19"/>
  <c r="K51" i="19"/>
  <c r="G51" i="19"/>
  <c r="F51" i="19"/>
  <c r="D51" i="19"/>
  <c r="C51" i="19"/>
  <c r="L50" i="19"/>
  <c r="K50" i="19"/>
  <c r="G50" i="19"/>
  <c r="F50" i="19"/>
  <c r="D50" i="19"/>
  <c r="C50" i="19"/>
  <c r="L49" i="19"/>
  <c r="K49" i="19"/>
  <c r="G49" i="19"/>
  <c r="F49" i="19"/>
  <c r="D49" i="19"/>
  <c r="C49" i="19"/>
  <c r="L48" i="19"/>
  <c r="K48" i="19"/>
  <c r="G48" i="19"/>
  <c r="F48" i="19"/>
  <c r="D48" i="19"/>
  <c r="C48" i="19"/>
  <c r="L47" i="19"/>
  <c r="K47" i="19"/>
  <c r="G47" i="19"/>
  <c r="F47" i="19"/>
  <c r="D47" i="19"/>
  <c r="C47" i="19"/>
  <c r="L46" i="19"/>
  <c r="K46" i="19"/>
  <c r="G46" i="19"/>
  <c r="F46" i="19"/>
  <c r="D46" i="19"/>
  <c r="C46" i="19"/>
  <c r="L45" i="19"/>
  <c r="K45" i="19"/>
  <c r="G45" i="19"/>
  <c r="F45" i="19"/>
  <c r="D45" i="19"/>
  <c r="C45" i="19"/>
  <c r="L44" i="19"/>
  <c r="K44" i="19"/>
  <c r="G44" i="19"/>
  <c r="F44" i="19"/>
  <c r="D44" i="19"/>
  <c r="C44" i="19"/>
  <c r="L43" i="19"/>
  <c r="K43" i="19"/>
  <c r="G43" i="19"/>
  <c r="F43" i="19"/>
  <c r="D43" i="19"/>
  <c r="C43" i="19"/>
  <c r="L42" i="19"/>
  <c r="K42" i="19"/>
  <c r="G42" i="19"/>
  <c r="F42" i="19"/>
  <c r="D42" i="19"/>
  <c r="C42" i="19"/>
  <c r="L41" i="19"/>
  <c r="K41" i="19"/>
  <c r="G41" i="19"/>
  <c r="F41" i="19"/>
  <c r="D41" i="19"/>
  <c r="C41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J27" i="11"/>
  <c r="O27" i="9"/>
  <c r="J26" i="11"/>
  <c r="O26" i="9"/>
  <c r="J25" i="11"/>
  <c r="O25" i="9"/>
  <c r="J24" i="11"/>
  <c r="O24" i="9"/>
  <c r="J23" i="11"/>
  <c r="O23" i="9"/>
  <c r="J22" i="11"/>
  <c r="O22" i="9"/>
  <c r="J21" i="11"/>
  <c r="O21" i="9"/>
  <c r="J20" i="11"/>
  <c r="O20" i="9"/>
  <c r="J19" i="11"/>
  <c r="O19" i="9"/>
  <c r="J18" i="11"/>
  <c r="O18" i="9"/>
  <c r="J17" i="11"/>
  <c r="O17" i="9"/>
  <c r="J16" i="11"/>
  <c r="O16" i="9"/>
  <c r="J15" i="11"/>
  <c r="O15" i="9"/>
  <c r="J14" i="11"/>
  <c r="O14" i="9"/>
  <c r="J13" i="11"/>
  <c r="O13" i="9"/>
  <c r="J11" i="11"/>
  <c r="O12" i="9"/>
  <c r="J10" i="11"/>
  <c r="O11" i="9"/>
  <c r="J29" i="11"/>
  <c r="O10" i="9"/>
  <c r="J8" i="11"/>
  <c r="O9" i="9"/>
  <c r="J7" i="11"/>
  <c r="O8" i="9"/>
  <c r="J6" i="11"/>
  <c r="O7" i="9"/>
  <c r="O6" i="9"/>
  <c r="J5" i="11"/>
  <c r="O5" i="9"/>
  <c r="J4" i="11"/>
  <c r="O4" i="9"/>
  <c r="J3" i="11"/>
  <c r="O3" i="9"/>
  <c r="J2" i="11"/>
  <c r="O2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3" i="9"/>
  <c r="L2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J30" i="11"/>
  <c r="J28" i="11"/>
  <c r="J12" i="11"/>
  <c r="J9" i="1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R6" i="7"/>
  <c r="Q6" i="7"/>
  <c r="P6" i="7"/>
  <c r="O6" i="7"/>
  <c r="N6" i="7"/>
  <c r="H6" i="7"/>
  <c r="D6" i="7"/>
  <c r="F6" i="7"/>
  <c r="E6" i="7"/>
  <c r="A6" i="7"/>
  <c r="R5" i="7"/>
  <c r="Q5" i="7"/>
  <c r="P5" i="7"/>
  <c r="O5" i="7"/>
  <c r="N5" i="7"/>
  <c r="H5" i="7"/>
  <c r="D5" i="7"/>
  <c r="F5" i="7"/>
  <c r="E5" i="7"/>
  <c r="A5" i="7"/>
  <c r="R4" i="7"/>
  <c r="Q4" i="7"/>
  <c r="P4" i="7"/>
  <c r="O4" i="7"/>
  <c r="N4" i="7"/>
  <c r="H4" i="7"/>
  <c r="D4" i="7"/>
  <c r="F4" i="7"/>
  <c r="E4" i="7"/>
  <c r="A4" i="7"/>
  <c r="R3" i="7"/>
  <c r="Q3" i="7"/>
  <c r="P3" i="7"/>
  <c r="O3" i="7"/>
  <c r="N3" i="7"/>
  <c r="H3" i="7"/>
  <c r="D3" i="7"/>
  <c r="F3" i="7"/>
  <c r="E3" i="7"/>
  <c r="A3" i="7"/>
  <c r="R2" i="7"/>
  <c r="Q2" i="7"/>
  <c r="P2" i="7"/>
  <c r="O2" i="7"/>
  <c r="N2" i="7"/>
  <c r="H2" i="7"/>
  <c r="D2" i="7"/>
  <c r="F2" i="7"/>
  <c r="E2" i="7"/>
  <c r="A2" i="7"/>
  <c r="AB32" i="1"/>
  <c r="AD32" i="1"/>
  <c r="AG32" i="1"/>
  <c r="AE32" i="1"/>
  <c r="AC32" i="1"/>
  <c r="Q32" i="1"/>
  <c r="P32" i="1"/>
  <c r="O32" i="1"/>
  <c r="N32" i="1"/>
  <c r="M32" i="1"/>
  <c r="D32" i="1"/>
  <c r="F32" i="1"/>
  <c r="E32" i="1"/>
  <c r="A32" i="1"/>
  <c r="AB31" i="1"/>
  <c r="AD31" i="1"/>
  <c r="AG31" i="1"/>
  <c r="AE31" i="1"/>
  <c r="AC31" i="1"/>
  <c r="Q31" i="1"/>
  <c r="P31" i="1"/>
  <c r="O31" i="1"/>
  <c r="N31" i="1"/>
  <c r="M31" i="1"/>
  <c r="D31" i="1"/>
  <c r="F31" i="1"/>
  <c r="E31" i="1"/>
  <c r="A31" i="1"/>
  <c r="AB30" i="1"/>
  <c r="AD30" i="1"/>
  <c r="AG30" i="1"/>
  <c r="AE30" i="1"/>
  <c r="AC30" i="1"/>
  <c r="Q30" i="1"/>
  <c r="P30" i="1"/>
  <c r="O30" i="1"/>
  <c r="N30" i="1"/>
  <c r="M30" i="1"/>
  <c r="D30" i="1"/>
  <c r="F30" i="1"/>
  <c r="E30" i="1"/>
  <c r="A30" i="1"/>
  <c r="AB29" i="1"/>
  <c r="AD29" i="1"/>
  <c r="AG29" i="1"/>
  <c r="AE29" i="1"/>
  <c r="AC29" i="1"/>
  <c r="Q29" i="1"/>
  <c r="P29" i="1"/>
  <c r="O29" i="1"/>
  <c r="N29" i="1"/>
  <c r="M29" i="1"/>
  <c r="D29" i="1"/>
  <c r="F29" i="1"/>
  <c r="E29" i="1"/>
  <c r="A29" i="1"/>
  <c r="AB28" i="1"/>
  <c r="AD28" i="1"/>
  <c r="AG28" i="1"/>
  <c r="AE28" i="1"/>
  <c r="AC28" i="1"/>
  <c r="Q28" i="1"/>
  <c r="P28" i="1"/>
  <c r="O28" i="1"/>
  <c r="N28" i="1"/>
  <c r="M28" i="1"/>
  <c r="D28" i="1"/>
  <c r="F28" i="1"/>
  <c r="E28" i="1"/>
  <c r="A28" i="1"/>
  <c r="AB27" i="1"/>
  <c r="AD27" i="1"/>
  <c r="AG27" i="1"/>
  <c r="AE27" i="1"/>
  <c r="AC27" i="1"/>
  <c r="Q27" i="1"/>
  <c r="P27" i="1"/>
  <c r="O27" i="1"/>
  <c r="N27" i="1"/>
  <c r="M27" i="1"/>
  <c r="D27" i="1"/>
  <c r="F27" i="1"/>
  <c r="E27" i="1"/>
  <c r="A27" i="1"/>
  <c r="AB26" i="1"/>
  <c r="AD26" i="1"/>
  <c r="AG26" i="1"/>
  <c r="AE26" i="1"/>
  <c r="AC26" i="1"/>
  <c r="Q26" i="1"/>
  <c r="P26" i="1"/>
  <c r="O26" i="1"/>
  <c r="N26" i="1"/>
  <c r="M26" i="1"/>
  <c r="D26" i="1"/>
  <c r="F26" i="1"/>
  <c r="E26" i="1"/>
  <c r="A26" i="1"/>
  <c r="AB25" i="1"/>
  <c r="AD25" i="1"/>
  <c r="AG25" i="1"/>
  <c r="AE25" i="1"/>
  <c r="AC25" i="1"/>
  <c r="Q25" i="1"/>
  <c r="P25" i="1"/>
  <c r="O25" i="1"/>
  <c r="N25" i="1"/>
  <c r="M25" i="1"/>
  <c r="D25" i="1"/>
  <c r="F25" i="1"/>
  <c r="E25" i="1"/>
  <c r="A25" i="1"/>
  <c r="AB24" i="1"/>
  <c r="AD24" i="1"/>
  <c r="AG24" i="1"/>
  <c r="AE24" i="1"/>
  <c r="AC24" i="1"/>
  <c r="Q24" i="1"/>
  <c r="P24" i="1"/>
  <c r="O24" i="1"/>
  <c r="N24" i="1"/>
  <c r="M24" i="1"/>
  <c r="D24" i="1"/>
  <c r="F24" i="1"/>
  <c r="E24" i="1"/>
  <c r="A24" i="1"/>
  <c r="AB23" i="1"/>
  <c r="AD23" i="1"/>
  <c r="AG23" i="1"/>
  <c r="AE23" i="1"/>
  <c r="AC23" i="1"/>
  <c r="Q23" i="1"/>
  <c r="P23" i="1"/>
  <c r="O23" i="1"/>
  <c r="N23" i="1"/>
  <c r="M23" i="1"/>
  <c r="D23" i="1"/>
  <c r="F23" i="1"/>
  <c r="E23" i="1"/>
  <c r="A23" i="1"/>
  <c r="AB22" i="1"/>
  <c r="AD22" i="1"/>
  <c r="AG22" i="1"/>
  <c r="AE22" i="1"/>
  <c r="AC22" i="1"/>
  <c r="Q22" i="1"/>
  <c r="P22" i="1"/>
  <c r="O22" i="1"/>
  <c r="N22" i="1"/>
  <c r="M22" i="1"/>
  <c r="D22" i="1"/>
  <c r="F22" i="1"/>
  <c r="E22" i="1"/>
  <c r="A22" i="1"/>
  <c r="AB21" i="1"/>
  <c r="AD21" i="1"/>
  <c r="AG21" i="1"/>
  <c r="AE21" i="1"/>
  <c r="AC21" i="1"/>
  <c r="AA21" i="1"/>
  <c r="Q21" i="1"/>
  <c r="P21" i="1"/>
  <c r="O21" i="1"/>
  <c r="N21" i="1"/>
  <c r="M21" i="1"/>
  <c r="D21" i="1"/>
  <c r="F21" i="1"/>
  <c r="E21" i="1"/>
  <c r="A21" i="1"/>
  <c r="AB20" i="1"/>
  <c r="AD20" i="1"/>
  <c r="AG20" i="1"/>
  <c r="AE20" i="1"/>
  <c r="AC20" i="1"/>
  <c r="Q20" i="1"/>
  <c r="P20" i="1"/>
  <c r="O20" i="1"/>
  <c r="N20" i="1"/>
  <c r="M20" i="1"/>
  <c r="D20" i="1"/>
  <c r="F20" i="1"/>
  <c r="E20" i="1"/>
  <c r="A20" i="1"/>
  <c r="AB19" i="1"/>
  <c r="AD19" i="1"/>
  <c r="AG19" i="1"/>
  <c r="AE19" i="1"/>
  <c r="AC19" i="1"/>
  <c r="Q19" i="1"/>
  <c r="P19" i="1"/>
  <c r="O19" i="1"/>
  <c r="N19" i="1"/>
  <c r="M19" i="1"/>
  <c r="D19" i="1"/>
  <c r="F19" i="1"/>
  <c r="E19" i="1"/>
  <c r="A19" i="1"/>
  <c r="AB18" i="1"/>
  <c r="AD18" i="1"/>
  <c r="AG18" i="1"/>
  <c r="AE18" i="1"/>
  <c r="AC18" i="1"/>
  <c r="Q18" i="1"/>
  <c r="P18" i="1"/>
  <c r="O18" i="1"/>
  <c r="N18" i="1"/>
  <c r="M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D17" i="1"/>
  <c r="F17" i="1"/>
  <c r="E17" i="1"/>
  <c r="A17" i="1"/>
  <c r="AB16" i="1"/>
  <c r="AD16" i="1"/>
  <c r="AG16" i="1"/>
  <c r="AE16" i="1"/>
  <c r="AC16" i="1"/>
  <c r="Q16" i="1"/>
  <c r="P16" i="1"/>
  <c r="O16" i="1"/>
  <c r="N16" i="1"/>
  <c r="M16" i="1"/>
  <c r="D16" i="1"/>
  <c r="F16" i="1"/>
  <c r="E16" i="1"/>
  <c r="A16" i="1"/>
  <c r="AB15" i="1"/>
  <c r="AD15" i="1"/>
  <c r="AG15" i="1"/>
  <c r="AE15" i="1"/>
  <c r="AC15" i="1"/>
  <c r="Q15" i="1"/>
  <c r="P15" i="1"/>
  <c r="O15" i="1"/>
  <c r="N15" i="1"/>
  <c r="M15" i="1"/>
  <c r="D15" i="1"/>
  <c r="F15" i="1"/>
  <c r="E15" i="1"/>
  <c r="A15" i="1"/>
  <c r="AB14" i="1"/>
  <c r="AD14" i="1"/>
  <c r="AG14" i="1"/>
  <c r="AE14" i="1"/>
  <c r="AC14" i="1"/>
  <c r="Q14" i="1"/>
  <c r="P14" i="1"/>
  <c r="O14" i="1"/>
  <c r="N14" i="1"/>
  <c r="M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D12" i="1"/>
  <c r="F12" i="1"/>
  <c r="E12" i="1"/>
  <c r="A12" i="1"/>
  <c r="AB11" i="1"/>
  <c r="AD11" i="1"/>
  <c r="AG11" i="1"/>
  <c r="AE11" i="1"/>
  <c r="AC11" i="1"/>
  <c r="AA11" i="1"/>
  <c r="Q11" i="1"/>
  <c r="P11" i="1"/>
  <c r="O11" i="1"/>
  <c r="N11" i="1"/>
  <c r="M11" i="1"/>
  <c r="D11" i="1"/>
  <c r="F11" i="1"/>
  <c r="E11" i="1"/>
  <c r="A11" i="1"/>
  <c r="AB10" i="1"/>
  <c r="AD10" i="1"/>
  <c r="AG10" i="1"/>
  <c r="AE10" i="1"/>
  <c r="AC10" i="1"/>
  <c r="Q10" i="1"/>
  <c r="P10" i="1"/>
  <c r="O10" i="1"/>
  <c r="N10" i="1"/>
  <c r="M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D2" i="1"/>
  <c r="F2" i="1"/>
  <c r="E2" i="1"/>
  <c r="A2" i="1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E4" i="24"/>
  <c r="F4" i="24"/>
  <c r="C4" i="24"/>
  <c r="B4" i="24"/>
  <c r="E3" i="24"/>
  <c r="F3" i="24"/>
  <c r="C3" i="24"/>
  <c r="B3" i="24"/>
  <c r="E2" i="24"/>
  <c r="F2" i="24"/>
  <c r="C2" i="24"/>
  <c r="B2" i="24"/>
  <c r="H14" i="2"/>
  <c r="E14" i="2"/>
  <c r="D14" i="2"/>
  <c r="H13" i="2"/>
  <c r="E13" i="2"/>
  <c r="D13" i="2"/>
  <c r="H12" i="2"/>
  <c r="E12" i="2"/>
  <c r="D12" i="2"/>
  <c r="H11" i="2"/>
  <c r="E11" i="2"/>
  <c r="D11" i="2"/>
  <c r="H10" i="2"/>
  <c r="E10" i="2"/>
  <c r="D10" i="2"/>
  <c r="E8" i="16"/>
  <c r="E9" i="16"/>
  <c r="E5" i="16"/>
  <c r="E6" i="16"/>
  <c r="E7" i="16"/>
  <c r="E4" i="16"/>
  <c r="E23" i="16"/>
  <c r="E22" i="16"/>
  <c r="E20" i="16"/>
  <c r="E21" i="16"/>
  <c r="E3" i="16"/>
  <c r="E19" i="16"/>
  <c r="E18" i="16"/>
  <c r="E17" i="16"/>
  <c r="E16" i="16"/>
  <c r="E15" i="16"/>
  <c r="E14" i="16"/>
  <c r="E13" i="16"/>
  <c r="E12" i="16"/>
  <c r="E11" i="16"/>
  <c r="E10" i="16"/>
  <c r="E2" i="16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<sst xmlns="http://schemas.openxmlformats.org/spreadsheetml/2006/main" count="1323" uniqueCount="487">
  <si>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</si>
  <si>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</si>
  <si>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</si>
  <si>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</si>
  <si>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</si>
  <si>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</si>
  <si>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</si>
  <si>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</si>
  <si>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</si>
  <si>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</si>
  <si>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</si>
  <si>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</si>
  <si>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</si>
  <si>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</si>
  <si>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</si>
  <si>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</si>
  <si>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</si>
  <si>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</si>
  <si>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</si>
  <si>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</si>
  <si>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</si>
  <si>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</si>
  <si>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</si>
  <si>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</si>
  <si>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</si>
  <si>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</si>
  <si>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</si>
  <si>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</si>
  <si>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</si>
  <si>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</si>
  <si>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</si>
  <si>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</si>
  <si>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</si>
  <si>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</si>
  <si>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</si>
  <si>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</si>
  <si>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</si>
  <si>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</si>
  <si>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</si>
  <si>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</si>
  <si>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</si>
  <si>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</si>
  <si>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</si>
  <si>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</si>
  <si>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</si>
  <si>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</si>
  <si>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</si>
  <si>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</si>
  <si>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</si>
  <si>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</si>
  <si>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</si>
  <si>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</si>
  <si>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</si>
  <si>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</si>
  <si>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</si>
  <si>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</si>
  <si>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</si>
  <si>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</si>
  <si>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</si>
  <si>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</si>
  <si>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</si>
  <si>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</si>
  <si>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</si>
  <si>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</si>
  <si>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</si>
  <si>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</si>
  <si>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</si>
  <si>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</si>
  <si>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</si>
  <si>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</si>
  <si>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</si>
  <si>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</si>
  <si>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</si>
  <si>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</si>
  <si>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</si>
  <si>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</si>
  <si>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</si>
  <si>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</si>
  <si>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</si>
  <si>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</si>
  <si>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</si>
  <si>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</si>
  <si>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</si>
  <si>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</si>
  <si>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</si>
  <si>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</si>
  <si>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</si>
  <si>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</si>
  <si>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</si>
  <si>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</si>
  <si>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</si>
  <si>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</si>
  <si>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</si>
  <si>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</si>
  <si>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</si>
  <si>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</si>
  <si>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</si>
  <si>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</si>
  <si>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</si>
  <si>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</si>
  <si>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</si>
  <si>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</si>
  <si>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</si>
  <si>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</si>
  <si>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</si>
  <si>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</si>
  <si>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</si>
  <si>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</si>
  <si>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</si>
  <si>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</si>
  <si>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</si>
  <si>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</si>
  <si>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</si>
  <si>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</si>
  <si>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</si>
  <si>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</si>
  <si>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</si>
  <si>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</si>
  <si>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</si>
  <si>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</si>
  <si>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</si>
  <si>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</si>
  <si>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</si>
  <si>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</si>
  <si>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</si>
  <si>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</si>
  <si>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</si>
  <si>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</si>
  <si>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</si>
  <si>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</si>
  <si>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</si>
  <si>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</si>
  <si>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</si>
  <si>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</si>
  <si>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</si>
  <si>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</si>
  <si>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</si>
  <si>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</si>
  <si>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</si>
  <si>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</si>
  <si>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</si>
  <si>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</si>
  <si>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</si>
  <si>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</si>
  <si>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</si>
  <si>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</si>
  <si>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</si>
  <si>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</si>
  <si>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</si>
  <si>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</si>
  <si>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</si>
  <si>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</si>
  <si>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</si>
  <si>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</si>
  <si>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</si>
  <si>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</si>
  <si>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</si>
  <si>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</si>
  <si>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</si>
  <si>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</si>
  <si>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</si>
  <si>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</si>
  <si>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</si>
  <si>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</si>
  <si>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</si>
  <si>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null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</si>
  <si>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</si>
  <si>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</si>
  <si>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</si>
  <si>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</si>
  <si>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</si>
  <si>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</si>
  <si>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</si>
  <si>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</si>
  <si>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</si>
  <si>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</si>
  <si>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</si>
  <si>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</si>
  <si>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</si>
  <si>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</si>
  <si>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</si>
  <si>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</si>
  <si>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</si>
  <si>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</si>
  <si>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</si>
  <si>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</si>
  <si>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</si>
  <si>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</si>
  <si>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</si>
  <si>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</si>
  <si>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</si>
  <si>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complete</t>
  </si>
  <si>
    <t>stage_hints_data_c_</t>
    <phoneticPr fontId="8"/>
  </si>
  <si>
    <t>stage_hints_data_f_</t>
    <phoneticPr fontId="8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</si>
  <si>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</si>
  <si>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</si>
  <si>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</si>
  <si>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</si>
  <si>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</si>
  <si>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</si>
  <si>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</si>
  <si>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stage_hints_failure</t>
    <phoneticPr fontId="8"/>
  </si>
  <si>
    <t>stage_hints_failure</t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</si>
  <si>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</si>
  <si>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</si>
  <si>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</si>
  <si>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</si>
  <si>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</si>
  <si>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</si>
  <si>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</si>
  <si>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</si>
  <si>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</si>
  <si>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</si>
  <si>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</si>
  <si>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</si>
  <si>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</si>
  <si>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</si>
  <si>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</si>
  <si>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</si>
  <si>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</si>
  <si>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</si>
  <si>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</si>
  <si>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</si>
  <si>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</si>
  <si>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</si>
  <si>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</si>
  <si>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</si>
  <si>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</si>
  <si>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</si>
  <si>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</si>
  <si>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</si>
  <si>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</si>
  <si>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</si>
  <si>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</si>
  <si>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</si>
  <si>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</si>
  <si>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</si>
  <si>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</si>
  <si>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</si>
  <si>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</si>
  <si>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</si>
  <si>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</si>
  <si>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</si>
  <si>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</si>
  <si>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</si>
  <si>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</si>
  <si>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</si>
  <si>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</si>
  <si>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</si>
  <si>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ja</t>
    <phoneticPr fontId="8"/>
  </si>
  <si>
    <t>ranking_eval_data_</t>
    <phoneticPr fontId="8"/>
  </si>
  <si>
    <t>ranking_eval_i18n_</t>
    <phoneticPr fontId="8"/>
  </si>
  <si>
    <t>ranking_eval</t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</si>
  <si>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</si>
  <si>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</si>
  <si>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</si>
  <si>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</si>
  <si>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</si>
  <si>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</si>
  <si>
    <t>skill_level</t>
    <phoneticPr fontId="8"/>
  </si>
  <si>
    <t>bug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</si>
  <si>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</si>
  <si>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</si>
  <si>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</si>
  <si>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</si>
  <si>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ja</t>
    <phoneticPr fontId="10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</si>
  <si>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</si>
  <si>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</si>
  <si>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</si>
  <si>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</si>
  <si>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</si>
  <si>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</si>
  <si>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</si>
  <si>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</si>
  <si>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</si>
  <si>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</si>
  <si>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</si>
  <si>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</si>
  <si>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</si>
  <si>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</si>
  <si>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</si>
  <si>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</si>
  <si>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</si>
  <si>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</si>
  <si>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</si>
  <si>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</si>
  <si>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</si>
  <si>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</si>
  <si>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</si>
  <si>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</si>
  <si>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</si>
  <si>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</si>
  <si>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</si>
  <si>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</si>
  <si>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</si>
  <si>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</si>
  <si>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</si>
  <si>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</si>
  <si>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</si>
  <si>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</si>
  <si>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</si>
  <si>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</si>
  <si>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</si>
  <si>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</si>
  <si>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</si>
  <si>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</si>
  <si>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</si>
  <si>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</si>
  <si>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</si>
  <si>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</si>
  <si>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</si>
  <si>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</si>
  <si>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</si>
  <si>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</si>
  <si>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</si>
  <si>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</si>
  <si>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</si>
  <si>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item</t>
    <phoneticPr fontId="10"/>
  </si>
  <si>
    <t>ランキングクエスト報酬</t>
    <rPh sb="9" eb="11">
      <t>ホウシュウ</t>
    </rPh>
    <phoneticPr fontId="10"/>
  </si>
  <si>
    <t>オイラーチャレンジ
順位報酬</t>
    <rPh sb="10" eb="12">
      <t>ジュンイ</t>
    </rPh>
    <rPh sb="12" eb="14">
      <t>ホウシュウ</t>
    </rPh>
    <phoneticPr fontId="10"/>
  </si>
  <si>
    <t>item</t>
    <phoneticPr fontId="10"/>
  </si>
  <si>
    <t>ja</t>
    <phoneticPr fontId="10"/>
  </si>
  <si>
    <t>polygon</t>
    <phoneticPr fontId="10"/>
  </si>
  <si>
    <t>null</t>
    <phoneticPr fontId="8"/>
  </si>
  <si>
    <t>ja</t>
    <phoneticPr fontId="10"/>
  </si>
  <si>
    <t>ポリゴン×10</t>
    <phoneticPr fontId="10"/>
  </si>
  <si>
    <t>unit</t>
    <phoneticPr fontId="10"/>
  </si>
  <si>
    <t>ja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</si>
  <si>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</si>
  <si>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</si>
  <si>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</si>
  <si>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polygon</t>
    <phoneticPr fontId="10"/>
  </si>
  <si>
    <t>ポリゴン×5</t>
    <phoneticPr fontId="10"/>
  </si>
  <si>
    <t>unit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</si>
  <si>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</si>
  <si>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</si>
  <si>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</si>
  <si>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</si>
  <si>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</si>
  <si>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</si>
  <si>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</si>
  <si>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</si>
  <si>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link</t>
    <phoneticPr fontId="10"/>
  </si>
  <si>
    <t>2000リンク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</si>
  <si>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</si>
  <si>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</si>
  <si>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</si>
  <si>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</si>
  <si>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ポリゴン×3</t>
    <phoneticPr fontId="10"/>
  </si>
  <si>
    <t>bit</t>
    <phoneticPr fontId="10"/>
  </si>
  <si>
    <t>20万ビット</t>
    <rPh sb="2" eb="3">
      <t>マン</t>
    </rPh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</si>
  <si>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</si>
  <si>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</si>
  <si>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</si>
  <si>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</si>
  <si>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10万ビット</t>
    <rPh sb="2" eb="3">
      <t>マン</t>
    </rPh>
    <phoneticPr fontId="10"/>
  </si>
  <si>
    <t>null</t>
    <phoneticPr fontId="8"/>
  </si>
  <si>
    <t>null</t>
    <phoneticPr fontId="8"/>
  </si>
  <si>
    <t>null</t>
    <phoneticPr fontId="8"/>
  </si>
  <si>
    <t>null</t>
    <phoneticPr fontId="8"/>
  </si>
  <si>
    <t xml:space="preserve">[effect:kamikaze, val:0.4]    </t>
    <phoneticPr fontId="8"/>
  </si>
  <si>
    <t>自爆</t>
    <rPh sb="0" eb="2">
      <t>ジバク</t>
    </rPh>
    <phoneticPr fontId="8"/>
  </si>
  <si>
    <t>全体に自爆攻撃！</t>
    <rPh sb="0" eb="2">
      <t>ゼンタイ</t>
    </rPh>
    <phoneticPr fontId="8"/>
  </si>
  <si>
    <t>[effect:nothing]</t>
    <phoneticPr fontId="8"/>
  </si>
  <si>
    <t>ガガ…ピー！</t>
    <phoneticPr fontId="8"/>
  </si>
  <si>
    <t>今にもスパークしそうだ！</t>
    <rPh sb="0" eb="1">
      <t>イマ</t>
    </rPh>
    <phoneticPr fontId="8"/>
  </si>
  <si>
    <t xml:space="preserve">[effect:spread, val:0.3]    </t>
    <phoneticPr fontId="8"/>
  </si>
  <si>
    <t>出力全開だニャ！</t>
    <phoneticPr fontId="8"/>
  </si>
  <si>
    <t>全体攻撃</t>
    <rPh sb="0" eb="4">
      <t>ゼンタイコウゲキ</t>
    </rPh>
    <phoneticPr fontId="8"/>
  </si>
  <si>
    <t>[effect:force_change_block, new_block:time_bomb, target:block_all, ignore:crash, ignore02:jammer, count:15, val:0.2, min_time_count:3, max_time_count:3, animation:change_block]</t>
    <phoneticPr fontId="8"/>
  </si>
  <si>
    <t>こいつの凄さを見せてやるニャ！</t>
    <phoneticPr fontId="8"/>
  </si>
  <si>
    <t>時限式ダメージパネル15個生成</t>
    <rPh sb="0" eb="3">
      <t>ジg</t>
    </rPh>
    <rPh sb="12" eb="13">
      <t>コ</t>
    </rPh>
    <rPh sb="13" eb="15">
      <t>セ</t>
    </rPh>
    <phoneticPr fontId="8"/>
  </si>
  <si>
    <t>[effect:break_attack_fix, val:0, lowest_val:2000, count:-1, block:block_red, target:unit_all]</t>
    <phoneticPr fontId="8"/>
  </si>
  <si>
    <t>必殺の一撃だニャ！</t>
    <phoneticPr fontId="8"/>
  </si>
  <si>
    <t>赤パネル吸収攻撃</t>
    <rPh sb="0" eb="1">
      <t>アカ</t>
    </rPh>
    <rPh sb="4" eb="6">
      <t>キュウシュウ</t>
    </rPh>
    <rPh sb="6" eb="8">
      <t>コウゲキ</t>
    </rPh>
    <phoneticPr fontId="8"/>
  </si>
  <si>
    <t>エネルギーチャージだニャ！</t>
    <phoneticPr fontId="8"/>
  </si>
  <si>
    <t>次のターン強力な攻撃</t>
    <rPh sb="0" eb="1">
      <t>ツギ</t>
    </rPh>
    <rPh sb="5" eb="7">
      <t>キョウリョク</t>
    </rPh>
    <rPh sb="8" eb="10">
      <t>コウゲキ</t>
    </rPh>
    <phoneticPr fontId="8"/>
  </si>
  <si>
    <t>[effect:critical, val:1.5]</t>
    <phoneticPr fontId="8"/>
  </si>
  <si>
    <t>突撃だニャー！</t>
    <phoneticPr fontId="8"/>
  </si>
  <si>
    <t>強力な攻撃！</t>
    <rPh sb="0" eb="2">
      <t>キョウリョク</t>
    </rPh>
    <rPh sb="3" eb="5">
      <t>コウゲキ</t>
    </rPh>
    <phoneticPr fontId="8"/>
  </si>
  <si>
    <t xml:space="preserve">[effect:enhance_enemy, target:enemy_all, turn:5, status:attack, val:0.5, calc:mul, animation:enemy_enhance_attack]    </t>
    <phoneticPr fontId="8"/>
  </si>
  <si>
    <t>追い払ってやるゼェ！</t>
    <rPh sb="0" eb="1">
      <t>オイハラッt</t>
    </rPh>
    <phoneticPr fontId="8"/>
  </si>
  <si>
    <t>5ターン攻撃力UP</t>
    <phoneticPr fontId="8"/>
  </si>
  <si>
    <t xml:space="preserve">[effect:enhance_enemy, target:enemy_all, turn:3, status:defense, val:5000, calc:add, animation:enemy_enhance_defense]    </t>
    <phoneticPr fontId="8"/>
  </si>
  <si>
    <t>オトリになるのは得意だゼェ！</t>
    <rPh sb="8" eb="10">
      <t>tokuidaze</t>
    </rPh>
    <phoneticPr fontId="8"/>
  </si>
  <si>
    <t>3ターン防御力UP</t>
    <rPh sb="4" eb="6">
      <t>ボウギョ</t>
    </rPh>
    <phoneticPr fontId="8"/>
  </si>
  <si>
    <t xml:space="preserve">[effect:nothing]    </t>
    <phoneticPr fontId="8"/>
  </si>
  <si>
    <t>ギュイイーン</t>
  </si>
  <si>
    <t>次のターン強力な攻撃</t>
    <phoneticPr fontId="8"/>
  </si>
  <si>
    <t>[effect:critical, val:1.35]</t>
    <phoneticPr fontId="8"/>
  </si>
  <si>
    <t>タオス！タオス！</t>
  </si>
  <si>
    <t>強力な攻撃！</t>
  </si>
  <si>
    <t xml:space="preserve">[effect:freq_turn, target:myself, turn:3, val:2, animation:enemy_freq_turn]    </t>
    <phoneticPr fontId="8"/>
  </si>
  <si>
    <t>ja</t>
    <phoneticPr fontId="8"/>
  </si>
  <si>
    <t>リミッターカイジョ！</t>
  </si>
  <si>
    <t>3ターン攻撃頻度が2ターンにUP</t>
    <phoneticPr fontId="8"/>
  </si>
  <si>
    <t xml:space="preserve">[effect:tolerance, target:myself, turn:-1, tolerance_effect:sleep, count:-1],[effect:tolerance,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t>
    <phoneticPr fontId="8"/>
  </si>
  <si>
    <t>ja</t>
    <phoneticPr fontId="8"/>
  </si>
  <si>
    <t>あなたは[player_ranking_grade]の挑戦者ね！</t>
    <phoneticPr fontId="8"/>
  </si>
  <si>
    <t>それじゃ　早速いくわよ♪</t>
    <rPh sb="5" eb="7">
      <t>サッソク</t>
    </rPh>
    <phoneticPr fontId="8"/>
  </si>
  <si>
    <t xml:space="preserve">[effect:rush, count:1, val:1]    </t>
    <phoneticPr fontId="8"/>
  </si>
  <si>
    <t>いくわよ！</t>
    <phoneticPr fontId="8"/>
  </si>
  <si>
    <t>何かを試されているようだ</t>
    <phoneticPr fontId="8"/>
  </si>
  <si>
    <t xml:space="preserve">[effect:rush, count:5, val:0.25]    </t>
    <phoneticPr fontId="8"/>
  </si>
  <si>
    <t>ja</t>
    <phoneticPr fontId="8"/>
  </si>
  <si>
    <t>これならどうかしら？</t>
    <phoneticPr fontId="8"/>
  </si>
  <si>
    <t>5回連続攻撃</t>
    <phoneticPr fontId="8"/>
  </si>
  <si>
    <t>[effect:spread, val:0.35]</t>
    <phoneticPr fontId="8"/>
  </si>
  <si>
    <t>ja</t>
    <phoneticPr fontId="8"/>
  </si>
  <si>
    <t>なかなかやるわね…</t>
    <phoneticPr fontId="8"/>
  </si>
  <si>
    <t xml:space="preserve">[effect:tolerance, target:myself, turn:-1, tolerance_effect:sleep, count:-1],[effect:tolerance,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t>
    <phoneticPr fontId="8"/>
  </si>
  <si>
    <t>ここまでは想定通りね</t>
    <rPh sb="5" eb="8">
      <t>ソウテイドオ</t>
    </rPh>
    <phoneticPr fontId="8"/>
  </si>
  <si>
    <t>状態異常無効＋
赤属性以外のスキルが10ターン使えない</t>
    <rPh sb="0" eb="2">
      <t>ジョウタイイジョウ</t>
    </rPh>
    <rPh sb="2" eb="4">
      <t>ijou</t>
    </rPh>
    <rPh sb="4" eb="6">
      <t>mukou</t>
    </rPh>
    <rPh sb="9" eb="11">
      <t>ゾクセイ</t>
    </rPh>
    <rPh sb="11" eb="13">
      <t>イガイ</t>
    </rPh>
    <rPh sb="23" eb="24">
      <t>ツカエナイ</t>
    </rPh>
    <phoneticPr fontId="8"/>
  </si>
  <si>
    <t>[effect:critical, val:1.2]</t>
    <phoneticPr fontId="8"/>
  </si>
  <si>
    <t>次はこれよ！</t>
    <rPh sb="0" eb="1">
      <t>ツギ</t>
    </rPh>
    <phoneticPr fontId="8"/>
  </si>
  <si>
    <t>強力な攻撃！</t>
    <rPh sb="0" eb="2">
      <t>キョ</t>
    </rPh>
    <rPh sb="3" eb="5">
      <t>コウゲk</t>
    </rPh>
    <phoneticPr fontId="8"/>
  </si>
  <si>
    <t>[effect:spread, val:0.4]</t>
    <phoneticPr fontId="8"/>
  </si>
  <si>
    <t>いい反応ね…</t>
    <rPh sb="2" eb="4">
      <t>ハンノウ</t>
    </rPh>
    <phoneticPr fontId="8"/>
  </si>
  <si>
    <t>全体攻撃</t>
    <phoneticPr fontId="8"/>
  </si>
  <si>
    <t xml:space="preserve"> [effect:force_change_block, new_block:time_bomb, target:block_all, ignore:crash, ignore02:jammer, count:8, val:0.1, min_time_count:1, max_time_count:3, animation:change_block] [effect:rush, count:8, val:0.15]</t>
    <phoneticPr fontId="8"/>
  </si>
  <si>
    <t>見せてあげる！</t>
    <phoneticPr fontId="8"/>
  </si>
  <si>
    <t>時限式ダメージパネル8個＋8回連続攻撃</t>
    <rPh sb="0" eb="3">
      <t>ジゲンシキ</t>
    </rPh>
    <rPh sb="11" eb="12">
      <t>※</t>
    </rPh>
    <rPh sb="14" eb="15">
      <t>カイ</t>
    </rPh>
    <rPh sb="15" eb="17">
      <t>レンゾク</t>
    </rPh>
    <rPh sb="17" eb="19">
      <t>コウゲキ</t>
    </rPh>
    <phoneticPr fontId="8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</si>
  <si>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 [effect:freq_turn, target:myself, turn:-1, val:1, animation:enemy_freq_turn]</t>
    <phoneticPr fontId="8"/>
  </si>
  <si>
    <t>最終段階に移行しましょう</t>
    <rPh sb="0" eb="4">
      <t>サイシュウダンカイ</t>
    </rPh>
    <rPh sb="5" eb="7">
      <t>イコウ</t>
    </rPh>
    <phoneticPr fontId="8"/>
  </si>
  <si>
    <t>攻撃頻度が1ターンにUP</t>
    <rPh sb="0" eb="4">
      <t>コウゲキヒンド</t>
    </rPh>
    <phoneticPr fontId="8"/>
  </si>
  <si>
    <t>[effect:rush, count:5, val:0.25]</t>
    <phoneticPr fontId="8"/>
  </si>
  <si>
    <t>これは耐えられるかしら？</t>
    <phoneticPr fontId="8"/>
  </si>
  <si>
    <t>5回連続攻撃</t>
    <phoneticPr fontId="8"/>
  </si>
  <si>
    <t>そろそろ限界かしら？</t>
    <phoneticPr fontId="8"/>
  </si>
  <si>
    <t xml:space="preserve"> [effect:force_change_block, new_block:time_bomb, target:block_all, ignore:crash, ignore02:jammer, count:25, val:0.1, min_time_count:1, max_time_count:1, animation:change_block]</t>
    <phoneticPr fontId="8"/>
  </si>
  <si>
    <t>予想以上の結果だわ…</t>
    <rPh sb="0" eb="4">
      <t>ヨソウイジョウ</t>
    </rPh>
    <rPh sb="5" eb="7">
      <t>ケッカ</t>
    </rPh>
    <phoneticPr fontId="8"/>
  </si>
  <si>
    <t>でも…これならどうかしら！？</t>
    <phoneticPr fontId="8"/>
  </si>
  <si>
    <t xml:space="preserve">[effect:drop_block, block_type:time_bomb, color:block_red, val:0.1, rate:0.5, turn:-1, min_time_count:5, max_time_count:5], [effect:force_change_block, new_block:time_bomb, target:block_all, ignore:crash, ignore02:jammer, count:8, val:0.1, min_time_count:3, max_time_count:3] ,[effect:enemy_message, val1:1, val2:3]    </t>
    <phoneticPr fontId="8"/>
  </si>
  <si>
    <t>ひっかき回してやるニャ！</t>
    <phoneticPr fontId="8"/>
  </si>
  <si>
    <t>一定確率で時限式ダメージパネル出現+
時限式ダメージパネルを8個生成</t>
    <rPh sb="19" eb="22">
      <t>ジゲn</t>
    </rPh>
    <rPh sb="32" eb="34">
      <t>セ</t>
    </rPh>
    <phoneticPr fontId="8"/>
  </si>
  <si>
    <t>[effect:force_change_block, new_block:time_bomb, target:block_all, ignore:crash, ignore02:jammer, count:15, val:0.2, min_time_count:2, max_time_count:2, animation:change_block]</t>
    <phoneticPr fontId="8"/>
  </si>
  <si>
    <t>ja</t>
  </si>
  <si>
    <t>コッパミジンにしてやるニャー！</t>
    <phoneticPr fontId="8"/>
  </si>
  <si>
    <t>時限式ダメージパネル15個生成</t>
    <phoneticPr fontId="8"/>
  </si>
  <si>
    <t>[effect:reduction, target:myself, turn:8, color:yellow, val:0.5, animation:reduction_one04],[effect:reduction, target:myself, turn:8, color:green, val:0.5],[effect:reduction, target:myself, turn:8, color:blue, val:0.5]</t>
    <phoneticPr fontId="8"/>
  </si>
  <si>
    <t>本気でいくニャー！</t>
    <rPh sb="0" eb="2">
      <t>ホンキ</t>
    </rPh>
    <phoneticPr fontId="8"/>
  </si>
  <si>
    <t>8ターン赤属性以外のダメージを50%DOWN</t>
    <rPh sb="7" eb="9">
      <t>イガ</t>
    </rPh>
    <phoneticPr fontId="8"/>
  </si>
  <si>
    <t>null</t>
  </si>
  <si>
    <t>NULL</t>
    <phoneticPr fontId="8"/>
  </si>
  <si>
    <t>NULL</t>
    <phoneticPr fontId="8"/>
  </si>
  <si>
    <t>NULL</t>
    <phoneticPr fontId="8"/>
  </si>
  <si>
    <t>ja</t>
    <phoneticPr fontId="8"/>
  </si>
  <si>
    <t>NULL</t>
    <phoneticPr fontId="8"/>
  </si>
  <si>
    <t>ja</t>
    <phoneticPr fontId="8"/>
  </si>
  <si>
    <t>NULL</t>
    <phoneticPr fontId="8"/>
  </si>
  <si>
    <t>ja</t>
    <phoneticPr fontId="8"/>
  </si>
  <si>
    <t>NULL</t>
    <phoneticPr fontId="8"/>
  </si>
  <si>
    <t>ja</t>
    <phoneticPr fontId="8"/>
  </si>
  <si>
    <t>ja</t>
    <phoneticPr fontId="8"/>
  </si>
  <si>
    <t>NULL</t>
    <phoneticPr fontId="8"/>
  </si>
  <si>
    <t>old</t>
  </si>
  <si>
    <t>刀のランキングチケット × 1</t>
    <phoneticPr fontId="10"/>
  </si>
  <si>
    <t>刀のチケットピース × 2</t>
    <phoneticPr fontId="10"/>
  </si>
  <si>
    <t>刀のランキングチケット × 1</t>
    <phoneticPr fontId="10"/>
  </si>
  <si>
    <t>刀のチケットピース × 1</t>
    <phoneticPr fontId="10"/>
  </si>
  <si>
    <t>刀のチケットピース × 3</t>
    <phoneticPr fontId="10"/>
  </si>
  <si>
    <t>刀のチケットピース × 1</t>
    <phoneticPr fontId="10"/>
  </si>
  <si>
    <t>skip</t>
    <phoneticPr fontId="8"/>
  </si>
  <si>
    <t>ranking_stage_evaluation_gifts_</t>
    <phoneticPr fontId="8"/>
  </si>
  <si>
    <t>gifts_tmp_</t>
    <phoneticPr fontId="8"/>
  </si>
  <si>
    <t>gifts_i18n_</t>
    <phoneticPr fontId="8"/>
  </si>
  <si>
    <t>ranking_eval_gift</t>
    <phoneticPr fontId="8"/>
  </si>
  <si>
    <t>evaluation_id</t>
    <phoneticPr fontId="8"/>
  </si>
  <si>
    <t>gift_id</t>
    <phoneticPr fontId="8"/>
  </si>
  <si>
    <t xml:space="preserve">gift_limit </t>
    <phoneticPr fontId="8"/>
  </si>
  <si>
    <t>gift_id</t>
    <phoneticPr fontId="10"/>
  </si>
  <si>
    <t>title</t>
    <phoneticPr fontId="10"/>
  </si>
  <si>
    <t>message</t>
    <phoneticPr fontId="10"/>
  </si>
  <si>
    <t>unit</t>
    <phoneticPr fontId="10"/>
  </si>
  <si>
    <t>リトルハンプティ × 1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</si>
  <si>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</si>
  <si>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マスターキー × 2</t>
    <phoneticPr fontId="10"/>
  </si>
  <si>
    <t>ギガ秘術の果実 × 1</t>
    <rPh sb="2" eb="4">
      <t>ヒジュツ</t>
    </rPh>
    <rPh sb="5" eb="7">
      <t>カジツ</t>
    </rPh>
    <phoneticPr fontId="10"/>
  </si>
  <si>
    <t>ポリゴン × 3</t>
    <phoneticPr fontId="10"/>
  </si>
  <si>
    <t>限界突破キー × 2</t>
    <rPh sb="0" eb="4">
      <t>ゲンカイトッパ</t>
    </rPh>
    <phoneticPr fontId="10"/>
  </si>
  <si>
    <t>経験値キー × 2</t>
    <rPh sb="0" eb="3">
      <t>ケイケンチ</t>
    </rPh>
    <phoneticPr fontId="10"/>
  </si>
  <si>
    <t>ビットキー × 2</t>
    <phoneticPr fontId="10"/>
  </si>
  <si>
    <t>ポリゴン × 2</t>
    <phoneticPr fontId="10"/>
  </si>
  <si>
    <t>bit</t>
    <phoneticPr fontId="10"/>
  </si>
  <si>
    <t>200000ビット</t>
    <phoneticPr fontId="8"/>
  </si>
  <si>
    <t>2000リンク</t>
    <phoneticPr fontId="8"/>
  </si>
  <si>
    <t>オイラーチャレンジ
スコア評価報酬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</si>
</sst>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theme="2" tint="-0.249977111117893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8" applyNumberFormat="0" applyAlignment="0" applyProtection="0"/>
    <xf numFmtId="0" fontId="36" fillId="17" borderId="0" applyNumberFormat="0" applyBorder="0" applyAlignment="0" applyProtection="0"/>
    <xf numFmtId="0" fontId="37" fillId="18" borderId="9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0" applyNumberFormat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4" applyNumberFormat="0" applyFill="0" applyAlignment="0" applyProtection="0"/>
    <xf numFmtId="0" fontId="49" fillId="18" borderId="15" applyNumberFormat="0" applyAlignment="0" applyProtection="0"/>
    <xf numFmtId="0" fontId="49" fillId="29" borderId="15" applyNumberFormat="0" applyAlignment="0" applyProtection="0"/>
    <xf numFmtId="0" fontId="37" fillId="17" borderId="9" applyNumberFormat="0" applyAlignment="0" applyProtection="0"/>
    <xf numFmtId="0" fontId="50" fillId="0" borderId="16" applyNumberFormat="0" applyFill="0" applyAlignment="0" applyProtection="0"/>
    <xf numFmtId="0" fontId="51" fillId="29" borderId="9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17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2" fillId="0" borderId="0" applyFont="0" applyFill="0" applyBorder="0" applyAlignment="0" applyProtection="0"/>
  </cellStyleXfs>
  <cellXfs count="336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4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4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9" fillId="3" borderId="4" xfId="0" applyFont="1" applyFill="1" applyBorder="1" applyAlignment="1">
      <alignment vertical="center"/>
    </xf>
    <xf numFmtId="0" fontId="7" fillId="2" borderId="4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4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4" xfId="0" applyFont="1" applyFill="1" applyBorder="1" applyAlignment="1">
      <alignment horizontal="left" vertical="center"/>
    </xf>
    <xf numFmtId="0" fontId="19" fillId="0" borderId="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4" xfId="0" applyFont="1" applyFill="1" applyBorder="1" applyAlignment="1">
      <alignment horizontal="left" vertical="center"/>
    </xf>
    <xf numFmtId="0" fontId="19" fillId="0" borderId="4" xfId="0" applyFont="1" applyFill="1" applyBorder="1" applyAlignment="1">
      <alignment horizontal="left" vertical="center" wrapText="1"/>
    </xf>
    <xf numFmtId="14" fontId="19" fillId="0" borderId="4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4" xfId="0" applyFont="1" applyFill="1" applyBorder="1"/>
    <xf numFmtId="0" fontId="0" fillId="11" borderId="4" xfId="0" applyFill="1" applyBorder="1"/>
    <xf numFmtId="0" fontId="0" fillId="0" borderId="4" xfId="0" applyBorder="1"/>
    <xf numFmtId="0" fontId="0" fillId="6" borderId="4" xfId="0" applyFill="1" applyBorder="1"/>
    <xf numFmtId="0" fontId="29" fillId="12" borderId="4" xfId="0" applyFont="1" applyFill="1" applyBorder="1"/>
    <xf numFmtId="0" fontId="16" fillId="11" borderId="4" xfId="434" applyFont="1" applyFill="1" applyBorder="1" applyAlignment="1"/>
    <xf numFmtId="0" fontId="27" fillId="0" borderId="4" xfId="434" applyBorder="1" applyAlignment="1"/>
    <xf numFmtId="0" fontId="0" fillId="13" borderId="4" xfId="0" applyFill="1" applyBorder="1"/>
    <xf numFmtId="0" fontId="19" fillId="6" borderId="4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4" xfId="615" applyFont="1" applyFill="1" applyBorder="1"/>
    <xf numFmtId="0" fontId="0" fillId="0" borderId="4" xfId="615" applyFont="1" applyBorder="1"/>
    <xf numFmtId="0" fontId="5" fillId="11" borderId="4" xfId="615" applyFill="1" applyBorder="1"/>
    <xf numFmtId="0" fontId="7" fillId="0" borderId="4" xfId="0" applyFont="1" applyBorder="1" applyAlignment="1">
      <alignment vertical="center"/>
    </xf>
    <xf numFmtId="0" fontId="19" fillId="3" borderId="4" xfId="614" applyFont="1" applyFill="1" applyBorder="1" applyAlignment="1">
      <alignment horizontal="left"/>
    </xf>
    <xf numFmtId="0" fontId="19" fillId="6" borderId="4" xfId="0" applyFont="1" applyFill="1" applyBorder="1" applyAlignment="1">
      <alignment horizontal="center"/>
    </xf>
    <xf numFmtId="56" fontId="19" fillId="6" borderId="4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4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4" borderId="4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0" fillId="15" borderId="4" xfId="0" applyFill="1" applyBorder="1"/>
    <xf numFmtId="0" fontId="30" fillId="0" borderId="4" xfId="0" applyFont="1" applyFill="1" applyBorder="1"/>
    <xf numFmtId="0" fontId="31" fillId="0" borderId="4" xfId="0" applyFont="1" applyFill="1" applyBorder="1"/>
    <xf numFmtId="0" fontId="32" fillId="3" borderId="7" xfId="0" applyFont="1" applyFill="1" applyBorder="1" applyAlignment="1">
      <alignment vertical="center"/>
    </xf>
    <xf numFmtId="0" fontId="33" fillId="0" borderId="4" xfId="0" applyFont="1" applyFill="1" applyBorder="1"/>
    <xf numFmtId="0" fontId="32" fillId="0" borderId="7" xfId="0" applyFont="1" applyFill="1" applyBorder="1" applyAlignment="1">
      <alignment vertical="center"/>
    </xf>
    <xf numFmtId="0" fontId="33" fillId="14" borderId="4" xfId="0" applyFont="1" applyFill="1" applyBorder="1"/>
    <xf numFmtId="0" fontId="34" fillId="0" borderId="4" xfId="0" applyFont="1" applyFill="1" applyBorder="1"/>
    <xf numFmtId="38" fontId="19" fillId="0" borderId="4" xfId="628" applyFont="1" applyFill="1" applyBorder="1" applyAlignment="1"/>
    <xf numFmtId="0" fontId="30" fillId="0" borderId="0" xfId="0" applyFont="1" applyFill="1"/>
    <xf numFmtId="0" fontId="19" fillId="30" borderId="4" xfId="0" applyFont="1" applyFill="1" applyBorder="1" applyAlignment="1">
      <alignment horizontal="center"/>
    </xf>
    <xf numFmtId="0" fontId="33" fillId="30" borderId="4" xfId="0" applyFont="1" applyFill="1" applyBorder="1"/>
    <xf numFmtId="0" fontId="19" fillId="13" borderId="4" xfId="0" applyFont="1" applyFill="1" applyBorder="1" applyAlignment="1">
      <alignment horizontal="center"/>
    </xf>
    <xf numFmtId="56" fontId="19" fillId="14" borderId="4" xfId="0" applyNumberFormat="1" applyFont="1" applyFill="1" applyBorder="1" applyAlignment="1">
      <alignment horizontal="center"/>
    </xf>
    <xf numFmtId="0" fontId="34" fillId="14" borderId="4" xfId="0" applyFont="1" applyFill="1" applyBorder="1"/>
    <xf numFmtId="38" fontId="19" fillId="14" borderId="4" xfId="628" applyFont="1" applyFill="1" applyBorder="1" applyAlignment="1"/>
    <xf numFmtId="0" fontId="19" fillId="6" borderId="4" xfId="11" applyFont="1" applyFill="1" applyBorder="1" applyAlignment="1">
      <alignment horizontal="left"/>
    </xf>
    <xf numFmtId="0" fontId="5" fillId="6" borderId="0" xfId="615" applyFill="1"/>
    <xf numFmtId="0" fontId="7" fillId="31" borderId="4" xfId="0" applyFont="1" applyFill="1" applyBorder="1" applyAlignment="1">
      <alignment vertical="center"/>
    </xf>
    <xf numFmtId="0" fontId="19" fillId="6" borderId="18" xfId="0" applyFont="1" applyFill="1" applyBorder="1" applyAlignment="1">
      <alignment horizontal="center"/>
    </xf>
    <xf numFmtId="0" fontId="11" fillId="33" borderId="4" xfId="0" applyFont="1" applyFill="1" applyBorder="1" applyAlignment="1">
      <alignment horizontal="left" vertical="center"/>
    </xf>
    <xf numFmtId="0" fontId="19" fillId="32" borderId="4" xfId="432" applyFont="1" applyFill="1" applyBorder="1" applyAlignment="1">
      <alignment horizontal="left" vertical="center"/>
    </xf>
    <xf numFmtId="0" fontId="19" fillId="14" borderId="18" xfId="0" applyFont="1" applyFill="1" applyBorder="1" applyAlignment="1">
      <alignment horizontal="center"/>
    </xf>
    <xf numFmtId="0" fontId="4" fillId="0" borderId="4" xfId="676" applyBorder="1"/>
    <xf numFmtId="0" fontId="4" fillId="11" borderId="4" xfId="676" applyFill="1" applyBorder="1"/>
    <xf numFmtId="0" fontId="3" fillId="6" borderId="4" xfId="434" applyFont="1" applyFill="1" applyBorder="1" applyAlignment="1"/>
    <xf numFmtId="0" fontId="0" fillId="0" borderId="0" xfId="0" applyFill="1" applyBorder="1"/>
    <xf numFmtId="0" fontId="0" fillId="32" borderId="4" xfId="0" applyFill="1" applyBorder="1"/>
    <xf numFmtId="0" fontId="0" fillId="34" borderId="4" xfId="0" applyFill="1" applyBorder="1"/>
    <xf numFmtId="0" fontId="0" fillId="34" borderId="4" xfId="615" applyFont="1" applyFill="1" applyBorder="1"/>
    <xf numFmtId="0" fontId="4" fillId="34" borderId="4" xfId="676" applyFill="1" applyBorder="1"/>
    <xf numFmtId="0" fontId="0" fillId="6" borderId="0" xfId="0" applyFill="1"/>
    <xf numFmtId="0" fontId="7" fillId="0" borderId="1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6" borderId="2" xfId="0" applyFill="1" applyBorder="1"/>
    <xf numFmtId="0" fontId="0" fillId="0" borderId="20" xfId="0" applyNumberFormat="1" applyFill="1" applyBorder="1"/>
    <xf numFmtId="0" fontId="0" fillId="0" borderId="19" xfId="0" applyFill="1" applyBorder="1"/>
    <xf numFmtId="38" fontId="0" fillId="0" borderId="21" xfId="0" applyNumberFormat="1" applyFill="1" applyBorder="1"/>
    <xf numFmtId="0" fontId="0" fillId="0" borderId="22" xfId="0" applyNumberFormat="1" applyFill="1" applyBorder="1"/>
    <xf numFmtId="0" fontId="0" fillId="0" borderId="4" xfId="0" applyFill="1" applyBorder="1"/>
    <xf numFmtId="38" fontId="0" fillId="0" borderId="23" xfId="0" applyNumberFormat="1" applyFill="1" applyBorder="1"/>
    <xf numFmtId="0" fontId="0" fillId="0" borderId="24" xfId="0" applyNumberFormat="1" applyFill="1" applyBorder="1"/>
    <xf numFmtId="0" fontId="0" fillId="0" borderId="25" xfId="0" applyFill="1" applyBorder="1"/>
    <xf numFmtId="38" fontId="0" fillId="0" borderId="26" xfId="0" applyNumberFormat="1" applyFill="1" applyBorder="1"/>
    <xf numFmtId="0" fontId="0" fillId="0" borderId="27" xfId="0" applyNumberFormat="1" applyFill="1" applyBorder="1"/>
    <xf numFmtId="0" fontId="0" fillId="0" borderId="7" xfId="0" applyFill="1" applyBorder="1"/>
    <xf numFmtId="38" fontId="0" fillId="0" borderId="28" xfId="0" applyNumberFormat="1" applyFill="1" applyBorder="1"/>
    <xf numFmtId="0" fontId="0" fillId="35" borderId="20" xfId="0" applyNumberFormat="1" applyFill="1" applyBorder="1"/>
    <xf numFmtId="0" fontId="0" fillId="35" borderId="19" xfId="0" applyFill="1" applyBorder="1"/>
    <xf numFmtId="38" fontId="0" fillId="35" borderId="21" xfId="0" applyNumberFormat="1" applyFill="1" applyBorder="1"/>
    <xf numFmtId="0" fontId="0" fillId="35" borderId="22" xfId="0" applyNumberFormat="1" applyFill="1" applyBorder="1"/>
    <xf numFmtId="0" fontId="0" fillId="35" borderId="4" xfId="0" applyFill="1" applyBorder="1"/>
    <xf numFmtId="38" fontId="0" fillId="35" borderId="23" xfId="0" applyNumberFormat="1" applyFill="1" applyBorder="1"/>
    <xf numFmtId="0" fontId="0" fillId="35" borderId="24" xfId="0" applyNumberFormat="1" applyFill="1" applyBorder="1"/>
    <xf numFmtId="0" fontId="0" fillId="35" borderId="25" xfId="0" applyFill="1" applyBorder="1"/>
    <xf numFmtId="38" fontId="0" fillId="35" borderId="26" xfId="0" applyNumberFormat="1" applyFill="1" applyBorder="1"/>
    <xf numFmtId="0" fontId="0" fillId="36" borderId="20" xfId="0" applyNumberFormat="1" applyFill="1" applyBorder="1"/>
    <xf numFmtId="0" fontId="0" fillId="36" borderId="19" xfId="0" applyFill="1" applyBorder="1"/>
    <xf numFmtId="38" fontId="0" fillId="36" borderId="21" xfId="0" applyNumberFormat="1" applyFill="1" applyBorder="1"/>
    <xf numFmtId="0" fontId="0" fillId="36" borderId="22" xfId="0" applyNumberFormat="1" applyFill="1" applyBorder="1"/>
    <xf numFmtId="0" fontId="0" fillId="36" borderId="4" xfId="0" applyFill="1" applyBorder="1"/>
    <xf numFmtId="38" fontId="0" fillId="36" borderId="23" xfId="0" applyNumberFormat="1" applyFill="1" applyBorder="1"/>
    <xf numFmtId="0" fontId="0" fillId="36" borderId="24" xfId="0" applyNumberFormat="1" applyFill="1" applyBorder="1"/>
    <xf numFmtId="0" fontId="0" fillId="36" borderId="25" xfId="0" applyFill="1" applyBorder="1"/>
    <xf numFmtId="38" fontId="0" fillId="36" borderId="26" xfId="0" applyNumberFormat="1" applyFill="1" applyBorder="1"/>
    <xf numFmtId="0" fontId="15" fillId="7" borderId="29" xfId="0" applyFont="1" applyFill="1" applyBorder="1" applyAlignment="1">
      <alignment vertical="center"/>
    </xf>
    <xf numFmtId="0" fontId="15" fillId="7" borderId="30" xfId="0" applyFont="1" applyFill="1" applyBorder="1" applyAlignment="1">
      <alignment vertical="center"/>
    </xf>
    <xf numFmtId="0" fontId="9" fillId="5" borderId="19" xfId="0" applyFont="1" applyFill="1" applyBorder="1" applyAlignment="1">
      <alignment vertical="center"/>
    </xf>
    <xf numFmtId="0" fontId="7" fillId="0" borderId="19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0" fontId="7" fillId="3" borderId="19" xfId="0" applyFont="1" applyFill="1" applyBorder="1" applyAlignment="1">
      <alignment horizontal="center" vertical="center"/>
    </xf>
    <xf numFmtId="0" fontId="9" fillId="0" borderId="19" xfId="0" applyFont="1" applyFill="1" applyBorder="1" applyAlignment="1">
      <alignment vertical="center"/>
    </xf>
    <xf numFmtId="0" fontId="7" fillId="0" borderId="19" xfId="0" applyFont="1" applyBorder="1" applyAlignment="1">
      <alignment horizontal="left" vertical="center"/>
    </xf>
    <xf numFmtId="0" fontId="7" fillId="0" borderId="30" xfId="0" applyFont="1" applyBorder="1" applyAlignment="1">
      <alignment vertical="center"/>
    </xf>
    <xf numFmtId="0" fontId="15" fillId="7" borderId="31" xfId="0" applyFont="1" applyFill="1" applyBorder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15" fillId="7" borderId="32" xfId="0" applyFont="1" applyFill="1" applyBorder="1" applyAlignment="1">
      <alignment vertical="center"/>
    </xf>
    <xf numFmtId="0" fontId="9" fillId="5" borderId="25" xfId="0" applyFont="1" applyFill="1" applyBorder="1" applyAlignment="1">
      <alignment vertical="center"/>
    </xf>
    <xf numFmtId="0" fontId="7" fillId="0" borderId="25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vertical="center"/>
    </xf>
    <xf numFmtId="0" fontId="7" fillId="3" borderId="25" xfId="0" applyFont="1" applyFill="1" applyBorder="1" applyAlignment="1">
      <alignment horizontal="center" vertical="center"/>
    </xf>
    <xf numFmtId="0" fontId="9" fillId="0" borderId="25" xfId="0" applyFont="1" applyFill="1" applyBorder="1" applyAlignment="1">
      <alignment vertical="center"/>
    </xf>
    <xf numFmtId="0" fontId="7" fillId="0" borderId="25" xfId="0" applyFont="1" applyBorder="1" applyAlignment="1">
      <alignment horizontal="left" vertical="center"/>
    </xf>
    <xf numFmtId="0" fontId="7" fillId="0" borderId="33" xfId="0" applyFont="1" applyBorder="1" applyAlignment="1">
      <alignment vertical="center"/>
    </xf>
    <xf numFmtId="0" fontId="7" fillId="0" borderId="34" xfId="0" applyFont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vertical="center"/>
    </xf>
    <xf numFmtId="0" fontId="0" fillId="0" borderId="20" xfId="0" applyFill="1" applyBorder="1"/>
    <xf numFmtId="0" fontId="0" fillId="0" borderId="21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" xfId="0" applyFill="1" applyBorder="1"/>
    <xf numFmtId="0" fontId="0" fillId="0" borderId="35" xfId="0" applyFill="1" applyBorder="1"/>
    <xf numFmtId="0" fontId="0" fillId="0" borderId="26" xfId="0" applyFill="1" applyBorder="1"/>
    <xf numFmtId="0" fontId="0" fillId="35" borderId="27" xfId="0" applyFill="1" applyBorder="1"/>
    <xf numFmtId="0" fontId="0" fillId="35" borderId="7" xfId="0" applyFill="1" applyBorder="1"/>
    <xf numFmtId="38" fontId="0" fillId="35" borderId="28" xfId="724" applyFont="1" applyFill="1" applyBorder="1"/>
    <xf numFmtId="38" fontId="0" fillId="35" borderId="23" xfId="724" applyFont="1" applyFill="1" applyBorder="1"/>
    <xf numFmtId="0" fontId="0" fillId="35" borderId="24" xfId="0" applyFill="1" applyBorder="1"/>
    <xf numFmtId="38" fontId="0" fillId="35" borderId="26" xfId="724" applyFont="1" applyFill="1" applyBorder="1"/>
    <xf numFmtId="0" fontId="0" fillId="36" borderId="27" xfId="0" applyFill="1" applyBorder="1"/>
    <xf numFmtId="0" fontId="0" fillId="36" borderId="7" xfId="0" applyFill="1" applyBorder="1"/>
    <xf numFmtId="38" fontId="0" fillId="36" borderId="28" xfId="724" applyFont="1" applyFill="1" applyBorder="1"/>
    <xf numFmtId="38" fontId="0" fillId="36" borderId="23" xfId="724" applyFont="1" applyFill="1" applyBorder="1"/>
    <xf numFmtId="0" fontId="0" fillId="36" borderId="2" xfId="0" applyFill="1" applyBorder="1"/>
    <xf numFmtId="0" fontId="0" fillId="36" borderId="24" xfId="0" applyFill="1" applyBorder="1"/>
    <xf numFmtId="38" fontId="0" fillId="36" borderId="26" xfId="724" applyFont="1" applyFill="1" applyBorder="1"/>
    <xf numFmtId="0" fontId="0" fillId="35" borderId="22" xfId="0" applyFill="1" applyBorder="1"/>
    <xf numFmtId="0" fontId="0" fillId="36" borderId="20" xfId="0" applyFill="1" applyBorder="1"/>
    <xf numFmtId="38" fontId="0" fillId="36" borderId="21" xfId="724" applyFont="1" applyFill="1" applyBorder="1"/>
    <xf numFmtId="0" fontId="0" fillId="0" borderId="27" xfId="0" applyFill="1" applyBorder="1"/>
    <xf numFmtId="0" fontId="0" fillId="0" borderId="28" xfId="0" applyFill="1" applyBorder="1"/>
    <xf numFmtId="0" fontId="0" fillId="35" borderId="20" xfId="724" applyNumberFormat="1" applyFont="1" applyFill="1" applyBorder="1"/>
    <xf numFmtId="0" fontId="0" fillId="35" borderId="19" xfId="724" applyNumberFormat="1" applyFont="1" applyFill="1" applyBorder="1"/>
    <xf numFmtId="0" fontId="0" fillId="35" borderId="21" xfId="724" applyNumberFormat="1" applyFont="1" applyFill="1" applyBorder="1"/>
    <xf numFmtId="0" fontId="0" fillId="35" borderId="22" xfId="724" applyNumberFormat="1" applyFont="1" applyFill="1" applyBorder="1"/>
    <xf numFmtId="0" fontId="0" fillId="35" borderId="4" xfId="724" applyNumberFormat="1" applyFont="1" applyFill="1" applyBorder="1"/>
    <xf numFmtId="0" fontId="0" fillId="35" borderId="24" xfId="724" applyNumberFormat="1" applyFont="1" applyFill="1" applyBorder="1"/>
    <xf numFmtId="0" fontId="0" fillId="35" borderId="25" xfId="724" applyNumberFormat="1" applyFont="1" applyFill="1" applyBorder="1"/>
    <xf numFmtId="0" fontId="0" fillId="36" borderId="20" xfId="724" applyNumberFormat="1" applyFont="1" applyFill="1" applyBorder="1"/>
    <xf numFmtId="0" fontId="0" fillId="36" borderId="19" xfId="724" applyNumberFormat="1" applyFont="1" applyFill="1" applyBorder="1"/>
    <xf numFmtId="0" fontId="0" fillId="36" borderId="21" xfId="724" applyNumberFormat="1" applyFont="1" applyFill="1" applyBorder="1"/>
    <xf numFmtId="0" fontId="0" fillId="36" borderId="22" xfId="724" applyNumberFormat="1" applyFont="1" applyFill="1" applyBorder="1"/>
    <xf numFmtId="0" fontId="0" fillId="36" borderId="4" xfId="724" applyNumberFormat="1" applyFont="1" applyFill="1" applyBorder="1"/>
    <xf numFmtId="0" fontId="0" fillId="36" borderId="24" xfId="724" applyNumberFormat="1" applyFont="1" applyFill="1" applyBorder="1"/>
    <xf numFmtId="0" fontId="0" fillId="36" borderId="25" xfId="724" applyNumberFormat="1" applyFont="1" applyFill="1" applyBorder="1"/>
    <xf numFmtId="0" fontId="54" fillId="37" borderId="20" xfId="0" applyFont="1" applyFill="1" applyBorder="1"/>
    <xf numFmtId="0" fontId="54" fillId="37" borderId="19" xfId="0" applyFont="1" applyFill="1" applyBorder="1"/>
    <xf numFmtId="0" fontId="54" fillId="38" borderId="19" xfId="0" applyFont="1" applyFill="1" applyBorder="1"/>
    <xf numFmtId="0" fontId="54" fillId="37" borderId="21" xfId="0" applyFont="1" applyFill="1" applyBorder="1"/>
    <xf numFmtId="0" fontId="54" fillId="37" borderId="22" xfId="0" applyFont="1" applyFill="1" applyBorder="1"/>
    <xf numFmtId="0" fontId="54" fillId="37" borderId="4" xfId="0" applyFont="1" applyFill="1" applyBorder="1"/>
    <xf numFmtId="0" fontId="54" fillId="38" borderId="4" xfId="0" applyFont="1" applyFill="1" applyBorder="1"/>
    <xf numFmtId="0" fontId="54" fillId="37" borderId="23" xfId="0" applyFont="1" applyFill="1" applyBorder="1"/>
    <xf numFmtId="0" fontId="54" fillId="37" borderId="24" xfId="0" applyFont="1" applyFill="1" applyBorder="1"/>
    <xf numFmtId="0" fontId="54" fillId="37" borderId="25" xfId="0" applyFont="1" applyFill="1" applyBorder="1"/>
    <xf numFmtId="0" fontId="54" fillId="38" borderId="25" xfId="0" applyFont="1" applyFill="1" applyBorder="1"/>
    <xf numFmtId="0" fontId="54" fillId="38" borderId="26" xfId="0" applyFont="1" applyFill="1" applyBorder="1"/>
    <xf numFmtId="0" fontId="31" fillId="0" borderId="4" xfId="0" applyFont="1" applyFill="1" applyBorder="1" applyAlignment="1">
      <alignment horizontal="left" vertical="center"/>
    </xf>
    <xf numFmtId="0" fontId="32" fillId="3" borderId="7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  <xf numFmtId="0" fontId="15" fillId="7" borderId="20" xfId="0" applyFont="1" applyFill="1" applyBorder="1" applyAlignment="1">
      <alignment vertical="center"/>
    </xf>
    <xf numFmtId="176" fontId="7" fillId="0" borderId="19" xfId="0" applyNumberFormat="1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vertical="center"/>
    </xf>
    <xf numFmtId="177" fontId="11" fillId="0" borderId="19" xfId="0" applyNumberFormat="1" applyFont="1" applyFill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9" fillId="39" borderId="19" xfId="0" applyFont="1" applyFill="1" applyBorder="1" applyAlignment="1">
      <alignment vertical="center"/>
    </xf>
    <xf numFmtId="0" fontId="7" fillId="3" borderId="19" xfId="0" applyFont="1" applyFill="1" applyBorder="1" applyAlignment="1">
      <alignment vertical="center"/>
    </xf>
    <xf numFmtId="0" fontId="7" fillId="0" borderId="36" xfId="0" applyFont="1" applyBorder="1" applyAlignment="1">
      <alignment vertical="center"/>
    </xf>
    <xf numFmtId="0" fontId="15" fillId="7" borderId="22" xfId="0" applyFont="1" applyFill="1" applyBorder="1" applyAlignment="1">
      <alignment vertical="center"/>
    </xf>
    <xf numFmtId="176" fontId="7" fillId="0" borderId="4" xfId="0" applyNumberFormat="1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vertical="center"/>
    </xf>
    <xf numFmtId="177" fontId="11" fillId="0" borderId="4" xfId="0" applyNumberFormat="1" applyFont="1" applyFill="1" applyBorder="1" applyAlignment="1">
      <alignment vertical="center"/>
    </xf>
    <xf numFmtId="0" fontId="9" fillId="39" borderId="4" xfId="0" applyFont="1" applyFill="1" applyBorder="1" applyAlignment="1">
      <alignment vertical="center"/>
    </xf>
    <xf numFmtId="0" fontId="7" fillId="3" borderId="4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9" fillId="13" borderId="3" xfId="0" applyFont="1" applyFill="1" applyBorder="1" applyAlignment="1">
      <alignment vertical="center"/>
    </xf>
    <xf numFmtId="0" fontId="9" fillId="39" borderId="37" xfId="0" applyFont="1" applyFill="1" applyBorder="1" applyAlignment="1">
      <alignment vertical="center"/>
    </xf>
    <xf numFmtId="0" fontId="15" fillId="7" borderId="38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9" fillId="5" borderId="37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177" fontId="11" fillId="0" borderId="3" xfId="0" applyNumberFormat="1" applyFont="1" applyFill="1" applyBorder="1" applyAlignment="1">
      <alignment vertical="center"/>
    </xf>
    <xf numFmtId="0" fontId="9" fillId="39" borderId="3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39" xfId="0" applyFont="1" applyBorder="1" applyAlignment="1">
      <alignment vertical="center"/>
    </xf>
    <xf numFmtId="0" fontId="15" fillId="7" borderId="40" xfId="0" applyFont="1" applyFill="1" applyBorder="1" applyAlignment="1">
      <alignment vertical="center"/>
    </xf>
    <xf numFmtId="176" fontId="7" fillId="0" borderId="25" xfId="0" applyNumberFormat="1" applyFont="1" applyFill="1" applyBorder="1" applyAlignment="1">
      <alignment horizontal="center" vertical="center"/>
    </xf>
    <xf numFmtId="0" fontId="9" fillId="5" borderId="41" xfId="0" applyFont="1" applyFill="1" applyBorder="1" applyAlignment="1">
      <alignment vertical="center"/>
    </xf>
    <xf numFmtId="0" fontId="9" fillId="0" borderId="41" xfId="0" applyFont="1" applyFill="1" applyBorder="1" applyAlignment="1">
      <alignment vertical="center"/>
    </xf>
    <xf numFmtId="0" fontId="9" fillId="5" borderId="42" xfId="0" applyFont="1" applyFill="1" applyBorder="1" applyAlignment="1">
      <alignment vertical="center"/>
    </xf>
    <xf numFmtId="0" fontId="11" fillId="0" borderId="41" xfId="0" applyFont="1" applyFill="1" applyBorder="1" applyAlignment="1">
      <alignment vertical="center"/>
    </xf>
    <xf numFmtId="177" fontId="11" fillId="0" borderId="41" xfId="0" applyNumberFormat="1" applyFont="1" applyFill="1" applyBorder="1" applyAlignment="1">
      <alignment vertical="center"/>
    </xf>
    <xf numFmtId="0" fontId="9" fillId="39" borderId="41" xfId="0" applyFont="1" applyFill="1" applyBorder="1" applyAlignment="1">
      <alignment vertical="center"/>
    </xf>
    <xf numFmtId="0" fontId="7" fillId="0" borderId="41" xfId="0" applyFont="1" applyBorder="1" applyAlignment="1">
      <alignment vertical="center"/>
    </xf>
    <xf numFmtId="0" fontId="9" fillId="39" borderId="42" xfId="0" applyFont="1" applyFill="1" applyBorder="1" applyAlignment="1">
      <alignment vertical="center"/>
    </xf>
    <xf numFmtId="0" fontId="7" fillId="3" borderId="25" xfId="0" applyFont="1" applyFill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45" xfId="0" applyFont="1" applyBorder="1" applyAlignment="1">
      <alignment vertical="center"/>
    </xf>
    <xf numFmtId="0" fontId="7" fillId="0" borderId="34" xfId="0" applyFont="1" applyFill="1" applyBorder="1" applyAlignment="1">
      <alignment vertical="center"/>
    </xf>
    <xf numFmtId="0" fontId="7" fillId="0" borderId="46" xfId="0" applyFont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7" fillId="0" borderId="47" xfId="0" applyFont="1" applyBorder="1" applyAlignment="1">
      <alignment vertical="center"/>
    </xf>
    <xf numFmtId="0" fontId="7" fillId="0" borderId="48" xfId="0" applyFont="1" applyFill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15" fillId="7" borderId="51" xfId="0" applyFont="1" applyFill="1" applyBorder="1" applyAlignment="1">
      <alignment vertical="center"/>
    </xf>
    <xf numFmtId="176" fontId="7" fillId="0" borderId="52" xfId="0" applyNumberFormat="1" applyFont="1" applyFill="1" applyBorder="1" applyAlignment="1">
      <alignment horizontal="center" vertical="center"/>
    </xf>
    <xf numFmtId="0" fontId="9" fillId="5" borderId="52" xfId="0" applyFont="1" applyFill="1" applyBorder="1" applyAlignment="1">
      <alignment vertical="center"/>
    </xf>
    <xf numFmtId="0" fontId="9" fillId="0" borderId="52" xfId="0" applyFont="1" applyFill="1" applyBorder="1" applyAlignment="1">
      <alignment vertical="center"/>
    </xf>
    <xf numFmtId="0" fontId="9" fillId="5" borderId="53" xfId="0" applyFont="1" applyFill="1" applyBorder="1" applyAlignment="1">
      <alignment vertical="center"/>
    </xf>
    <xf numFmtId="0" fontId="11" fillId="0" borderId="52" xfId="0" applyFont="1" applyFill="1" applyBorder="1" applyAlignment="1">
      <alignment vertical="center"/>
    </xf>
    <xf numFmtId="177" fontId="11" fillId="0" borderId="52" xfId="0" applyNumberFormat="1" applyFont="1" applyFill="1" applyBorder="1" applyAlignment="1">
      <alignment vertical="center"/>
    </xf>
    <xf numFmtId="0" fontId="9" fillId="39" borderId="52" xfId="0" applyFont="1" applyFill="1" applyBorder="1" applyAlignment="1">
      <alignment vertical="center"/>
    </xf>
    <xf numFmtId="0" fontId="9" fillId="39" borderId="54" xfId="0" applyFont="1" applyFill="1" applyBorder="1" applyAlignment="1">
      <alignment vertical="center"/>
    </xf>
    <xf numFmtId="0" fontId="7" fillId="0" borderId="55" xfId="0" applyFont="1" applyBorder="1" applyAlignment="1">
      <alignment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9" borderId="56" xfId="0" applyFont="1" applyFill="1" applyBorder="1" applyAlignment="1">
      <alignment vertical="center"/>
    </xf>
    <xf numFmtId="0" fontId="17" fillId="7" borderId="20" xfId="0" applyFont="1" applyFill="1" applyBorder="1" applyAlignment="1">
      <alignment vertical="center"/>
    </xf>
    <xf numFmtId="0" fontId="19" fillId="0" borderId="19" xfId="0" applyFont="1" applyFill="1" applyBorder="1" applyAlignment="1">
      <alignment vertical="center"/>
    </xf>
    <xf numFmtId="0" fontId="19" fillId="3" borderId="19" xfId="0" applyFont="1" applyFill="1" applyBorder="1" applyAlignment="1">
      <alignment horizontal="left" vertical="center"/>
    </xf>
    <xf numFmtId="0" fontId="19" fillId="3" borderId="19" xfId="0" applyFont="1" applyFill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19" fillId="3" borderId="25" xfId="0" applyFont="1" applyFill="1" applyBorder="1" applyAlignment="1">
      <alignment horizontal="left" vertical="center"/>
    </xf>
    <xf numFmtId="0" fontId="19" fillId="3" borderId="25" xfId="0" applyFont="1" applyFill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7" fillId="7" borderId="22" xfId="0" applyFont="1" applyFill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17" fillId="7" borderId="7" xfId="0" applyFont="1" applyFill="1" applyBorder="1" applyAlignment="1">
      <alignment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3" borderId="7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7" fillId="7" borderId="4" xfId="0" applyFont="1" applyFill="1" applyBorder="1" applyAlignment="1">
      <alignment vertical="center"/>
    </xf>
    <xf numFmtId="0" fontId="19" fillId="14" borderId="4" xfId="0" applyFont="1" applyFill="1" applyBorder="1" applyAlignment="1">
      <alignment horizontal="left" vertical="center" wrapText="1"/>
    </xf>
    <xf numFmtId="0" fontId="19" fillId="14" borderId="4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4" xfId="0" applyFont="1" applyFill="1" applyBorder="1" applyAlignment="1">
      <alignment vertical="center" wrapText="1"/>
    </xf>
    <xf numFmtId="0" fontId="14" fillId="0" borderId="4" xfId="0" applyFont="1" applyFill="1" applyBorder="1" applyAlignment="1">
      <alignment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 wrapText="1"/>
    </xf>
    <xf numFmtId="0" fontId="19" fillId="0" borderId="20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0" borderId="22" xfId="0" applyFont="1" applyFill="1" applyBorder="1" applyAlignment="1">
      <alignment vertical="center"/>
    </xf>
    <xf numFmtId="0" fontId="19" fillId="14" borderId="23" xfId="0" applyFont="1" applyFill="1" applyBorder="1" applyAlignment="1">
      <alignment vertical="center"/>
    </xf>
    <xf numFmtId="0" fontId="19" fillId="13" borderId="0" xfId="432" applyFont="1" applyFill="1" applyAlignment="1">
      <alignment horizontal="left" vertical="center"/>
    </xf>
    <xf numFmtId="0" fontId="19" fillId="40" borderId="0" xfId="432" applyFont="1" applyFill="1" applyAlignment="1">
      <alignment horizontal="left" vertical="center"/>
    </xf>
    <xf numFmtId="0" fontId="0" fillId="34" borderId="4" xfId="676" applyFont="1" applyFill="1" applyBorder="1"/>
    <xf numFmtId="0" fontId="0" fillId="0" borderId="4" xfId="615" applyFont="1" applyFill="1" applyBorder="1"/>
    <xf numFmtId="0" fontId="1" fillId="6" borderId="4" xfId="434" applyFont="1" applyFill="1" applyBorder="1" applyAlignment="1"/>
    <xf numFmtId="0" fontId="54" fillId="41" borderId="4" xfId="0" applyFont="1" applyFill="1" applyBorder="1"/>
    <xf numFmtId="0" fontId="19" fillId="0" borderId="4" xfId="0" applyFont="1" applyBorder="1" applyAlignment="1">
      <alignment horizontal="left" vertical="center"/>
    </xf>
    <xf numFmtId="0" fontId="19" fillId="0" borderId="4" xfId="432" applyFont="1" applyBorder="1" applyAlignment="1">
      <alignment horizontal="left" vertical="center"/>
    </xf>
    <xf numFmtId="0" fontId="19" fillId="0" borderId="4" xfId="432" applyFont="1" applyBorder="1" applyAlignment="1">
      <alignment horizontal="left" vertical="center" wrapText="1"/>
    </xf>
    <xf numFmtId="0" fontId="19" fillId="0" borderId="4" xfId="432" applyFont="1" applyFill="1" applyBorder="1" applyAlignment="1">
      <alignment horizontal="left" vertical="center"/>
    </xf>
    <xf numFmtId="0" fontId="54" fillId="42" borderId="20" xfId="0" applyFont="1" applyFill="1" applyBorder="1"/>
    <xf numFmtId="0" fontId="54" fillId="42" borderId="19" xfId="0" applyFont="1" applyFill="1" applyBorder="1"/>
    <xf numFmtId="0" fontId="54" fillId="42" borderId="21" xfId="0" applyFont="1" applyFill="1" applyBorder="1"/>
    <xf numFmtId="0" fontId="54" fillId="42" borderId="22" xfId="0" applyFont="1" applyFill="1" applyBorder="1"/>
    <xf numFmtId="0" fontId="54" fillId="42" borderId="4" xfId="0" applyFont="1" applyFill="1" applyBorder="1"/>
    <xf numFmtId="0" fontId="54" fillId="42" borderId="23" xfId="0" applyFont="1" applyFill="1" applyBorder="1"/>
    <xf numFmtId="0" fontId="54" fillId="42" borderId="24" xfId="0" applyFont="1" applyFill="1" applyBorder="1"/>
    <xf numFmtId="0" fontId="54" fillId="42" borderId="25" xfId="0" applyFont="1" applyFill="1" applyBorder="1"/>
    <xf numFmtId="0" fontId="54" fillId="42" borderId="26" xfId="0" applyFont="1" applyFill="1" applyBorder="1"/>
    <xf numFmtId="0" fontId="54" fillId="43" borderId="19" xfId="0" applyFont="1" applyFill="1" applyBorder="1"/>
    <xf numFmtId="0" fontId="54" fillId="43" borderId="21" xfId="0" applyFont="1" applyFill="1" applyBorder="1"/>
    <xf numFmtId="0" fontId="54" fillId="43" borderId="4" xfId="0" applyFont="1" applyFill="1" applyBorder="1"/>
    <xf numFmtId="0" fontId="54" fillId="43" borderId="23" xfId="0" applyFont="1" applyFill="1" applyBorder="1"/>
    <xf numFmtId="0" fontId="54" fillId="43" borderId="25" xfId="0" applyFont="1" applyFill="1" applyBorder="1"/>
    <xf numFmtId="0" fontId="54" fillId="43" borderId="26" xfId="0" applyFont="1" applyFill="1" applyBorder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48501</v>
          </cell>
        </row>
        <row r="238">
          <cell r="A238">
            <v>41001</v>
          </cell>
        </row>
        <row r="239">
          <cell r="A239">
            <v>41002</v>
          </cell>
        </row>
        <row r="240">
          <cell r="A240">
            <v>41003</v>
          </cell>
        </row>
        <row r="241">
          <cell r="A241">
            <v>41004</v>
          </cell>
        </row>
        <row r="242">
          <cell r="A242">
            <v>41005</v>
          </cell>
        </row>
        <row r="243">
          <cell r="A243">
            <v>41006</v>
          </cell>
        </row>
        <row r="244">
          <cell r="A244">
            <v>41007</v>
          </cell>
        </row>
        <row r="245">
          <cell r="A245">
            <v>41008</v>
          </cell>
        </row>
        <row r="246">
          <cell r="A246">
            <v>41009</v>
          </cell>
        </row>
        <row r="247">
          <cell r="A247">
            <v>41010</v>
          </cell>
        </row>
        <row r="248">
          <cell r="A248">
            <v>41011</v>
          </cell>
        </row>
        <row r="249">
          <cell r="A249">
            <v>41012</v>
          </cell>
        </row>
        <row r="250">
          <cell r="A250">
            <v>41013</v>
          </cell>
        </row>
        <row r="251">
          <cell r="A251">
            <v>41014</v>
          </cell>
        </row>
        <row r="252">
          <cell r="A252">
            <v>41015</v>
          </cell>
        </row>
        <row r="253">
          <cell r="A253">
            <v>47001</v>
          </cell>
        </row>
        <row r="254">
          <cell r="A254">
            <v>47002</v>
          </cell>
        </row>
        <row r="255">
          <cell r="A255">
            <v>47003</v>
          </cell>
        </row>
        <row r="256">
          <cell r="A256">
            <v>47004</v>
          </cell>
        </row>
        <row r="257">
          <cell r="A257">
            <v>47005</v>
          </cell>
        </row>
        <row r="258">
          <cell r="A258">
            <v>47006</v>
          </cell>
        </row>
        <row r="259">
          <cell r="A259">
            <v>49001</v>
          </cell>
        </row>
        <row r="260">
          <cell r="A260">
            <v>49002</v>
          </cell>
        </row>
        <row r="261">
          <cell r="A261">
            <v>49003</v>
          </cell>
        </row>
        <row r="262">
          <cell r="A262">
            <v>49004</v>
          </cell>
        </row>
        <row r="263">
          <cell r="A263">
            <v>49005</v>
          </cell>
        </row>
        <row r="264">
          <cell r="A264">
            <v>49006</v>
          </cell>
        </row>
        <row r="265">
          <cell r="A265">
            <v>49007</v>
          </cell>
        </row>
        <row r="266">
          <cell r="A266">
            <v>49008</v>
          </cell>
        </row>
        <row r="267">
          <cell r="A267">
            <v>49009</v>
          </cell>
        </row>
        <row r="268">
          <cell r="A268">
            <v>49010</v>
          </cell>
        </row>
        <row r="269">
          <cell r="A269">
            <v>49011</v>
          </cell>
        </row>
        <row r="270">
          <cell r="A270">
            <v>49012</v>
          </cell>
        </row>
        <row r="271">
          <cell r="A271">
            <v>49013</v>
          </cell>
        </row>
        <row r="272">
          <cell r="A272">
            <v>50001</v>
          </cell>
        </row>
        <row r="273">
          <cell r="A273">
            <v>50002</v>
          </cell>
        </row>
        <row r="274">
          <cell r="A274">
            <v>50003</v>
          </cell>
        </row>
        <row r="275">
          <cell r="A275">
            <v>50004</v>
          </cell>
        </row>
        <row r="276">
          <cell r="A276">
            <v>50005</v>
          </cell>
        </row>
        <row r="277">
          <cell r="A277">
            <v>50006</v>
          </cell>
        </row>
        <row r="278">
          <cell r="A278">
            <v>50007</v>
          </cell>
        </row>
        <row r="279">
          <cell r="A279">
            <v>50008</v>
          </cell>
        </row>
        <row r="280">
          <cell r="A280">
            <v>50009</v>
          </cell>
        </row>
        <row r="281">
          <cell r="A281">
            <v>50010</v>
          </cell>
        </row>
        <row r="282">
          <cell r="A282">
            <v>50011</v>
          </cell>
        </row>
        <row r="283">
          <cell r="A283">
            <v>50012</v>
          </cell>
        </row>
        <row r="284">
          <cell r="A284">
            <v>50013</v>
          </cell>
        </row>
        <row r="285">
          <cell r="A285">
            <v>51001</v>
          </cell>
        </row>
        <row r="286">
          <cell r="A286">
            <v>51002</v>
          </cell>
        </row>
        <row r="287">
          <cell r="A287">
            <v>59001</v>
          </cell>
        </row>
        <row r="288">
          <cell r="A288">
            <v>60001</v>
          </cell>
        </row>
        <row r="289">
          <cell r="A289">
            <v>60002</v>
          </cell>
        </row>
        <row r="290">
          <cell r="A290">
            <v>60003</v>
          </cell>
        </row>
        <row r="291">
          <cell r="A291">
            <v>60004</v>
          </cell>
        </row>
        <row r="292">
          <cell r="A292">
            <v>60005</v>
          </cell>
        </row>
        <row r="293">
          <cell r="A293">
            <v>60006</v>
          </cell>
        </row>
        <row r="294">
          <cell r="A294">
            <v>60007</v>
          </cell>
        </row>
        <row r="295">
          <cell r="A295">
            <v>60010</v>
          </cell>
        </row>
        <row r="296">
          <cell r="A296">
            <v>60011</v>
          </cell>
        </row>
        <row r="297">
          <cell r="A297">
            <v>61011</v>
          </cell>
        </row>
        <row r="298">
          <cell r="A298">
            <v>60012</v>
          </cell>
        </row>
        <row r="299">
          <cell r="A299">
            <v>60013</v>
          </cell>
        </row>
        <row r="300">
          <cell r="A300">
            <v>60014</v>
          </cell>
        </row>
        <row r="301">
          <cell r="A301">
            <v>60015</v>
          </cell>
        </row>
        <row r="302">
          <cell r="A302">
            <v>60016</v>
          </cell>
        </row>
        <row r="303">
          <cell r="A303">
            <v>60017</v>
          </cell>
        </row>
        <row r="304">
          <cell r="A304">
            <v>60018</v>
          </cell>
        </row>
        <row r="305">
          <cell r="A305">
            <v>60019</v>
          </cell>
        </row>
        <row r="306">
          <cell r="A306">
            <v>60020</v>
          </cell>
        </row>
        <row r="307">
          <cell r="A307">
            <v>60025</v>
          </cell>
        </row>
        <row r="308">
          <cell r="A308">
            <v>60026</v>
          </cell>
        </row>
        <row r="309">
          <cell r="A309">
            <v>60027</v>
          </cell>
        </row>
        <row r="310">
          <cell r="A310">
            <v>65525</v>
          </cell>
        </row>
        <row r="311">
          <cell r="A311">
            <v>65526</v>
          </cell>
        </row>
        <row r="312">
          <cell r="A312">
            <v>65527</v>
          </cell>
        </row>
        <row r="313">
          <cell r="A313">
            <v>65528</v>
          </cell>
        </row>
        <row r="314">
          <cell r="A314">
            <v>65529</v>
          </cell>
        </row>
        <row r="315">
          <cell r="A315">
            <v>65530</v>
          </cell>
        </row>
        <row r="316">
          <cell r="A316">
            <v>65531</v>
          </cell>
        </row>
        <row r="317">
          <cell r="A317">
            <v>65532</v>
          </cell>
        </row>
        <row r="318">
          <cell r="A318">
            <v>65533</v>
          </cell>
        </row>
        <row r="319">
          <cell r="A319">
            <v>65534</v>
          </cell>
        </row>
        <row r="320">
          <cell r="A320">
            <v>65535</v>
          </cell>
        </row>
        <row r="321">
          <cell r="A321">
            <v>60021</v>
          </cell>
        </row>
        <row r="322">
          <cell r="A322">
            <v>60022</v>
          </cell>
        </row>
        <row r="323">
          <cell r="A323">
            <v>60023</v>
          </cell>
        </row>
        <row r="324">
          <cell r="A32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48501_1</v>
          </cell>
        </row>
        <row r="832">
          <cell r="A832" t="str">
            <v>48501_2</v>
          </cell>
        </row>
        <row r="833">
          <cell r="A833" t="str">
            <v>49001_1</v>
          </cell>
        </row>
        <row r="834">
          <cell r="A834" t="str">
            <v>49002_1</v>
          </cell>
        </row>
        <row r="835">
          <cell r="A835" t="str">
            <v>49002_2</v>
          </cell>
        </row>
        <row r="836">
          <cell r="A836" t="str">
            <v>49003_1</v>
          </cell>
        </row>
        <row r="837">
          <cell r="A837" t="str">
            <v>49003_2</v>
          </cell>
        </row>
        <row r="838">
          <cell r="A838" t="str">
            <v>49004_1</v>
          </cell>
        </row>
        <row r="839">
          <cell r="A839" t="str">
            <v>49004_2</v>
          </cell>
        </row>
        <row r="840">
          <cell r="A840" t="str">
            <v>49004_3</v>
          </cell>
        </row>
        <row r="841">
          <cell r="A841" t="str">
            <v>49005_1</v>
          </cell>
        </row>
        <row r="842">
          <cell r="A842" t="str">
            <v>49006_1</v>
          </cell>
        </row>
        <row r="843">
          <cell r="A843" t="str">
            <v>49006_2</v>
          </cell>
        </row>
        <row r="844">
          <cell r="A844" t="str">
            <v>49007_1</v>
          </cell>
        </row>
        <row r="845">
          <cell r="A845" t="str">
            <v>49007_2</v>
          </cell>
        </row>
        <row r="846">
          <cell r="A846" t="str">
            <v>49007_3</v>
          </cell>
        </row>
        <row r="847">
          <cell r="A847" t="str">
            <v>49008_1</v>
          </cell>
        </row>
        <row r="848">
          <cell r="A848" t="str">
            <v>49009_1</v>
          </cell>
        </row>
        <row r="849">
          <cell r="A849" t="str">
            <v>49010_1</v>
          </cell>
        </row>
        <row r="850">
          <cell r="A850" t="str">
            <v>49011_1</v>
          </cell>
        </row>
        <row r="851">
          <cell r="A851" t="str">
            <v>49012_1</v>
          </cell>
        </row>
        <row r="852">
          <cell r="A852" t="str">
            <v>49013_1</v>
          </cell>
        </row>
        <row r="853">
          <cell r="A853" t="str">
            <v>50001_1</v>
          </cell>
        </row>
        <row r="854">
          <cell r="A854" t="str">
            <v>50002_1</v>
          </cell>
        </row>
        <row r="855">
          <cell r="A855" t="str">
            <v>50003_1</v>
          </cell>
        </row>
        <row r="856">
          <cell r="A856" t="str">
            <v>50004_1</v>
          </cell>
        </row>
        <row r="857">
          <cell r="A857" t="str">
            <v>50005_1</v>
          </cell>
        </row>
        <row r="858">
          <cell r="A858" t="str">
            <v>50006_1</v>
          </cell>
        </row>
        <row r="859">
          <cell r="A859" t="str">
            <v>50007_1</v>
          </cell>
        </row>
        <row r="860">
          <cell r="A860" t="str">
            <v>50008_1</v>
          </cell>
        </row>
        <row r="861">
          <cell r="A861" t="str">
            <v>50009_1</v>
          </cell>
        </row>
        <row r="862">
          <cell r="A862" t="str">
            <v>50010_1</v>
          </cell>
        </row>
        <row r="863">
          <cell r="A863" t="str">
            <v>50011_1</v>
          </cell>
        </row>
        <row r="864">
          <cell r="A864" t="str">
            <v>50012_1</v>
          </cell>
        </row>
        <row r="865">
          <cell r="A865" t="str">
            <v>50013_1</v>
          </cell>
        </row>
        <row r="866">
          <cell r="A866" t="str">
            <v>51001_1</v>
          </cell>
        </row>
        <row r="867">
          <cell r="A867" t="str">
            <v>51002_1</v>
          </cell>
        </row>
        <row r="868">
          <cell r="A868" t="str">
            <v>59001_1</v>
          </cell>
        </row>
        <row r="869">
          <cell r="A869" t="str">
            <v>60001_1</v>
          </cell>
        </row>
        <row r="870">
          <cell r="A870" t="str">
            <v>60002_1</v>
          </cell>
        </row>
        <row r="871">
          <cell r="A871" t="str">
            <v>60002_2</v>
          </cell>
        </row>
        <row r="872">
          <cell r="A872" t="str">
            <v>60003_1</v>
          </cell>
        </row>
        <row r="873">
          <cell r="A873" t="str">
            <v>60003_2</v>
          </cell>
        </row>
        <row r="874">
          <cell r="A874" t="str">
            <v>60003_3</v>
          </cell>
        </row>
        <row r="875">
          <cell r="A875" t="str">
            <v>60004_1</v>
          </cell>
        </row>
        <row r="876">
          <cell r="A876" t="str">
            <v>60005_1</v>
          </cell>
        </row>
        <row r="877">
          <cell r="A877" t="str">
            <v>60006_1</v>
          </cell>
        </row>
        <row r="878">
          <cell r="A878" t="str">
            <v>60006_2</v>
          </cell>
        </row>
        <row r="879">
          <cell r="A879" t="str">
            <v>60006_3</v>
          </cell>
        </row>
        <row r="880">
          <cell r="A880" t="str">
            <v>60007_1</v>
          </cell>
        </row>
        <row r="881">
          <cell r="A881" t="str">
            <v>60007_2</v>
          </cell>
        </row>
        <row r="882">
          <cell r="A882" t="str">
            <v>60007_3</v>
          </cell>
        </row>
        <row r="883">
          <cell r="A883" t="str">
            <v>60010_1</v>
          </cell>
        </row>
        <row r="884">
          <cell r="A884" t="str">
            <v>60011_1</v>
          </cell>
        </row>
        <row r="885">
          <cell r="A885" t="str">
            <v>60011_2</v>
          </cell>
        </row>
        <row r="886">
          <cell r="A886" t="str">
            <v>60012_1</v>
          </cell>
        </row>
        <row r="887">
          <cell r="A887" t="str">
            <v>60013_1</v>
          </cell>
        </row>
        <row r="888">
          <cell r="A888" t="str">
            <v>60013_2</v>
          </cell>
        </row>
        <row r="889">
          <cell r="A889" t="str">
            <v>60013_3</v>
          </cell>
        </row>
        <row r="890">
          <cell r="A890" t="str">
            <v>60014_1</v>
          </cell>
        </row>
        <row r="891">
          <cell r="A891" t="str">
            <v>60015_1</v>
          </cell>
        </row>
        <row r="892">
          <cell r="A892" t="str">
            <v>60016_1</v>
          </cell>
        </row>
        <row r="893">
          <cell r="A893" t="str">
            <v>60017_1</v>
          </cell>
        </row>
        <row r="894">
          <cell r="A894" t="str">
            <v>60018_1</v>
          </cell>
        </row>
        <row r="895">
          <cell r="A895" t="str">
            <v>60019_1</v>
          </cell>
        </row>
        <row r="896">
          <cell r="A896" t="str">
            <v>60020_1</v>
          </cell>
        </row>
        <row r="897">
          <cell r="A897" t="str">
            <v>60021_3</v>
          </cell>
        </row>
        <row r="898">
          <cell r="A898" t="str">
            <v>60022_3</v>
          </cell>
        </row>
        <row r="899">
          <cell r="A899" t="str">
            <v>60023_3</v>
          </cell>
        </row>
        <row r="900">
          <cell r="A900" t="str">
            <v>60024_3</v>
          </cell>
        </row>
        <row r="901">
          <cell r="A901" t="str">
            <v>60025_1</v>
          </cell>
        </row>
        <row r="902">
          <cell r="A902" t="str">
            <v>60026_1</v>
          </cell>
        </row>
        <row r="903">
          <cell r="A903" t="str">
            <v>61011_1</v>
          </cell>
        </row>
        <row r="904">
          <cell r="A904" t="str">
            <v>60027_1</v>
          </cell>
        </row>
        <row r="905">
          <cell r="A905" t="str">
            <v>65525_1</v>
          </cell>
        </row>
        <row r="906">
          <cell r="A906" t="str">
            <v>65526_1</v>
          </cell>
        </row>
        <row r="907">
          <cell r="A907" t="str">
            <v>65526_2</v>
          </cell>
        </row>
        <row r="908">
          <cell r="A908" t="str">
            <v>65527_1</v>
          </cell>
        </row>
        <row r="909">
          <cell r="A909" t="str">
            <v>65528_1</v>
          </cell>
        </row>
        <row r="910">
          <cell r="A910" t="str">
            <v>65529_1</v>
          </cell>
        </row>
        <row r="911">
          <cell r="A911" t="str">
            <v>65530_1</v>
          </cell>
        </row>
        <row r="912">
          <cell r="A912" t="str">
            <v>65531_1</v>
          </cell>
        </row>
        <row r="913">
          <cell r="A913" t="str">
            <v>65531_2</v>
          </cell>
        </row>
        <row r="914">
          <cell r="A914" t="str">
            <v>65532_1</v>
          </cell>
        </row>
        <row r="915">
          <cell r="A915" t="str">
            <v>65532_2</v>
          </cell>
        </row>
        <row r="916">
          <cell r="A916" t="str">
            <v>65533_1</v>
          </cell>
        </row>
        <row r="917">
          <cell r="A917" t="str">
            <v>65533_2</v>
          </cell>
        </row>
        <row r="918">
          <cell r="A918" t="str">
            <v>65534_1</v>
          </cell>
        </row>
        <row r="919">
          <cell r="A919" t="str">
            <v>65535_1</v>
          </cell>
        </row>
        <row r="920">
          <cell r="A920" t="str">
            <v>65535_2</v>
          </cell>
        </row>
        <row r="921">
          <cell r="A921" t="str">
            <v>65535_3</v>
          </cell>
        </row>
        <row r="922">
          <cell r="A922" t="str">
            <v>65535_4</v>
          </cell>
        </row>
        <row r="923">
          <cell r="A923" t="str">
            <v>65535_5</v>
          </cell>
        </row>
        <row r="924">
          <cell r="A924" t="str">
            <v>65535_6</v>
          </cell>
        </row>
        <row r="925">
          <cell r="A925" t="str">
            <v>65535_7</v>
          </cell>
        </row>
        <row r="926">
          <cell r="A926" t="str">
            <v>65535_8</v>
          </cell>
        </row>
        <row r="927">
          <cell r="A927" t="str">
            <v>65535_9</v>
          </cell>
        </row>
        <row r="928">
          <cell r="A92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E17" sqref="E17"/>
    </sheetView>
  </sheetViews>
  <sheetFormatPr baseColWidth="12" defaultRowHeight="15" x14ac:dyDescent="0.15"/>
  <cols>
    <col min="2" max="2" width="26.33203125" bestFit="1" customWidth="1"/>
    <col min="3" max="4" width="10.5" customWidth="1"/>
    <col min="5" max="5" width="34.83203125" bestFit="1" customWidth="1"/>
    <col min="6" max="6" width="22.1640625" bestFit="1" customWidth="1"/>
  </cols>
  <sheetData>
    <row r="1" spans="1:30" x14ac:dyDescent="0.15">
      <c r="A1" s="48" t="s">
        <v>127</v>
      </c>
      <c r="B1" s="43" t="s">
        <v>98</v>
      </c>
      <c r="C1" s="43" t="s">
        <v>99</v>
      </c>
      <c r="D1" s="43" t="s">
        <v>100</v>
      </c>
      <c r="E1" s="43" t="s">
        <v>101</v>
      </c>
      <c r="F1" s="43" t="s">
        <v>102</v>
      </c>
      <c r="G1" s="43" t="s">
        <v>103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30" x14ac:dyDescent="0.15">
      <c r="A2" s="49" t="s">
        <v>462</v>
      </c>
      <c r="B2" s="45" t="s">
        <v>104</v>
      </c>
      <c r="C2" s="50">
        <v>60013</v>
      </c>
      <c r="D2" s="45" t="s">
        <v>105</v>
      </c>
      <c r="E2" s="44" t="str">
        <f>B2&amp;C2&amp;D2</f>
        <v>floors_60013.tmp</v>
      </c>
      <c r="F2" s="45" t="s">
        <v>106</v>
      </c>
      <c r="G2" s="46" t="s">
        <v>0</v>
      </c>
      <c r="H2" s="46" t="s">
        <v>1</v>
      </c>
      <c r="I2" s="46" t="s">
        <v>13</v>
      </c>
      <c r="J2" s="46" t="s">
        <v>14</v>
      </c>
      <c r="K2" s="46" t="s">
        <v>15</v>
      </c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30" x14ac:dyDescent="0.15">
      <c r="A3" s="49" t="s">
        <v>462</v>
      </c>
      <c r="B3" s="94" t="s">
        <v>228</v>
      </c>
      <c r="C3" s="50">
        <v>60013</v>
      </c>
      <c r="D3" s="45" t="s">
        <v>105</v>
      </c>
      <c r="E3" s="44" t="str">
        <f>B3&amp;C3&amp;D3</f>
        <v>ranking_floors_60013.tmp</v>
      </c>
      <c r="F3" s="45" t="s">
        <v>106</v>
      </c>
      <c r="G3" s="46" t="s">
        <v>0</v>
      </c>
      <c r="H3" s="46" t="s">
        <v>1</v>
      </c>
      <c r="I3" s="46" t="s">
        <v>13</v>
      </c>
      <c r="J3" s="84" t="s">
        <v>203</v>
      </c>
      <c r="K3" s="84" t="s">
        <v>204</v>
      </c>
      <c r="L3" s="84" t="s">
        <v>205</v>
      </c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</row>
    <row r="4" spans="1:30" x14ac:dyDescent="0.15">
      <c r="A4" s="49" t="s">
        <v>462</v>
      </c>
      <c r="B4" s="94" t="s">
        <v>229</v>
      </c>
      <c r="C4" s="50">
        <v>60013</v>
      </c>
      <c r="D4" s="45" t="s">
        <v>105</v>
      </c>
      <c r="E4" s="44" t="str">
        <f>B4&amp;C4&amp;D4</f>
        <v>ranking_stages_60013.tmp</v>
      </c>
      <c r="F4" s="45" t="s">
        <v>231</v>
      </c>
      <c r="G4" s="46" t="s">
        <v>0</v>
      </c>
      <c r="H4" s="46" t="s">
        <v>1</v>
      </c>
      <c r="I4" s="25" t="s">
        <v>230</v>
      </c>
      <c r="J4" s="46"/>
      <c r="K4" s="46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</row>
    <row r="5" spans="1:30" x14ac:dyDescent="0.15">
      <c r="A5" s="49" t="s">
        <v>462</v>
      </c>
      <c r="B5" s="94" t="s">
        <v>236</v>
      </c>
      <c r="C5" s="50">
        <v>60013</v>
      </c>
      <c r="D5" s="45" t="s">
        <v>105</v>
      </c>
      <c r="E5" s="44" t="str">
        <f t="shared" ref="E5:E7" si="0">B5&amp;C5&amp;D5</f>
        <v>clear_turn_60013.tmp</v>
      </c>
      <c r="F5" s="45" t="s">
        <v>240</v>
      </c>
      <c r="G5" s="46" t="s">
        <v>232</v>
      </c>
      <c r="H5" s="46" t="s">
        <v>233</v>
      </c>
      <c r="I5" s="46" t="s">
        <v>234</v>
      </c>
      <c r="J5" s="46" t="s">
        <v>235</v>
      </c>
      <c r="K5" s="46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30" x14ac:dyDescent="0.15">
      <c r="A6" s="49" t="s">
        <v>462</v>
      </c>
      <c r="B6" s="94" t="s">
        <v>237</v>
      </c>
      <c r="C6" s="50">
        <v>60013</v>
      </c>
      <c r="D6" s="45" t="s">
        <v>105</v>
      </c>
      <c r="E6" s="44" t="str">
        <f t="shared" si="0"/>
        <v>damage_give_60013.tmp</v>
      </c>
      <c r="F6" s="45" t="s">
        <v>241</v>
      </c>
      <c r="G6" s="46" t="s">
        <v>232</v>
      </c>
      <c r="H6" s="46" t="s">
        <v>233</v>
      </c>
      <c r="I6" s="46" t="s">
        <v>234</v>
      </c>
      <c r="J6" s="46" t="s">
        <v>235</v>
      </c>
      <c r="K6" s="46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30" x14ac:dyDescent="0.15">
      <c r="A7" s="49" t="s">
        <v>462</v>
      </c>
      <c r="B7" s="94" t="s">
        <v>239</v>
      </c>
      <c r="C7" s="50">
        <v>60013</v>
      </c>
      <c r="D7" s="45" t="s">
        <v>105</v>
      </c>
      <c r="E7" s="44" t="str">
        <f t="shared" si="0"/>
        <v>damage_receive_60013.tmp</v>
      </c>
      <c r="F7" s="45" t="s">
        <v>238</v>
      </c>
      <c r="G7" s="46" t="s">
        <v>232</v>
      </c>
      <c r="H7" s="46" t="s">
        <v>233</v>
      </c>
      <c r="I7" s="46" t="s">
        <v>234</v>
      </c>
      <c r="J7" s="46" t="s">
        <v>235</v>
      </c>
      <c r="K7" s="46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30" x14ac:dyDescent="0.15">
      <c r="A8" s="49" t="s">
        <v>462</v>
      </c>
      <c r="B8" s="94" t="s">
        <v>250</v>
      </c>
      <c r="C8" s="50">
        <v>60013</v>
      </c>
      <c r="D8" s="45" t="s">
        <v>105</v>
      </c>
      <c r="E8" s="44" t="str">
        <f t="shared" ref="E8:E9" si="1">B8&amp;C8&amp;D8</f>
        <v>ranking_eval_data_60013.tmp</v>
      </c>
      <c r="F8" s="45" t="s">
        <v>252</v>
      </c>
      <c r="G8" s="46" t="s">
        <v>242</v>
      </c>
      <c r="H8" s="46" t="s">
        <v>243</v>
      </c>
      <c r="I8" s="46" t="s">
        <v>244</v>
      </c>
      <c r="J8" s="46" t="s">
        <v>245</v>
      </c>
      <c r="K8" s="46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30" x14ac:dyDescent="0.15">
      <c r="A9" s="49" t="s">
        <v>462</v>
      </c>
      <c r="B9" s="94" t="s">
        <v>251</v>
      </c>
      <c r="C9" s="50">
        <v>60013</v>
      </c>
      <c r="D9" s="45" t="s">
        <v>105</v>
      </c>
      <c r="E9" s="44" t="str">
        <f t="shared" si="1"/>
        <v>ranking_eval_i18n_60013.tmp</v>
      </c>
      <c r="F9" s="45" t="s">
        <v>252</v>
      </c>
      <c r="G9" s="46" t="s">
        <v>242</v>
      </c>
      <c r="H9" s="93" t="s">
        <v>246</v>
      </c>
      <c r="I9" s="93" t="s">
        <v>247</v>
      </c>
      <c r="J9" s="93" t="s">
        <v>248</v>
      </c>
      <c r="K9" s="46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30" x14ac:dyDescent="0.15">
      <c r="A10" s="49" t="s">
        <v>462</v>
      </c>
      <c r="B10" s="45" t="s">
        <v>107</v>
      </c>
      <c r="C10" s="50">
        <v>60013</v>
      </c>
      <c r="D10" s="45" t="s">
        <v>105</v>
      </c>
      <c r="E10" s="44" t="str">
        <f>B10&amp;C10&amp;D10</f>
        <v>enemy_habitats_60013.tmp</v>
      </c>
      <c r="F10" s="45" t="s">
        <v>108</v>
      </c>
      <c r="G10" s="46" t="s">
        <v>0</v>
      </c>
      <c r="H10" s="46" t="s">
        <v>1</v>
      </c>
      <c r="I10" s="46" t="s">
        <v>13</v>
      </c>
      <c r="J10" s="46" t="s">
        <v>2</v>
      </c>
      <c r="K10" s="46" t="s">
        <v>3</v>
      </c>
      <c r="L10" s="46" t="s">
        <v>47</v>
      </c>
      <c r="M10" s="46" t="s">
        <v>49</v>
      </c>
      <c r="N10" s="46" t="s">
        <v>51</v>
      </c>
      <c r="O10" s="46" t="s">
        <v>22</v>
      </c>
      <c r="P10" s="46" t="s">
        <v>5</v>
      </c>
      <c r="Q10" s="46" t="s">
        <v>6</v>
      </c>
      <c r="R10" s="46" t="s">
        <v>7</v>
      </c>
      <c r="S10" s="46" t="s">
        <v>8</v>
      </c>
      <c r="T10" s="46" t="s">
        <v>9</v>
      </c>
      <c r="U10" s="46" t="s">
        <v>10</v>
      </c>
      <c r="V10" s="46" t="s">
        <v>11</v>
      </c>
      <c r="W10" s="46" t="s">
        <v>12</v>
      </c>
      <c r="X10" s="46" t="s">
        <v>37</v>
      </c>
      <c r="Y10" s="46" t="s">
        <v>39</v>
      </c>
      <c r="Z10" s="46" t="s">
        <v>41</v>
      </c>
      <c r="AA10" s="46" t="s">
        <v>43</v>
      </c>
      <c r="AB10" s="46" t="s">
        <v>45</v>
      </c>
      <c r="AC10" s="46" t="s">
        <v>53</v>
      </c>
      <c r="AD10" s="46" t="s">
        <v>173</v>
      </c>
    </row>
    <row r="11" spans="1:30" x14ac:dyDescent="0.15">
      <c r="A11" s="49" t="s">
        <v>462</v>
      </c>
      <c r="B11" s="45" t="s">
        <v>109</v>
      </c>
      <c r="C11" s="50">
        <v>60013</v>
      </c>
      <c r="D11" s="45" t="s">
        <v>105</v>
      </c>
      <c r="E11" s="44" t="str">
        <f>B11&amp;C11&amp;D11</f>
        <v>enemy_habitat_S_60013.tmp</v>
      </c>
      <c r="F11" s="45" t="s">
        <v>110</v>
      </c>
      <c r="G11" s="46" t="s">
        <v>0</v>
      </c>
      <c r="H11" s="46" t="s">
        <v>1</v>
      </c>
      <c r="I11" s="46" t="s">
        <v>13</v>
      </c>
      <c r="J11" s="46" t="s">
        <v>53</v>
      </c>
      <c r="K11" s="46" t="s">
        <v>54</v>
      </c>
      <c r="L11" s="46" t="s">
        <v>55</v>
      </c>
      <c r="M11" s="46" t="s">
        <v>56</v>
      </c>
      <c r="N11" s="46" t="s">
        <v>57</v>
      </c>
      <c r="O11" s="46" t="s">
        <v>58</v>
      </c>
      <c r="P11" s="46" t="s">
        <v>48</v>
      </c>
      <c r="Q11" s="46" t="s">
        <v>50</v>
      </c>
      <c r="R11" s="46" t="s">
        <v>52</v>
      </c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30" x14ac:dyDescent="0.15">
      <c r="A12" s="49" t="s">
        <v>462</v>
      </c>
      <c r="B12" s="45" t="s">
        <v>111</v>
      </c>
      <c r="C12" s="50">
        <v>60013</v>
      </c>
      <c r="D12" s="45" t="s">
        <v>105</v>
      </c>
      <c r="E12" s="44" t="str">
        <f>B12&amp;C12&amp;D12</f>
        <v>enemy_skill_sets_60013.tmp</v>
      </c>
      <c r="F12" s="45" t="s">
        <v>112</v>
      </c>
      <c r="G12" s="47" t="s">
        <v>22</v>
      </c>
      <c r="H12" s="47" t="s">
        <v>97</v>
      </c>
      <c r="I12" s="47" t="s">
        <v>92</v>
      </c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30" x14ac:dyDescent="0.15">
      <c r="A13" s="49" t="s">
        <v>462</v>
      </c>
      <c r="B13" s="45" t="s">
        <v>113</v>
      </c>
      <c r="C13" s="50">
        <v>60013</v>
      </c>
      <c r="D13" s="45" t="s">
        <v>114</v>
      </c>
      <c r="E13" s="44" t="str">
        <f t="shared" ref="E13:E17" si="2">B13&amp;C13&amp;D13</f>
        <v>enemy_skills_tmp_60013.tmp</v>
      </c>
      <c r="F13" s="45" t="s">
        <v>88</v>
      </c>
      <c r="G13" s="46" t="s">
        <v>78</v>
      </c>
      <c r="H13" s="46" t="s">
        <v>79</v>
      </c>
      <c r="I13" s="46" t="s">
        <v>80</v>
      </c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30" x14ac:dyDescent="0.15">
      <c r="A14" s="49" t="s">
        <v>462</v>
      </c>
      <c r="B14" s="45" t="s">
        <v>115</v>
      </c>
      <c r="C14" s="50">
        <v>60013</v>
      </c>
      <c r="D14" s="45" t="s">
        <v>105</v>
      </c>
      <c r="E14" s="44" t="str">
        <f>B14&amp;C14&amp;D14</f>
        <v>enemy_skills_i18n_60013.tmp</v>
      </c>
      <c r="F14" s="45" t="s">
        <v>116</v>
      </c>
      <c r="G14" s="46" t="s">
        <v>78</v>
      </c>
      <c r="H14" s="46" t="s">
        <v>89</v>
      </c>
      <c r="I14" s="46" t="s">
        <v>90</v>
      </c>
      <c r="J14" s="46" t="s">
        <v>91</v>
      </c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30" x14ac:dyDescent="0.15">
      <c r="A15" s="49" t="s">
        <v>462</v>
      </c>
      <c r="B15" s="45" t="s">
        <v>117</v>
      </c>
      <c r="C15" s="50">
        <v>60013</v>
      </c>
      <c r="D15" s="45" t="s">
        <v>118</v>
      </c>
      <c r="E15" s="44" t="str">
        <f t="shared" si="2"/>
        <v>enemy_skill_triggers_60013.tmp</v>
      </c>
      <c r="F15" s="45" t="s">
        <v>119</v>
      </c>
      <c r="G15" s="46" t="s">
        <v>92</v>
      </c>
      <c r="H15" s="46" t="s">
        <v>93</v>
      </c>
      <c r="I15" s="46" t="s">
        <v>94</v>
      </c>
      <c r="J15" s="46" t="s">
        <v>95</v>
      </c>
      <c r="K15" s="46" t="s">
        <v>120</v>
      </c>
      <c r="L15" s="46" t="s">
        <v>96</v>
      </c>
      <c r="M15" s="46" t="s">
        <v>121</v>
      </c>
      <c r="N15" s="46" t="s">
        <v>122</v>
      </c>
      <c r="O15" s="46" t="s">
        <v>123</v>
      </c>
      <c r="P15" s="46" t="s">
        <v>66</v>
      </c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30" x14ac:dyDescent="0.15">
      <c r="A16" s="49" t="s">
        <v>462</v>
      </c>
      <c r="B16" s="54" t="s">
        <v>172</v>
      </c>
      <c r="C16" s="50">
        <v>60013</v>
      </c>
      <c r="D16" s="54" t="s">
        <v>166</v>
      </c>
      <c r="E16" s="55" t="str">
        <f t="shared" si="2"/>
        <v>stage_bug_bonuses_60013.tmp</v>
      </c>
      <c r="F16" s="54" t="s">
        <v>167</v>
      </c>
      <c r="G16" s="51" t="s">
        <v>147</v>
      </c>
      <c r="H16" s="51" t="s">
        <v>168</v>
      </c>
      <c r="I16" s="51" t="s">
        <v>169</v>
      </c>
      <c r="J16" s="53" t="s">
        <v>170</v>
      </c>
      <c r="K16" s="51" t="s">
        <v>171</v>
      </c>
      <c r="L16" s="51" t="s">
        <v>153</v>
      </c>
      <c r="M16" s="51" t="s">
        <v>154</v>
      </c>
      <c r="N16" s="51" t="s">
        <v>155</v>
      </c>
      <c r="O16" s="51" t="s">
        <v>156</v>
      </c>
      <c r="P16" s="51" t="s">
        <v>157</v>
      </c>
      <c r="Q16" s="51" t="s">
        <v>158</v>
      </c>
      <c r="R16" s="51" t="s">
        <v>159</v>
      </c>
      <c r="S16" s="51" t="s">
        <v>160</v>
      </c>
      <c r="T16" s="51" t="s">
        <v>161</v>
      </c>
      <c r="U16" s="51" t="s">
        <v>162</v>
      </c>
      <c r="V16" s="51" t="s">
        <v>163</v>
      </c>
      <c r="W16" s="51" t="s">
        <v>164</v>
      </c>
    </row>
    <row r="17" spans="1:21" s="61" customFormat="1" x14ac:dyDescent="0.15">
      <c r="A17" s="49" t="s">
        <v>462</v>
      </c>
      <c r="B17" s="54" t="s">
        <v>192</v>
      </c>
      <c r="C17" s="50">
        <v>60013</v>
      </c>
      <c r="D17" s="54" t="s">
        <v>175</v>
      </c>
      <c r="E17" s="55" t="str">
        <f t="shared" si="2"/>
        <v>stage_hints_data_c_60013.tmp</v>
      </c>
      <c r="F17" s="54" t="s">
        <v>200</v>
      </c>
      <c r="G17" s="58" t="s">
        <v>176</v>
      </c>
      <c r="H17" s="58" t="s">
        <v>168</v>
      </c>
      <c r="I17" s="59" t="s">
        <v>177</v>
      </c>
      <c r="J17" s="53" t="s">
        <v>178</v>
      </c>
      <c r="K17" s="60" t="s">
        <v>179</v>
      </c>
    </row>
    <row r="18" spans="1:21" s="61" customFormat="1" x14ac:dyDescent="0.15">
      <c r="A18" s="49" t="s">
        <v>462</v>
      </c>
      <c r="B18" s="54" t="s">
        <v>193</v>
      </c>
      <c r="C18" s="50">
        <v>60013</v>
      </c>
      <c r="D18" s="54" t="s">
        <v>166</v>
      </c>
      <c r="E18" s="55" t="str">
        <f t="shared" ref="E18:E19" si="3">B18&amp;C18&amp;D18</f>
        <v>stage_hints_data_f_60013.tmp</v>
      </c>
      <c r="F18" s="54" t="s">
        <v>201</v>
      </c>
      <c r="G18" s="58" t="s">
        <v>176</v>
      </c>
      <c r="H18" s="58" t="s">
        <v>168</v>
      </c>
      <c r="I18" s="59" t="s">
        <v>177</v>
      </c>
      <c r="J18" s="53" t="s">
        <v>178</v>
      </c>
      <c r="K18" s="60" t="s">
        <v>179</v>
      </c>
    </row>
    <row r="19" spans="1:21" s="61" customFormat="1" x14ac:dyDescent="0.15">
      <c r="A19" s="49" t="s">
        <v>462</v>
      </c>
      <c r="B19" s="54" t="s">
        <v>194</v>
      </c>
      <c r="C19" s="50">
        <v>60013</v>
      </c>
      <c r="D19" s="54" t="s">
        <v>166</v>
      </c>
      <c r="E19" s="55" t="str">
        <f t="shared" si="3"/>
        <v>stage_hints_i18n_60013.tmp</v>
      </c>
      <c r="F19" s="54" t="s">
        <v>202</v>
      </c>
      <c r="G19" s="59" t="s">
        <v>195</v>
      </c>
      <c r="H19" s="82" t="s">
        <v>196</v>
      </c>
      <c r="I19" s="58" t="s">
        <v>197</v>
      </c>
      <c r="J19" s="83" t="s">
        <v>198</v>
      </c>
      <c r="K19" s="60" t="s">
        <v>199</v>
      </c>
    </row>
    <row r="20" spans="1:21" x14ac:dyDescent="0.15">
      <c r="A20" s="49" t="s">
        <v>462</v>
      </c>
      <c r="B20" s="54" t="s">
        <v>194</v>
      </c>
      <c r="C20" s="50">
        <v>60013</v>
      </c>
      <c r="D20" s="54" t="s">
        <v>166</v>
      </c>
      <c r="E20" s="55" t="str">
        <f t="shared" ref="E20:E21" si="4">B20&amp;C20&amp;D20</f>
        <v>stage_hints_i18n_60013.tmp</v>
      </c>
      <c r="F20" s="54" t="s">
        <v>202</v>
      </c>
      <c r="G20" s="59" t="s">
        <v>195</v>
      </c>
      <c r="H20" s="82" t="s">
        <v>196</v>
      </c>
      <c r="I20" s="58" t="s">
        <v>197</v>
      </c>
      <c r="J20" s="83" t="s">
        <v>198</v>
      </c>
      <c r="K20" s="60" t="s">
        <v>199</v>
      </c>
    </row>
    <row r="21" spans="1:21" x14ac:dyDescent="0.15">
      <c r="A21" s="49" t="s">
        <v>462</v>
      </c>
      <c r="B21" s="95" t="s">
        <v>217</v>
      </c>
      <c r="C21" s="50">
        <v>60013</v>
      </c>
      <c r="D21" s="54" t="s">
        <v>166</v>
      </c>
      <c r="E21" s="55" t="str">
        <f t="shared" si="4"/>
        <v>ranking_ACH_60013.tmp</v>
      </c>
      <c r="F21" s="54" t="s">
        <v>218</v>
      </c>
      <c r="G21" s="59" t="s">
        <v>219</v>
      </c>
      <c r="H21" s="82" t="s">
        <v>220</v>
      </c>
      <c r="I21" s="58" t="s">
        <v>221</v>
      </c>
      <c r="J21" s="60" t="s">
        <v>222</v>
      </c>
      <c r="K21" s="60"/>
    </row>
    <row r="22" spans="1:21" x14ac:dyDescent="0.15">
      <c r="A22" s="49" t="s">
        <v>462</v>
      </c>
      <c r="B22" s="96" t="s">
        <v>223</v>
      </c>
      <c r="C22" s="50">
        <v>60013</v>
      </c>
      <c r="D22" s="89" t="s">
        <v>114</v>
      </c>
      <c r="E22" s="90" t="str">
        <f>B22&amp;C22&amp;D22</f>
        <v>gifts_tmp_60013.tmp</v>
      </c>
      <c r="F22" s="54" t="s">
        <v>218</v>
      </c>
      <c r="G22" s="91" t="s">
        <v>224</v>
      </c>
      <c r="H22" s="91" t="s">
        <v>209</v>
      </c>
      <c r="I22" s="91" t="s">
        <v>210</v>
      </c>
      <c r="J22" s="91" t="s">
        <v>210</v>
      </c>
      <c r="K22" s="91" t="s">
        <v>210</v>
      </c>
      <c r="L22" s="91" t="s">
        <v>211</v>
      </c>
      <c r="M22" s="91" t="s">
        <v>211</v>
      </c>
      <c r="N22" s="91" t="s">
        <v>211</v>
      </c>
      <c r="O22" s="97" t="s">
        <v>41</v>
      </c>
      <c r="P22" s="97" t="s">
        <v>45</v>
      </c>
      <c r="Q22" s="97" t="s">
        <v>39</v>
      </c>
      <c r="R22" s="97" t="s">
        <v>258</v>
      </c>
      <c r="S22" s="97" t="s">
        <v>43</v>
      </c>
      <c r="T22" s="97" t="s">
        <v>3</v>
      </c>
      <c r="U22" s="97" t="s">
        <v>37</v>
      </c>
    </row>
    <row r="23" spans="1:21" x14ac:dyDescent="0.15">
      <c r="A23" s="49" t="s">
        <v>462</v>
      </c>
      <c r="B23" s="96" t="s">
        <v>225</v>
      </c>
      <c r="C23" s="50">
        <v>60013</v>
      </c>
      <c r="D23" s="89" t="s">
        <v>114</v>
      </c>
      <c r="E23" s="90" t="str">
        <f>B23&amp;C23&amp;D23</f>
        <v>gifts_i18n_60013.tmp</v>
      </c>
      <c r="F23" s="54" t="s">
        <v>218</v>
      </c>
      <c r="G23" s="91" t="s">
        <v>224</v>
      </c>
      <c r="H23" s="91" t="s">
        <v>212</v>
      </c>
      <c r="I23" s="91" t="s">
        <v>226</v>
      </c>
      <c r="J23" s="91" t="s">
        <v>227</v>
      </c>
      <c r="K23" s="91" t="s">
        <v>215</v>
      </c>
      <c r="L23" s="91"/>
      <c r="M23" s="91"/>
      <c r="N23" s="91"/>
      <c r="O23" s="89"/>
    </row>
    <row r="24" spans="1:21" x14ac:dyDescent="0.15">
      <c r="A24" s="49" t="s">
        <v>455</v>
      </c>
      <c r="B24" s="313" t="s">
        <v>463</v>
      </c>
      <c r="C24" s="50">
        <v>60013</v>
      </c>
      <c r="D24" s="89" t="s">
        <v>114</v>
      </c>
      <c r="E24" s="90" t="str">
        <f t="shared" ref="E24:E26" si="5">B24&amp;C24&amp;D24</f>
        <v>ranking_stage_evaluation_gifts_60013.tmp</v>
      </c>
      <c r="F24" s="314" t="s">
        <v>466</v>
      </c>
      <c r="G24" s="46" t="s">
        <v>467</v>
      </c>
      <c r="H24" s="46" t="s">
        <v>219</v>
      </c>
      <c r="I24" s="93" t="s">
        <v>468</v>
      </c>
      <c r="J24" s="87" t="s">
        <v>469</v>
      </c>
    </row>
    <row r="25" spans="1:21" x14ac:dyDescent="0.15">
      <c r="A25" s="49" t="s">
        <v>455</v>
      </c>
      <c r="B25" s="313" t="s">
        <v>464</v>
      </c>
      <c r="C25" s="50">
        <v>600013</v>
      </c>
      <c r="D25" s="89" t="s">
        <v>114</v>
      </c>
      <c r="E25" s="90" t="str">
        <f t="shared" si="5"/>
        <v>gifts_tmp_600013.tmp</v>
      </c>
      <c r="F25" s="314" t="s">
        <v>466</v>
      </c>
      <c r="G25" s="315" t="s">
        <v>470</v>
      </c>
      <c r="H25" s="315" t="s">
        <v>209</v>
      </c>
      <c r="I25" s="315" t="s">
        <v>210</v>
      </c>
      <c r="J25" s="315" t="s">
        <v>210</v>
      </c>
      <c r="K25" s="315" t="s">
        <v>210</v>
      </c>
      <c r="L25" s="315" t="s">
        <v>211</v>
      </c>
      <c r="M25" s="315" t="s">
        <v>211</v>
      </c>
      <c r="N25" s="315" t="s">
        <v>211</v>
      </c>
      <c r="O25" s="97" t="s">
        <v>41</v>
      </c>
      <c r="P25" s="97" t="s">
        <v>45</v>
      </c>
      <c r="Q25" s="97" t="s">
        <v>39</v>
      </c>
      <c r="R25" s="97" t="s">
        <v>258</v>
      </c>
      <c r="S25" s="97" t="s">
        <v>43</v>
      </c>
      <c r="T25" s="97" t="s">
        <v>3</v>
      </c>
      <c r="U25" s="97" t="s">
        <v>37</v>
      </c>
    </row>
    <row r="26" spans="1:21" x14ac:dyDescent="0.15">
      <c r="A26" s="49" t="s">
        <v>455</v>
      </c>
      <c r="B26" s="313" t="s">
        <v>465</v>
      </c>
      <c r="C26" s="50">
        <v>600013</v>
      </c>
      <c r="D26" s="89" t="s">
        <v>114</v>
      </c>
      <c r="E26" s="90" t="str">
        <f t="shared" si="5"/>
        <v>gifts_i18n_600013.tmp</v>
      </c>
      <c r="F26" s="314" t="s">
        <v>466</v>
      </c>
      <c r="G26" s="315" t="s">
        <v>470</v>
      </c>
      <c r="H26" s="315" t="s">
        <v>212</v>
      </c>
      <c r="I26" s="315" t="s">
        <v>471</v>
      </c>
      <c r="J26" s="315" t="s">
        <v>214</v>
      </c>
      <c r="K26" s="315" t="s">
        <v>472</v>
      </c>
      <c r="L26" s="315"/>
      <c r="M26" s="315"/>
      <c r="N26" s="315"/>
      <c r="O26" s="89"/>
    </row>
  </sheetData>
  <phoneticPr fontId="8"/>
  <dataValidations count="1">
    <dataValidation type="list" allowBlank="1" showInputMessage="1" showErrorMessage="1" sqref="A2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14"/>
  <sheetViews>
    <sheetView showGridLines="0" workbookViewId="0">
      <pane ySplit="1" topLeftCell="A2" activePane="bottomLeft" state="frozen"/>
      <selection activeCell="V2" sqref="V2:X34"/>
      <selection pane="bottomLeft" activeCell="B14" sqref="B14"/>
    </sheetView>
  </sheetViews>
  <sheetFormatPr baseColWidth="12" defaultColWidth="13" defaultRowHeight="21" customHeight="1" outlineLevelCol="1" x14ac:dyDescent="0.15"/>
  <cols>
    <col min="1" max="1" width="8.83203125" style="12" bestFit="1" customWidth="1"/>
    <col min="2" max="2" width="5" style="12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2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thickBot="1" x14ac:dyDescent="0.2">
      <c r="A1" s="10" t="s">
        <v>30</v>
      </c>
      <c r="B1" s="10" t="s">
        <v>36</v>
      </c>
      <c r="C1" s="159" t="s">
        <v>0</v>
      </c>
      <c r="D1" s="2" t="s">
        <v>18</v>
      </c>
      <c r="E1" s="9" t="s">
        <v>33</v>
      </c>
      <c r="F1" s="1" t="s">
        <v>1</v>
      </c>
      <c r="G1" s="13" t="s">
        <v>32</v>
      </c>
      <c r="H1" s="9" t="s">
        <v>34</v>
      </c>
      <c r="I1" s="1" t="s">
        <v>13</v>
      </c>
      <c r="J1" s="1" t="s">
        <v>14</v>
      </c>
      <c r="K1" s="1" t="s">
        <v>15</v>
      </c>
      <c r="L1" s="84" t="s">
        <v>203</v>
      </c>
      <c r="M1" s="84" t="s">
        <v>204</v>
      </c>
      <c r="N1" s="84" t="s">
        <v>205</v>
      </c>
    </row>
    <row r="2" spans="1:14" s="146" customFormat="1" ht="21" customHeight="1" thickBot="1" x14ac:dyDescent="0.2">
      <c r="A2" s="138" t="str">
        <f>G2&amp;"-"&amp;I2</f>
        <v>60013_1-1</v>
      </c>
      <c r="B2" s="139" t="str">
        <f>IF(COUNTIF(enemy_habitats!$H:$H,A2),"OK","NG")</f>
        <v>OK</v>
      </c>
      <c r="C2" s="106">
        <v>60013</v>
      </c>
      <c r="D2" s="140" t="str">
        <f ca="1">VLOOKUP($C2,OFFSET([2]quests!$A$1,0,0,COUNTA([2]quests!$A:$A),MATCH(D$1,[2]quests!$1:$1,0)-MATCH($C$1,[2]quests!$1:$1,0)+1),MATCH(D$1,[2]quests!$1:$1,0)-MATCH($C$1,[2]quests!$1:$1,0)+1,FALSE)</f>
        <v>オイラーチャレンジ</v>
      </c>
      <c r="E2" s="140" t="str">
        <f ca="1">VLOOKUP($C2,OFFSET([2]quests!$A$1,0,0,COUNTA([2]quests!$A:$A),MATCH(E$1,[2]quests!$1:$1,0)-MATCH($C$1,[2]quests!$1:$1,0)+1),MATCH(E$1,[2]quests!$1:$1,0)-MATCH($C$1,[2]quests!$1:$1,0)+1,FALSE)</f>
        <v>ランキング1（再開催版）</v>
      </c>
      <c r="F2" s="141">
        <v>1</v>
      </c>
      <c r="G2" s="142" t="str">
        <f>C2&amp;"_"&amp;F2</f>
        <v>60013_1</v>
      </c>
      <c r="H2" s="143" t="str">
        <f ca="1">VLOOKUP($G2,OFFSET([2]stages!$A$1,0,0,COUNTA([2]stages!$A:$A),MATCH(H$1,[2]stages!$2:$2,0)-MATCH($G$1,[2]stages!$2:$2,0)+1),MATCH(H$1,[2]stages!$2:$2,0)-MATCH($G$1,[2]stages!$2:$2,0)+1,FALSE)</f>
        <v>【中級】オイラーチャレンジ</v>
      </c>
      <c r="I2" s="141">
        <v>1</v>
      </c>
      <c r="J2" s="144">
        <v>45</v>
      </c>
      <c r="K2" s="144">
        <v>45</v>
      </c>
      <c r="L2" s="145">
        <v>6001311</v>
      </c>
      <c r="M2" s="145">
        <v>6001311</v>
      </c>
      <c r="N2" s="145">
        <v>6001311</v>
      </c>
    </row>
    <row r="3" spans="1:14" s="149" customFormat="1" ht="21" customHeight="1" thickBot="1" x14ac:dyDescent="0.2">
      <c r="A3" s="147" t="str">
        <f t="shared" ref="A3:A9" si="0">G3&amp;"-"&amp;I3</f>
        <v>60013_1-2</v>
      </c>
      <c r="B3" s="139" t="str">
        <f>IF(COUNTIF(enemy_habitats!$H:$H,A3),"OK","NG")</f>
        <v>OK</v>
      </c>
      <c r="C3" s="106">
        <v>60013</v>
      </c>
      <c r="D3" s="11" t="str">
        <f ca="1">VLOOKUP($C3,OFFSET([2]quests!$A$1,0,0,COUNTA([2]quests!$A:$A),MATCH(D$1,[2]quests!$1:$1,0)-MATCH($C$1,[2]quests!$1:$1,0)+1),MATCH(D$1,[2]quests!$1:$1,0)-MATCH($C$1,[2]quests!$1:$1,0)+1,FALSE)</f>
        <v>オイラーチャレンジ</v>
      </c>
      <c r="E3" s="11" t="str">
        <f ca="1">VLOOKUP($C3,OFFSET([2]quests!$A$1,0,0,COUNTA([2]quests!$A:$A),MATCH(E$1,[2]quests!$1:$1,0)-MATCH($C$1,[2]quests!$1:$1,0)+1),MATCH(E$1,[2]quests!$1:$1,0)-MATCH($C$1,[2]quests!$1:$1,0)+1,FALSE)</f>
        <v>ランキング1（再開催版）</v>
      </c>
      <c r="F3" s="105">
        <v>1</v>
      </c>
      <c r="G3" s="13" t="str">
        <f t="shared" ref="G3:G9" si="1">C3&amp;"_"&amp;F3</f>
        <v>60013_1</v>
      </c>
      <c r="H3" s="9" t="str">
        <f ca="1">VLOOKUP($G3,OFFSET([2]stages!$A$1,0,0,COUNTA([2]stages!$A:$A),MATCH(H$1,[2]stages!$2:$2,0)-MATCH($G$1,[2]stages!$2:$2,0)+1),MATCH(H$1,[2]stages!$2:$2,0)-MATCH($G$1,[2]stages!$2:$2,0)+1,FALSE)</f>
        <v>【中級】オイラーチャレンジ</v>
      </c>
      <c r="I3" s="105">
        <v>2</v>
      </c>
      <c r="J3" s="26">
        <v>45</v>
      </c>
      <c r="K3" s="26">
        <v>45</v>
      </c>
      <c r="L3" s="148">
        <v>6001312</v>
      </c>
      <c r="M3" s="148">
        <v>6001312</v>
      </c>
      <c r="N3" s="148">
        <v>6001312</v>
      </c>
    </row>
    <row r="4" spans="1:14" s="149" customFormat="1" ht="21" customHeight="1" thickBot="1" x14ac:dyDescent="0.2">
      <c r="A4" s="147" t="str">
        <f t="shared" si="0"/>
        <v>60013_1-3</v>
      </c>
      <c r="B4" s="139" t="str">
        <f>IF(COUNTIF(enemy_habitats!$H:$H,A4),"OK","NG")</f>
        <v>OK</v>
      </c>
      <c r="C4" s="106">
        <v>60013</v>
      </c>
      <c r="D4" s="11" t="str">
        <f ca="1">VLOOKUP($C4,OFFSET([2]quests!$A$1,0,0,COUNTA([2]quests!$A:$A),MATCH(D$1,[2]quests!$1:$1,0)-MATCH($C$1,[2]quests!$1:$1,0)+1),MATCH(D$1,[2]quests!$1:$1,0)-MATCH($C$1,[2]quests!$1:$1,0)+1,FALSE)</f>
        <v>オイラーチャレンジ</v>
      </c>
      <c r="E4" s="11" t="str">
        <f ca="1">VLOOKUP($C4,OFFSET([2]quests!$A$1,0,0,COUNTA([2]quests!$A:$A),MATCH(E$1,[2]quests!$1:$1,0)-MATCH($C$1,[2]quests!$1:$1,0)+1),MATCH(E$1,[2]quests!$1:$1,0)-MATCH($C$1,[2]quests!$1:$1,0)+1,FALSE)</f>
        <v>ランキング1（再開催版）</v>
      </c>
      <c r="F4" s="105">
        <v>1</v>
      </c>
      <c r="G4" s="13" t="str">
        <f t="shared" si="1"/>
        <v>60013_1</v>
      </c>
      <c r="H4" s="9" t="str">
        <f ca="1">VLOOKUP($G4,OFFSET([2]stages!$A$1,0,0,COUNTA([2]stages!$A:$A),MATCH(H$1,[2]stages!$2:$2,0)-MATCH($G$1,[2]stages!$2:$2,0)+1),MATCH(H$1,[2]stages!$2:$2,0)-MATCH($G$1,[2]stages!$2:$2,0)+1,FALSE)</f>
        <v>【中級】オイラーチャレンジ</v>
      </c>
      <c r="I4" s="105">
        <v>3</v>
      </c>
      <c r="J4" s="26">
        <v>60</v>
      </c>
      <c r="K4" s="26">
        <v>60</v>
      </c>
      <c r="L4" s="148">
        <v>6001313</v>
      </c>
      <c r="M4" s="148">
        <v>6001313</v>
      </c>
      <c r="N4" s="148">
        <v>6001313</v>
      </c>
    </row>
    <row r="5" spans="1:14" s="157" customFormat="1" ht="21" customHeight="1" thickBot="1" x14ac:dyDescent="0.2">
      <c r="A5" s="150" t="str">
        <f t="shared" si="0"/>
        <v>60013_1-4</v>
      </c>
      <c r="B5" s="139" t="str">
        <f>IF(COUNTIF(enemy_habitats!$H:$H,A5),"OK","NG")</f>
        <v>OK</v>
      </c>
      <c r="C5" s="160">
        <v>60013</v>
      </c>
      <c r="D5" s="151" t="str">
        <f ca="1">VLOOKUP($C5,OFFSET([2]quests!$A$1,0,0,COUNTA([2]quests!$A:$A),MATCH(D$1,[2]quests!$1:$1,0)-MATCH($C$1,[2]quests!$1:$1,0)+1),MATCH(D$1,[2]quests!$1:$1,0)-MATCH($C$1,[2]quests!$1:$1,0)+1,FALSE)</f>
        <v>オイラーチャレンジ</v>
      </c>
      <c r="E5" s="151" t="str">
        <f ca="1">VLOOKUP($C5,OFFSET([2]quests!$A$1,0,0,COUNTA([2]quests!$A:$A),MATCH(E$1,[2]quests!$1:$1,0)-MATCH($C$1,[2]quests!$1:$1,0)+1),MATCH(E$1,[2]quests!$1:$1,0)-MATCH($C$1,[2]quests!$1:$1,0)+1,FALSE)</f>
        <v>ランキング1（再開催版）</v>
      </c>
      <c r="F5" s="152">
        <v>1</v>
      </c>
      <c r="G5" s="153" t="str">
        <f t="shared" si="1"/>
        <v>60013_1</v>
      </c>
      <c r="H5" s="154" t="str">
        <f ca="1">VLOOKUP($G5,OFFSET([2]stages!$A$1,0,0,COUNTA([2]stages!$A:$A),MATCH(H$1,[2]stages!$2:$2,0)-MATCH($G$1,[2]stages!$2:$2,0)+1),MATCH(H$1,[2]stages!$2:$2,0)-MATCH($G$1,[2]stages!$2:$2,0)+1,FALSE)</f>
        <v>【中級】オイラーチャレンジ</v>
      </c>
      <c r="I5" s="152">
        <v>4</v>
      </c>
      <c r="J5" s="155">
        <v>60</v>
      </c>
      <c r="K5" s="155">
        <v>60</v>
      </c>
      <c r="L5" s="156">
        <v>6001314</v>
      </c>
      <c r="M5" s="156">
        <v>6001314</v>
      </c>
      <c r="N5" s="156">
        <v>6001314</v>
      </c>
    </row>
    <row r="6" spans="1:14" s="146" customFormat="1" ht="21" customHeight="1" thickBot="1" x14ac:dyDescent="0.2">
      <c r="A6" s="138" t="str">
        <f t="shared" si="0"/>
        <v>60013_2-1</v>
      </c>
      <c r="B6" s="139" t="str">
        <f>IF(COUNTIF(enemy_habitats!$H:$H,A6),"OK","NG")</f>
        <v>OK</v>
      </c>
      <c r="C6" s="98">
        <v>60013</v>
      </c>
      <c r="D6" s="140" t="str">
        <f ca="1">VLOOKUP($C6,OFFSET([2]quests!$A$1,0,0,COUNTA([2]quests!$A:$A),MATCH(D$1,[2]quests!$1:$1,0)-MATCH($C$1,[2]quests!$1:$1,0)+1),MATCH(D$1,[2]quests!$1:$1,0)-MATCH($C$1,[2]quests!$1:$1,0)+1,FALSE)</f>
        <v>オイラーチャレンジ</v>
      </c>
      <c r="E6" s="140" t="str">
        <f ca="1">VLOOKUP($C6,OFFSET([2]quests!$A$1,0,0,COUNTA([2]quests!$A:$A),MATCH(E$1,[2]quests!$1:$1,0)-MATCH($C$1,[2]quests!$1:$1,0)+1),MATCH(E$1,[2]quests!$1:$1,0)-MATCH($C$1,[2]quests!$1:$1,0)+1,FALSE)</f>
        <v>ランキング1（再開催版）</v>
      </c>
      <c r="F6" s="141">
        <v>2</v>
      </c>
      <c r="G6" s="142" t="str">
        <f t="shared" si="1"/>
        <v>60013_2</v>
      </c>
      <c r="H6" s="143" t="str">
        <f ca="1">VLOOKUP($G6,OFFSET([2]stages!$A$1,0,0,COUNTA([2]stages!$A:$A),MATCH(H$1,[2]stages!$2:$2,0)-MATCH($G$1,[2]stages!$2:$2,0)+1),MATCH(H$1,[2]stages!$2:$2,0)-MATCH($G$1,[2]stages!$2:$2,0)+1,FALSE)</f>
        <v>【超級】オイラーチャレンジ</v>
      </c>
      <c r="I6" s="141">
        <v>1</v>
      </c>
      <c r="J6" s="144">
        <v>45</v>
      </c>
      <c r="K6" s="144">
        <v>45</v>
      </c>
      <c r="L6" s="145">
        <v>6001321</v>
      </c>
      <c r="M6" s="145">
        <v>6001321</v>
      </c>
      <c r="N6" s="145">
        <v>6001321</v>
      </c>
    </row>
    <row r="7" spans="1:14" s="149" customFormat="1" ht="21" customHeight="1" thickBot="1" x14ac:dyDescent="0.2">
      <c r="A7" s="147" t="str">
        <f t="shared" si="0"/>
        <v>60013_2-2</v>
      </c>
      <c r="B7" s="139" t="str">
        <f>IF(COUNTIF(enemy_habitats!$H:$H,A7),"OK","NG")</f>
        <v>OK</v>
      </c>
      <c r="C7" s="106">
        <v>60013</v>
      </c>
      <c r="D7" s="11" t="str">
        <f ca="1">VLOOKUP($C7,OFFSET([2]quests!$A$1,0,0,COUNTA([2]quests!$A:$A),MATCH(D$1,[2]quests!$1:$1,0)-MATCH($C$1,[2]quests!$1:$1,0)+1),MATCH(D$1,[2]quests!$1:$1,0)-MATCH($C$1,[2]quests!$1:$1,0)+1,FALSE)</f>
        <v>オイラーチャレンジ</v>
      </c>
      <c r="E7" s="11" t="str">
        <f ca="1">VLOOKUP($C7,OFFSET([2]quests!$A$1,0,0,COUNTA([2]quests!$A:$A),MATCH(E$1,[2]quests!$1:$1,0)-MATCH($C$1,[2]quests!$1:$1,0)+1),MATCH(E$1,[2]quests!$1:$1,0)-MATCH($C$1,[2]quests!$1:$1,0)+1,FALSE)</f>
        <v>ランキング1（再開催版）</v>
      </c>
      <c r="F7" s="105">
        <v>2</v>
      </c>
      <c r="G7" s="13" t="str">
        <f t="shared" si="1"/>
        <v>60013_2</v>
      </c>
      <c r="H7" s="9" t="str">
        <f ca="1">VLOOKUP($G7,OFFSET([2]stages!$A$1,0,0,COUNTA([2]stages!$A:$A),MATCH(H$1,[2]stages!$2:$2,0)-MATCH($G$1,[2]stages!$2:$2,0)+1),MATCH(H$1,[2]stages!$2:$2,0)-MATCH($G$1,[2]stages!$2:$2,0)+1,FALSE)</f>
        <v>【超級】オイラーチャレンジ</v>
      </c>
      <c r="I7" s="105">
        <v>2</v>
      </c>
      <c r="J7" s="26">
        <v>60</v>
      </c>
      <c r="K7" s="26">
        <v>60</v>
      </c>
      <c r="L7" s="104">
        <v>6001322</v>
      </c>
      <c r="M7" s="104">
        <v>6001322</v>
      </c>
      <c r="N7" s="104">
        <v>6001322</v>
      </c>
    </row>
    <row r="8" spans="1:14" s="149" customFormat="1" ht="21" customHeight="1" thickBot="1" x14ac:dyDescent="0.2">
      <c r="A8" s="147" t="str">
        <f t="shared" si="0"/>
        <v>60013_2-3</v>
      </c>
      <c r="B8" s="139" t="str">
        <f>IF(COUNTIF(enemy_habitats!$H:$H,A8),"OK","NG")</f>
        <v>OK</v>
      </c>
      <c r="C8" s="106">
        <v>60013</v>
      </c>
      <c r="D8" s="11" t="str">
        <f ca="1">VLOOKUP($C8,OFFSET([2]quests!$A$1,0,0,COUNTA([2]quests!$A:$A),MATCH(D$1,[2]quests!$1:$1,0)-MATCH($C$1,[2]quests!$1:$1,0)+1),MATCH(D$1,[2]quests!$1:$1,0)-MATCH($C$1,[2]quests!$1:$1,0)+1,FALSE)</f>
        <v>オイラーチャレンジ</v>
      </c>
      <c r="E8" s="11" t="str">
        <f ca="1">VLOOKUP($C8,OFFSET([2]quests!$A$1,0,0,COUNTA([2]quests!$A:$A),MATCH(E$1,[2]quests!$1:$1,0)-MATCH($C$1,[2]quests!$1:$1,0)+1),MATCH(E$1,[2]quests!$1:$1,0)-MATCH($C$1,[2]quests!$1:$1,0)+1,FALSE)</f>
        <v>ランキング1（再開催版）</v>
      </c>
      <c r="F8" s="105">
        <v>2</v>
      </c>
      <c r="G8" s="13" t="str">
        <f t="shared" si="1"/>
        <v>60013_2</v>
      </c>
      <c r="H8" s="9" t="str">
        <f ca="1">VLOOKUP($G8,OFFSET([2]stages!$A$1,0,0,COUNTA([2]stages!$A:$A),MATCH(H$1,[2]stages!$2:$2,0)-MATCH($G$1,[2]stages!$2:$2,0)+1),MATCH(H$1,[2]stages!$2:$2,0)-MATCH($G$1,[2]stages!$2:$2,0)+1,FALSE)</f>
        <v>【超級】オイラーチャレンジ</v>
      </c>
      <c r="I8" s="105">
        <v>3</v>
      </c>
      <c r="J8" s="26">
        <v>60</v>
      </c>
      <c r="K8" s="26">
        <v>60</v>
      </c>
      <c r="L8" s="104">
        <v>6001323</v>
      </c>
      <c r="M8" s="104">
        <v>6001323</v>
      </c>
      <c r="N8" s="104">
        <v>6001323</v>
      </c>
    </row>
    <row r="9" spans="1:14" s="157" customFormat="1" ht="21" customHeight="1" thickBot="1" x14ac:dyDescent="0.2">
      <c r="A9" s="150" t="str">
        <f t="shared" si="0"/>
        <v>60013_2-4</v>
      </c>
      <c r="B9" s="139" t="str">
        <f>IF(COUNTIF(enemy_habitats!$H:$H,A9),"OK","NG")</f>
        <v>OK</v>
      </c>
      <c r="C9" s="160">
        <v>60013</v>
      </c>
      <c r="D9" s="151" t="str">
        <f ca="1">VLOOKUP($C9,OFFSET([2]quests!$A$1,0,0,COUNTA([2]quests!$A:$A),MATCH(D$1,[2]quests!$1:$1,0)-MATCH($C$1,[2]quests!$1:$1,0)+1),MATCH(D$1,[2]quests!$1:$1,0)-MATCH($C$1,[2]quests!$1:$1,0)+1,FALSE)</f>
        <v>オイラーチャレンジ</v>
      </c>
      <c r="E9" s="151" t="str">
        <f ca="1">VLOOKUP($C9,OFFSET([2]quests!$A$1,0,0,COUNTA([2]quests!$A:$A),MATCH(E$1,[2]quests!$1:$1,0)-MATCH($C$1,[2]quests!$1:$1,0)+1),MATCH(E$1,[2]quests!$1:$1,0)-MATCH($C$1,[2]quests!$1:$1,0)+1,FALSE)</f>
        <v>ランキング1（再開催版）</v>
      </c>
      <c r="F9" s="152">
        <v>2</v>
      </c>
      <c r="G9" s="153" t="str">
        <f t="shared" si="1"/>
        <v>60013_2</v>
      </c>
      <c r="H9" s="154" t="str">
        <f ca="1">VLOOKUP($G9,OFFSET([2]stages!$A$1,0,0,COUNTA([2]stages!$A:$A),MATCH(H$1,[2]stages!$2:$2,0)-MATCH($G$1,[2]stages!$2:$2,0)+1),MATCH(H$1,[2]stages!$2:$2,0)-MATCH($G$1,[2]stages!$2:$2,0)+1,FALSE)</f>
        <v>【超級】オイラーチャレンジ</v>
      </c>
      <c r="I9" s="152">
        <v>4</v>
      </c>
      <c r="J9" s="155">
        <v>60</v>
      </c>
      <c r="K9" s="155">
        <v>60</v>
      </c>
      <c r="L9" s="158">
        <v>6001324</v>
      </c>
      <c r="M9" s="158">
        <v>6001324</v>
      </c>
      <c r="N9" s="158">
        <v>6001324</v>
      </c>
    </row>
    <row r="10" spans="1:14" ht="21" customHeight="1" thickBot="1" x14ac:dyDescent="0.2">
      <c r="A10" s="10" t="str">
        <f t="shared" ref="A10:A14" si="2">G10&amp;"-"&amp;I10</f>
        <v>60013_3-1</v>
      </c>
      <c r="B10" s="139" t="str">
        <f>IF(COUNTIF(enemy_habitats!$H:$H,A10),"OK","NG")</f>
        <v>OK</v>
      </c>
      <c r="C10" s="98">
        <v>60013</v>
      </c>
      <c r="D10" s="99" t="str">
        <f ca="1">VLOOKUP($C10,OFFSET([2]quests!$A$1,0,0,COUNTA([2]quests!$A:$A),MATCH(D$1,[2]quests!$1:$1,0)-MATCH($C$1,[2]quests!$1:$1,0)+1),MATCH(D$1,[2]quests!$1:$1,0)-MATCH($C$1,[2]quests!$1:$1,0)+1,FALSE)</f>
        <v>オイラーチャレンジ</v>
      </c>
      <c r="E10" s="99" t="str">
        <f ca="1">VLOOKUP($C10,OFFSET([2]quests!$A$1,0,0,COUNTA([2]quests!$A:$A),MATCH(E$1,[2]quests!$1:$1,0)-MATCH($C$1,[2]quests!$1:$1,0)+1),MATCH(E$1,[2]quests!$1:$1,0)-MATCH($C$1,[2]quests!$1:$1,0)+1,FALSE)</f>
        <v>ランキング1（再開催版）</v>
      </c>
      <c r="F10" s="100">
        <v>3</v>
      </c>
      <c r="G10" s="101" t="str">
        <f t="shared" ref="G10:G14" si="3">C10&amp;"_"&amp;F10</f>
        <v>60013_3</v>
      </c>
      <c r="H10" s="102" t="str">
        <f ca="1">VLOOKUP($G10,OFFSET([2]stages!$A$1,0,0,COUNTA([2]stages!$A:$A),MATCH(H$1,[2]stages!$2:$2,0)-MATCH($G$1,[2]stages!$2:$2,0)+1),MATCH(H$1,[2]stages!$2:$2,0)-MATCH($G$1,[2]stages!$2:$2,0)+1,FALSE)</f>
        <v>【ウィザード級】オイラーチャレンジ</v>
      </c>
      <c r="I10" s="100">
        <v>1</v>
      </c>
      <c r="J10" s="103">
        <v>60</v>
      </c>
      <c r="K10" s="103">
        <v>60</v>
      </c>
      <c r="L10" s="104">
        <v>6001331</v>
      </c>
      <c r="M10" s="104">
        <v>6001331</v>
      </c>
      <c r="N10" s="104">
        <v>6001331</v>
      </c>
    </row>
    <row r="11" spans="1:14" ht="21" customHeight="1" thickBot="1" x14ac:dyDescent="0.2">
      <c r="A11" s="10" t="str">
        <f t="shared" si="2"/>
        <v>60013_3-2</v>
      </c>
      <c r="B11" s="139" t="str">
        <f>IF(COUNTIF(enemy_habitats!$H:$H,A11),"OK","NG")</f>
        <v>OK</v>
      </c>
      <c r="C11" s="4">
        <v>60013</v>
      </c>
      <c r="D11" s="11" t="str">
        <f ca="1">VLOOKUP($C11,OFFSET([2]quests!$A$1,0,0,COUNTA([2]quests!$A:$A),MATCH(D$1,[2]quests!$1:$1,0)-MATCH($C$1,[2]quests!$1:$1,0)+1),MATCH(D$1,[2]quests!$1:$1,0)-MATCH($C$1,[2]quests!$1:$1,0)+1,FALSE)</f>
        <v>オイラーチャレンジ</v>
      </c>
      <c r="E11" s="11" t="str">
        <f ca="1">VLOOKUP($C11,OFFSET([2]quests!$A$1,0,0,COUNTA([2]quests!$A:$A),MATCH(E$1,[2]quests!$1:$1,0)-MATCH($C$1,[2]quests!$1:$1,0)+1),MATCH(E$1,[2]quests!$1:$1,0)-MATCH($C$1,[2]quests!$1:$1,0)+1,FALSE)</f>
        <v>ランキング1（再開催版）</v>
      </c>
      <c r="F11" s="105">
        <v>3</v>
      </c>
      <c r="G11" s="13" t="str">
        <f t="shared" si="3"/>
        <v>60013_3</v>
      </c>
      <c r="H11" s="9" t="str">
        <f ca="1">VLOOKUP($G11,OFFSET([2]stages!$A$1,0,0,COUNTA([2]stages!$A:$A),MATCH(H$1,[2]stages!$2:$2,0)-MATCH($G$1,[2]stages!$2:$2,0)+1),MATCH(H$1,[2]stages!$2:$2,0)-MATCH($G$1,[2]stages!$2:$2,0)+1,FALSE)</f>
        <v>【ウィザード級】オイラーチャレンジ</v>
      </c>
      <c r="I11" s="105">
        <v>2</v>
      </c>
      <c r="J11" s="26">
        <v>60</v>
      </c>
      <c r="K11" s="26">
        <v>60</v>
      </c>
      <c r="L11" s="104">
        <v>6001332</v>
      </c>
      <c r="M11" s="104">
        <v>6001332</v>
      </c>
      <c r="N11" s="104">
        <v>6001332</v>
      </c>
    </row>
    <row r="12" spans="1:14" ht="21" customHeight="1" thickBot="1" x14ac:dyDescent="0.2">
      <c r="A12" s="10" t="str">
        <f t="shared" si="2"/>
        <v>60013_3-3</v>
      </c>
      <c r="B12" s="139" t="str">
        <f>IF(COUNTIF(enemy_habitats!$H:$H,A12),"OK","NG")</f>
        <v>OK</v>
      </c>
      <c r="C12" s="4">
        <v>60013</v>
      </c>
      <c r="D12" s="11" t="str">
        <f ca="1">VLOOKUP($C12,OFFSET([2]quests!$A$1,0,0,COUNTA([2]quests!$A:$A),MATCH(D$1,[2]quests!$1:$1,0)-MATCH($C$1,[2]quests!$1:$1,0)+1),MATCH(D$1,[2]quests!$1:$1,0)-MATCH($C$1,[2]quests!$1:$1,0)+1,FALSE)</f>
        <v>オイラーチャレンジ</v>
      </c>
      <c r="E12" s="11" t="str">
        <f ca="1">VLOOKUP($C12,OFFSET([2]quests!$A$1,0,0,COUNTA([2]quests!$A:$A),MATCH(E$1,[2]quests!$1:$1,0)-MATCH($C$1,[2]quests!$1:$1,0)+1),MATCH(E$1,[2]quests!$1:$1,0)-MATCH($C$1,[2]quests!$1:$1,0)+1,FALSE)</f>
        <v>ランキング1（再開催版）</v>
      </c>
      <c r="F12" s="105">
        <v>3</v>
      </c>
      <c r="G12" s="13" t="str">
        <f t="shared" si="3"/>
        <v>60013_3</v>
      </c>
      <c r="H12" s="9" t="str">
        <f ca="1">VLOOKUP($G12,OFFSET([2]stages!$A$1,0,0,COUNTA([2]stages!$A:$A),MATCH(H$1,[2]stages!$2:$2,0)-MATCH($G$1,[2]stages!$2:$2,0)+1),MATCH(H$1,[2]stages!$2:$2,0)-MATCH($G$1,[2]stages!$2:$2,0)+1,FALSE)</f>
        <v>【ウィザード級】オイラーチャレンジ</v>
      </c>
      <c r="I12" s="105">
        <v>3</v>
      </c>
      <c r="J12" s="26">
        <v>60</v>
      </c>
      <c r="K12" s="26">
        <v>60</v>
      </c>
      <c r="L12" s="104">
        <v>6001333</v>
      </c>
      <c r="M12" s="104">
        <v>6001333</v>
      </c>
      <c r="N12" s="104">
        <v>6001333</v>
      </c>
    </row>
    <row r="13" spans="1:14" ht="21" customHeight="1" thickBot="1" x14ac:dyDescent="0.2">
      <c r="A13" s="10" t="str">
        <f t="shared" si="2"/>
        <v>60013_3-4</v>
      </c>
      <c r="B13" s="139" t="str">
        <f>IF(COUNTIF(enemy_habitats!$H:$H,A13),"OK","NG")</f>
        <v>OK</v>
      </c>
      <c r="C13" s="4">
        <v>60013</v>
      </c>
      <c r="D13" s="11" t="str">
        <f ca="1">VLOOKUP($C13,OFFSET([2]quests!$A$1,0,0,COUNTA([2]quests!$A:$A),MATCH(D$1,[2]quests!$1:$1,0)-MATCH($C$1,[2]quests!$1:$1,0)+1),MATCH(D$1,[2]quests!$1:$1,0)-MATCH($C$1,[2]quests!$1:$1,0)+1,FALSE)</f>
        <v>オイラーチャレンジ</v>
      </c>
      <c r="E13" s="11" t="str">
        <f ca="1">VLOOKUP($C13,OFFSET([2]quests!$A$1,0,0,COUNTA([2]quests!$A:$A),MATCH(E$1,[2]quests!$1:$1,0)-MATCH($C$1,[2]quests!$1:$1,0)+1),MATCH(E$1,[2]quests!$1:$1,0)-MATCH($C$1,[2]quests!$1:$1,0)+1,FALSE)</f>
        <v>ランキング1（再開催版）</v>
      </c>
      <c r="F13" s="105">
        <v>3</v>
      </c>
      <c r="G13" s="13" t="str">
        <f t="shared" si="3"/>
        <v>60013_3</v>
      </c>
      <c r="H13" s="9" t="str">
        <f ca="1">VLOOKUP($G13,OFFSET([2]stages!$A$1,0,0,COUNTA([2]stages!$A:$A),MATCH(H$1,[2]stages!$2:$2,0)-MATCH($G$1,[2]stages!$2:$2,0)+1),MATCH(H$1,[2]stages!$2:$2,0)-MATCH($G$1,[2]stages!$2:$2,0)+1,FALSE)</f>
        <v>【ウィザード級】オイラーチャレンジ</v>
      </c>
      <c r="I13" s="105">
        <v>4</v>
      </c>
      <c r="J13" s="26">
        <v>60</v>
      </c>
      <c r="K13" s="26">
        <v>60</v>
      </c>
      <c r="L13" s="104">
        <v>6001334</v>
      </c>
      <c r="M13" s="104">
        <v>6001334</v>
      </c>
      <c r="N13" s="104">
        <v>6001334</v>
      </c>
    </row>
    <row r="14" spans="1:14" ht="21" customHeight="1" x14ac:dyDescent="0.15">
      <c r="A14" s="10" t="str">
        <f t="shared" si="2"/>
        <v>60013_3-5</v>
      </c>
      <c r="B14" s="139" t="str">
        <f>IF(COUNTIF(enemy_habitats!$H:$H,A14),"OK","NG")</f>
        <v>OK</v>
      </c>
      <c r="C14" s="4">
        <v>60013</v>
      </c>
      <c r="D14" s="11" t="str">
        <f ca="1">VLOOKUP($C14,OFFSET([2]quests!$A$1,0,0,COUNTA([2]quests!$A:$A),MATCH(D$1,[2]quests!$1:$1,0)-MATCH($C$1,[2]quests!$1:$1,0)+1),MATCH(D$1,[2]quests!$1:$1,0)-MATCH($C$1,[2]quests!$1:$1,0)+1,FALSE)</f>
        <v>オイラーチャレンジ</v>
      </c>
      <c r="E14" s="11" t="str">
        <f ca="1">VLOOKUP($C14,OFFSET([2]quests!$A$1,0,0,COUNTA([2]quests!$A:$A),MATCH(E$1,[2]quests!$1:$1,0)-MATCH($C$1,[2]quests!$1:$1,0)+1),MATCH(E$1,[2]quests!$1:$1,0)-MATCH($C$1,[2]quests!$1:$1,0)+1,FALSE)</f>
        <v>ランキング1（再開催版）</v>
      </c>
      <c r="F14" s="105">
        <v>3</v>
      </c>
      <c r="G14" s="13" t="str">
        <f t="shared" si="3"/>
        <v>60013_3</v>
      </c>
      <c r="H14" s="9" t="str">
        <f ca="1">VLOOKUP($G14,OFFSET([2]stages!$A$1,0,0,COUNTA([2]stages!$A:$A),MATCH(H$1,[2]stages!$2:$2,0)-MATCH($G$1,[2]stages!$2:$2,0)+1),MATCH(H$1,[2]stages!$2:$2,0)-MATCH($G$1,[2]stages!$2:$2,0)+1,FALSE)</f>
        <v>【ウィザード級】オイラーチャレンジ</v>
      </c>
      <c r="I14" s="105">
        <v>5</v>
      </c>
      <c r="J14" s="26">
        <v>60</v>
      </c>
      <c r="K14" s="26">
        <v>60</v>
      </c>
      <c r="L14" s="104">
        <v>6001335</v>
      </c>
      <c r="M14" s="104">
        <v>6001335</v>
      </c>
      <c r="N14" s="104">
        <v>6001335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4"/>
  <sheetViews>
    <sheetView workbookViewId="0">
      <selection activeCell="E12" sqref="E12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2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9" t="s">
        <v>33</v>
      </c>
      <c r="D1" s="1" t="s">
        <v>1</v>
      </c>
      <c r="E1" s="13" t="s">
        <v>28</v>
      </c>
      <c r="F1" s="9" t="s">
        <v>16</v>
      </c>
      <c r="G1" s="1" t="s">
        <v>230</v>
      </c>
    </row>
    <row r="2" spans="1:7" x14ac:dyDescent="0.15">
      <c r="A2" s="106">
        <v>60013</v>
      </c>
      <c r="B2" s="11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11">
        <f ca="1">VLOOKUP($A2,OFFSET([2]quests!$A$1,0,0,COUNTA([2]quests!$A:$A),MATCH(C$1,[2]quests!$1:$1,0)-MATCH($C$1,[2]quests!$1:$1,0)+1),MATCH(C$1,[2]quests!$1:$1,0)-MATCH($C$1,[2]quests!$1:$1,0)+1,FALSE)</f>
        <v>60013</v>
      </c>
      <c r="D2" s="105">
        <v>1</v>
      </c>
      <c r="E2" s="13" t="str">
        <f>A2&amp;"_"&amp;D2</f>
        <v>60013_1</v>
      </c>
      <c r="F2" s="9" t="str">
        <f ca="1">VLOOKUP($E2,OFFSET([2]stages!$A$1,0,0,COUNTA([2]stages!$A:$A),MATCH(F$1,[2]stages!$2:$2,0)-MATCH($E$1,[2]stages!$2:$2,0)+1),MATCH(F$1,[2]stages!$2:$2,0)-MATCH($E$1,[2]stages!$2:$2,0)+1,FALSE)</f>
        <v>【中級】オイラーチャレンジ</v>
      </c>
      <c r="G2" s="105">
        <v>500000</v>
      </c>
    </row>
    <row r="3" spans="1:7" x14ac:dyDescent="0.15">
      <c r="A3" s="106">
        <v>60013</v>
      </c>
      <c r="B3" s="11" t="str">
        <f ca="1">VLOOKUP($A3,OFFSET([2]quests!$A$1,0,0,COUNTA([2]quests!$A:$A),MATCH(B$1,[2]quests!$1:$1,0)-MATCH($A$1,[2]quests!$1:$1,0)+1),MATCH(B$1,[2]quests!$1:$1,0)-MATCH($A$1,[2]quests!$1:$1,0)+1,FALSE)</f>
        <v>オイラーチャレンジ</v>
      </c>
      <c r="C3" s="11">
        <f ca="1">VLOOKUP($A3,OFFSET([2]quests!$A$1,0,0,COUNTA([2]quests!$A:$A),MATCH(C$1,[2]quests!$1:$1,0)-MATCH($C$1,[2]quests!$1:$1,0)+1),MATCH(C$1,[2]quests!$1:$1,0)-MATCH($C$1,[2]quests!$1:$1,0)+1,FALSE)</f>
        <v>60013</v>
      </c>
      <c r="D3" s="105">
        <v>2</v>
      </c>
      <c r="E3" s="13" t="str">
        <f t="shared" ref="E3:E4" si="0">A3&amp;"_"&amp;D3</f>
        <v>60013_2</v>
      </c>
      <c r="F3" s="9" t="str">
        <f ca="1">VLOOKUP($E3,OFFSET([2]stages!$A$1,0,0,COUNTA([2]stages!$A:$A),MATCH(F$1,[2]stages!$2:$2,0)-MATCH($E$1,[2]stages!$2:$2,0)+1),MATCH(F$1,[2]stages!$2:$2,0)-MATCH($E$1,[2]stages!$2:$2,0)+1,FALSE)</f>
        <v>【超級】オイラーチャレンジ</v>
      </c>
      <c r="G3" s="105">
        <v>1000000</v>
      </c>
    </row>
    <row r="4" spans="1:7" x14ac:dyDescent="0.15">
      <c r="A4" s="106">
        <v>60013</v>
      </c>
      <c r="B4" s="11" t="str">
        <f ca="1">VLOOKUP($A4,OFFSET([2]quests!$A$1,0,0,COUNTA([2]quests!$A:$A),MATCH(B$1,[2]quests!$1:$1,0)-MATCH($A$1,[2]quests!$1:$1,0)+1),MATCH(B$1,[2]quests!$1:$1,0)-MATCH($A$1,[2]quests!$1:$1,0)+1,FALSE)</f>
        <v>オイラーチャレンジ</v>
      </c>
      <c r="C4" s="11">
        <f ca="1">VLOOKUP($A4,OFFSET([2]quests!$A$1,0,0,COUNTA([2]quests!$A:$A),MATCH(C$1,[2]quests!$1:$1,0)-MATCH($C$1,[2]quests!$1:$1,0)+1),MATCH(C$1,[2]quests!$1:$1,0)-MATCH($C$1,[2]quests!$1:$1,0)+1,FALSE)</f>
        <v>60013</v>
      </c>
      <c r="D4" s="105">
        <v>3</v>
      </c>
      <c r="E4" s="13" t="str">
        <f t="shared" si="0"/>
        <v>60013_3</v>
      </c>
      <c r="F4" s="9" t="str">
        <f ca="1">VLOOKUP($E4,OFFSET([2]stages!$A$1,0,0,COUNTA([2]stages!$A:$A),MATCH(F$1,[2]stages!$2:$2,0)-MATCH($E$1,[2]stages!$2:$2,0)+1),MATCH(F$1,[2]stages!$2:$2,0)-MATCH($E$1,[2]stages!$2:$2,0)+1,FALSE)</f>
        <v>【ウィザード級】オイラーチャレンジ</v>
      </c>
      <c r="G4" s="105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67"/>
  <sheetViews>
    <sheetView workbookViewId="0">
      <selection activeCell="F14" sqref="F14"/>
    </sheetView>
  </sheetViews>
  <sheetFormatPr baseColWidth="12" defaultRowHeight="15" x14ac:dyDescent="0.15"/>
  <sheetData>
    <row r="1" spans="1:7" ht="16" thickBot="1" x14ac:dyDescent="0.2">
      <c r="A1" s="107" t="s">
        <v>261</v>
      </c>
      <c r="B1" s="107" t="s">
        <v>262</v>
      </c>
      <c r="C1" s="107" t="s">
        <v>263</v>
      </c>
      <c r="D1" s="107" t="s">
        <v>264</v>
      </c>
      <c r="F1" s="92"/>
      <c r="G1" s="92"/>
    </row>
    <row r="2" spans="1:7" x14ac:dyDescent="0.15">
      <c r="A2" s="108">
        <v>6001311</v>
      </c>
      <c r="B2" s="109">
        <v>1</v>
      </c>
      <c r="C2" s="109">
        <v>0</v>
      </c>
      <c r="D2" s="110">
        <v>5000</v>
      </c>
    </row>
    <row r="3" spans="1:7" x14ac:dyDescent="0.15">
      <c r="A3" s="111">
        <v>6001311</v>
      </c>
      <c r="B3" s="112">
        <v>2</v>
      </c>
      <c r="C3" s="112">
        <v>0</v>
      </c>
      <c r="D3" s="113">
        <v>2000</v>
      </c>
    </row>
    <row r="4" spans="1:7" x14ac:dyDescent="0.15">
      <c r="A4" s="111">
        <v>6001311</v>
      </c>
      <c r="B4" s="112">
        <v>3</v>
      </c>
      <c r="C4" s="112">
        <v>-2000</v>
      </c>
      <c r="D4" s="113">
        <v>7000</v>
      </c>
    </row>
    <row r="5" spans="1:7" x14ac:dyDescent="0.15">
      <c r="A5" s="111">
        <v>6001311</v>
      </c>
      <c r="B5" s="112">
        <v>4</v>
      </c>
      <c r="C5" s="112">
        <v>-2000</v>
      </c>
      <c r="D5" s="113">
        <v>8000</v>
      </c>
    </row>
    <row r="6" spans="1:7" x14ac:dyDescent="0.15">
      <c r="A6" s="111">
        <v>6001311</v>
      </c>
      <c r="B6" s="112">
        <v>5</v>
      </c>
      <c r="C6" s="112">
        <v>-2000</v>
      </c>
      <c r="D6" s="113">
        <v>8000</v>
      </c>
    </row>
    <row r="7" spans="1:7" x14ac:dyDescent="0.15">
      <c r="A7" s="111">
        <v>6001311</v>
      </c>
      <c r="B7" s="112">
        <v>7</v>
      </c>
      <c r="C7" s="112">
        <v>-2000</v>
      </c>
      <c r="D7" s="113">
        <v>4000</v>
      </c>
    </row>
    <row r="8" spans="1:7" x14ac:dyDescent="0.15">
      <c r="A8" s="111">
        <v>6001311</v>
      </c>
      <c r="B8" s="112">
        <v>9</v>
      </c>
      <c r="C8" s="112">
        <v>-2500</v>
      </c>
      <c r="D8" s="113">
        <v>7500</v>
      </c>
    </row>
    <row r="9" spans="1:7" ht="16" thickBot="1" x14ac:dyDescent="0.2">
      <c r="A9" s="114">
        <v>6001311</v>
      </c>
      <c r="B9" s="115">
        <v>10</v>
      </c>
      <c r="C9" s="115">
        <v>-2500</v>
      </c>
      <c r="D9" s="116">
        <v>-5000</v>
      </c>
    </row>
    <row r="10" spans="1:7" x14ac:dyDescent="0.15">
      <c r="A10" s="117">
        <v>6001321</v>
      </c>
      <c r="B10" s="118">
        <v>1</v>
      </c>
      <c r="C10" s="118">
        <v>0</v>
      </c>
      <c r="D10" s="119">
        <v>10000</v>
      </c>
    </row>
    <row r="11" spans="1:7" x14ac:dyDescent="0.15">
      <c r="A11" s="117">
        <v>6001321</v>
      </c>
      <c r="B11" s="112">
        <v>2</v>
      </c>
      <c r="C11" s="112">
        <v>0</v>
      </c>
      <c r="D11" s="113">
        <v>8000</v>
      </c>
    </row>
    <row r="12" spans="1:7" x14ac:dyDescent="0.15">
      <c r="A12" s="117">
        <v>6001321</v>
      </c>
      <c r="B12" s="112">
        <v>3</v>
      </c>
      <c r="C12" s="112">
        <v>-2000</v>
      </c>
      <c r="D12" s="113">
        <v>11000</v>
      </c>
    </row>
    <row r="13" spans="1:7" x14ac:dyDescent="0.15">
      <c r="A13" s="117">
        <v>6001321</v>
      </c>
      <c r="B13" s="112">
        <v>4</v>
      </c>
      <c r="C13" s="112">
        <v>-2000</v>
      </c>
      <c r="D13" s="113">
        <v>8000</v>
      </c>
    </row>
    <row r="14" spans="1:7" x14ac:dyDescent="0.15">
      <c r="A14" s="117">
        <v>6001321</v>
      </c>
      <c r="B14" s="112">
        <v>5</v>
      </c>
      <c r="C14" s="112">
        <v>-2000</v>
      </c>
      <c r="D14" s="113">
        <v>0</v>
      </c>
    </row>
    <row r="15" spans="1:7" x14ac:dyDescent="0.15">
      <c r="A15" s="117">
        <v>6001321</v>
      </c>
      <c r="B15" s="112">
        <v>7</v>
      </c>
      <c r="C15" s="112">
        <v>-2000</v>
      </c>
      <c r="D15" s="113">
        <v>-6000</v>
      </c>
    </row>
    <row r="16" spans="1:7" x14ac:dyDescent="0.15">
      <c r="A16" s="117">
        <v>6001321</v>
      </c>
      <c r="B16" s="112">
        <v>9</v>
      </c>
      <c r="C16" s="112">
        <v>-2500</v>
      </c>
      <c r="D16" s="113">
        <v>-27500</v>
      </c>
    </row>
    <row r="17" spans="1:4" ht="16" thickBot="1" x14ac:dyDescent="0.2">
      <c r="A17" s="117">
        <v>6001321</v>
      </c>
      <c r="B17" s="115">
        <v>10</v>
      </c>
      <c r="C17" s="115">
        <v>-2500</v>
      </c>
      <c r="D17" s="116">
        <v>-45000</v>
      </c>
    </row>
    <row r="18" spans="1:4" x14ac:dyDescent="0.15">
      <c r="A18" s="120">
        <v>6001331</v>
      </c>
      <c r="B18" s="121">
        <v>1</v>
      </c>
      <c r="C18" s="121">
        <v>0</v>
      </c>
      <c r="D18" s="122">
        <v>500000</v>
      </c>
    </row>
    <row r="19" spans="1:4" x14ac:dyDescent="0.15">
      <c r="A19" s="123">
        <v>6001331</v>
      </c>
      <c r="B19" s="124">
        <v>2</v>
      </c>
      <c r="C19" s="124">
        <v>0</v>
      </c>
      <c r="D19" s="125">
        <v>475000</v>
      </c>
    </row>
    <row r="20" spans="1:4" x14ac:dyDescent="0.15">
      <c r="A20" s="123">
        <v>6001331</v>
      </c>
      <c r="B20" s="124">
        <v>3</v>
      </c>
      <c r="C20" s="124">
        <v>0</v>
      </c>
      <c r="D20" s="125">
        <v>450000</v>
      </c>
    </row>
    <row r="21" spans="1:4" x14ac:dyDescent="0.15">
      <c r="A21" s="123">
        <v>6001331</v>
      </c>
      <c r="B21" s="124">
        <v>4</v>
      </c>
      <c r="C21" s="124">
        <v>0</v>
      </c>
      <c r="D21" s="125">
        <v>425000</v>
      </c>
    </row>
    <row r="22" spans="1:4" x14ac:dyDescent="0.15">
      <c r="A22" s="123">
        <v>6001331</v>
      </c>
      <c r="B22" s="124">
        <v>5</v>
      </c>
      <c r="C22" s="124">
        <v>0</v>
      </c>
      <c r="D22" s="125">
        <v>200000</v>
      </c>
    </row>
    <row r="23" spans="1:4" x14ac:dyDescent="0.15">
      <c r="A23" s="123">
        <v>6001331</v>
      </c>
      <c r="B23" s="124">
        <v>6</v>
      </c>
      <c r="C23" s="124">
        <v>0</v>
      </c>
      <c r="D23" s="125">
        <v>120000</v>
      </c>
    </row>
    <row r="24" spans="1:4" x14ac:dyDescent="0.15">
      <c r="A24" s="123">
        <v>6001331</v>
      </c>
      <c r="B24" s="124">
        <v>7</v>
      </c>
      <c r="C24" s="124">
        <v>0</v>
      </c>
      <c r="D24" s="125">
        <v>0</v>
      </c>
    </row>
    <row r="25" spans="1:4" x14ac:dyDescent="0.15">
      <c r="A25" s="123">
        <v>6001331</v>
      </c>
      <c r="B25" s="124">
        <v>8</v>
      </c>
      <c r="C25" s="124">
        <v>0</v>
      </c>
      <c r="D25" s="125">
        <v>-150000</v>
      </c>
    </row>
    <row r="26" spans="1:4" x14ac:dyDescent="0.15">
      <c r="A26" s="123">
        <v>6001331</v>
      </c>
      <c r="B26" s="124">
        <v>9</v>
      </c>
      <c r="C26" s="124">
        <v>0</v>
      </c>
      <c r="D26" s="125">
        <v>-450000</v>
      </c>
    </row>
    <row r="27" spans="1:4" ht="16" thickBot="1" x14ac:dyDescent="0.2">
      <c r="A27" s="126">
        <v>6001331</v>
      </c>
      <c r="B27" s="127">
        <v>10</v>
      </c>
      <c r="C27" s="127">
        <v>0</v>
      </c>
      <c r="D27" s="128">
        <v>-9999999</v>
      </c>
    </row>
    <row r="28" spans="1:4" x14ac:dyDescent="0.15">
      <c r="A28" s="129">
        <v>6001332</v>
      </c>
      <c r="B28" s="130">
        <v>1</v>
      </c>
      <c r="C28" s="130">
        <v>0</v>
      </c>
      <c r="D28" s="131">
        <v>650000</v>
      </c>
    </row>
    <row r="29" spans="1:4" x14ac:dyDescent="0.15">
      <c r="A29" s="132">
        <v>6001332</v>
      </c>
      <c r="B29" s="133">
        <v>2</v>
      </c>
      <c r="C29" s="133">
        <v>0</v>
      </c>
      <c r="D29" s="134">
        <v>625000</v>
      </c>
    </row>
    <row r="30" spans="1:4" x14ac:dyDescent="0.15">
      <c r="A30" s="132">
        <v>6001332</v>
      </c>
      <c r="B30" s="133">
        <v>3</v>
      </c>
      <c r="C30" s="133">
        <v>0</v>
      </c>
      <c r="D30" s="134">
        <v>600000</v>
      </c>
    </row>
    <row r="31" spans="1:4" x14ac:dyDescent="0.15">
      <c r="A31" s="132">
        <v>6001332</v>
      </c>
      <c r="B31" s="133">
        <v>4</v>
      </c>
      <c r="C31" s="133">
        <v>0</v>
      </c>
      <c r="D31" s="134">
        <v>575000</v>
      </c>
    </row>
    <row r="32" spans="1:4" x14ac:dyDescent="0.15">
      <c r="A32" s="132">
        <v>6001332</v>
      </c>
      <c r="B32" s="133">
        <v>5</v>
      </c>
      <c r="C32" s="133">
        <v>0</v>
      </c>
      <c r="D32" s="134">
        <v>500000</v>
      </c>
    </row>
    <row r="33" spans="1:4" x14ac:dyDescent="0.15">
      <c r="A33" s="132">
        <v>6001332</v>
      </c>
      <c r="B33" s="133">
        <v>6</v>
      </c>
      <c r="C33" s="133">
        <v>0</v>
      </c>
      <c r="D33" s="134">
        <v>250000</v>
      </c>
    </row>
    <row r="34" spans="1:4" x14ac:dyDescent="0.15">
      <c r="A34" s="132">
        <v>6001332</v>
      </c>
      <c r="B34" s="133">
        <v>7</v>
      </c>
      <c r="C34" s="133">
        <v>0</v>
      </c>
      <c r="D34" s="134">
        <v>0</v>
      </c>
    </row>
    <row r="35" spans="1:4" x14ac:dyDescent="0.15">
      <c r="A35" s="132">
        <v>6001332</v>
      </c>
      <c r="B35" s="133">
        <v>8</v>
      </c>
      <c r="C35" s="133">
        <v>0</v>
      </c>
      <c r="D35" s="134">
        <v>-150000</v>
      </c>
    </row>
    <row r="36" spans="1:4" x14ac:dyDescent="0.15">
      <c r="A36" s="132">
        <v>6001332</v>
      </c>
      <c r="B36" s="133">
        <v>9</v>
      </c>
      <c r="C36" s="133">
        <v>0</v>
      </c>
      <c r="D36" s="134">
        <v>-300000</v>
      </c>
    </row>
    <row r="37" spans="1:4" ht="16" thickBot="1" x14ac:dyDescent="0.2">
      <c r="A37" s="135">
        <v>6001332</v>
      </c>
      <c r="B37" s="136">
        <v>10</v>
      </c>
      <c r="C37" s="136">
        <v>0</v>
      </c>
      <c r="D37" s="137">
        <v>-9999999</v>
      </c>
    </row>
    <row r="38" spans="1:4" x14ac:dyDescent="0.15">
      <c r="A38" s="120">
        <v>6001333</v>
      </c>
      <c r="B38" s="121">
        <v>1</v>
      </c>
      <c r="C38" s="121">
        <v>0</v>
      </c>
      <c r="D38" s="122">
        <v>1110000</v>
      </c>
    </row>
    <row r="39" spans="1:4" x14ac:dyDescent="0.15">
      <c r="A39" s="123">
        <v>6001333</v>
      </c>
      <c r="B39" s="124">
        <v>3</v>
      </c>
      <c r="C39" s="124">
        <v>0</v>
      </c>
      <c r="D39" s="125">
        <v>1100000</v>
      </c>
    </row>
    <row r="40" spans="1:4" x14ac:dyDescent="0.15">
      <c r="A40" s="123">
        <v>6001333</v>
      </c>
      <c r="B40" s="124">
        <v>4</v>
      </c>
      <c r="C40" s="124">
        <v>0</v>
      </c>
      <c r="D40" s="125">
        <v>1075000</v>
      </c>
    </row>
    <row r="41" spans="1:4" x14ac:dyDescent="0.15">
      <c r="A41" s="123">
        <v>6001333</v>
      </c>
      <c r="B41" s="124">
        <v>5</v>
      </c>
      <c r="C41" s="124">
        <v>0</v>
      </c>
      <c r="D41" s="125">
        <v>1050000</v>
      </c>
    </row>
    <row r="42" spans="1:4" x14ac:dyDescent="0.15">
      <c r="A42" s="123">
        <v>6001333</v>
      </c>
      <c r="B42" s="124">
        <v>6</v>
      </c>
      <c r="C42" s="124">
        <v>0</v>
      </c>
      <c r="D42" s="125">
        <v>1000000</v>
      </c>
    </row>
    <row r="43" spans="1:4" x14ac:dyDescent="0.15">
      <c r="A43" s="123">
        <v>6001333</v>
      </c>
      <c r="B43" s="124">
        <v>7</v>
      </c>
      <c r="C43" s="124">
        <v>0</v>
      </c>
      <c r="D43" s="125">
        <v>950000</v>
      </c>
    </row>
    <row r="44" spans="1:4" x14ac:dyDescent="0.15">
      <c r="A44" s="123">
        <v>6001333</v>
      </c>
      <c r="B44" s="124">
        <v>8</v>
      </c>
      <c r="C44" s="124">
        <v>0</v>
      </c>
      <c r="D44" s="125">
        <v>700000</v>
      </c>
    </row>
    <row r="45" spans="1:4" x14ac:dyDescent="0.15">
      <c r="A45" s="123">
        <v>6001333</v>
      </c>
      <c r="B45" s="124">
        <v>9</v>
      </c>
      <c r="C45" s="124">
        <v>0</v>
      </c>
      <c r="D45" s="125">
        <v>350000</v>
      </c>
    </row>
    <row r="46" spans="1:4" x14ac:dyDescent="0.15">
      <c r="A46" s="123">
        <v>6001333</v>
      </c>
      <c r="B46" s="124">
        <v>10</v>
      </c>
      <c r="C46" s="124">
        <v>0</v>
      </c>
      <c r="D46" s="125">
        <v>0</v>
      </c>
    </row>
    <row r="47" spans="1:4" ht="16" thickBot="1" x14ac:dyDescent="0.2">
      <c r="A47" s="126">
        <v>6001333</v>
      </c>
      <c r="B47" s="127">
        <v>12</v>
      </c>
      <c r="C47" s="127">
        <v>0</v>
      </c>
      <c r="D47" s="128">
        <v>-9999999</v>
      </c>
    </row>
    <row r="48" spans="1:4" x14ac:dyDescent="0.15">
      <c r="A48" s="129">
        <v>6001334</v>
      </c>
      <c r="B48" s="130">
        <v>1</v>
      </c>
      <c r="C48" s="130">
        <v>0</v>
      </c>
      <c r="D48" s="131">
        <v>950000</v>
      </c>
    </row>
    <row r="49" spans="1:4" x14ac:dyDescent="0.15">
      <c r="A49" s="132">
        <v>6001334</v>
      </c>
      <c r="B49" s="133">
        <v>2</v>
      </c>
      <c r="C49" s="133">
        <v>0</v>
      </c>
      <c r="D49" s="134">
        <v>925000</v>
      </c>
    </row>
    <row r="50" spans="1:4" x14ac:dyDescent="0.15">
      <c r="A50" s="132">
        <v>6001334</v>
      </c>
      <c r="B50" s="133">
        <v>3</v>
      </c>
      <c r="C50" s="133">
        <v>0</v>
      </c>
      <c r="D50" s="134">
        <v>900000</v>
      </c>
    </row>
    <row r="51" spans="1:4" x14ac:dyDescent="0.15">
      <c r="A51" s="132">
        <v>6001334</v>
      </c>
      <c r="B51" s="133">
        <v>4</v>
      </c>
      <c r="C51" s="133">
        <v>0</v>
      </c>
      <c r="D51" s="134">
        <v>875000</v>
      </c>
    </row>
    <row r="52" spans="1:4" x14ac:dyDescent="0.15">
      <c r="A52" s="132">
        <v>6001334</v>
      </c>
      <c r="B52" s="133">
        <v>5</v>
      </c>
      <c r="C52" s="133">
        <v>0</v>
      </c>
      <c r="D52" s="134">
        <v>850000</v>
      </c>
    </row>
    <row r="53" spans="1:4" x14ac:dyDescent="0.15">
      <c r="A53" s="132">
        <v>6001334</v>
      </c>
      <c r="B53" s="133">
        <v>6</v>
      </c>
      <c r="C53" s="133">
        <v>0</v>
      </c>
      <c r="D53" s="134">
        <v>750000</v>
      </c>
    </row>
    <row r="54" spans="1:4" x14ac:dyDescent="0.15">
      <c r="A54" s="132">
        <v>6001334</v>
      </c>
      <c r="B54" s="133">
        <v>7</v>
      </c>
      <c r="C54" s="133">
        <v>0</v>
      </c>
      <c r="D54" s="134">
        <v>500000</v>
      </c>
    </row>
    <row r="55" spans="1:4" x14ac:dyDescent="0.15">
      <c r="A55" s="132">
        <v>6001334</v>
      </c>
      <c r="B55" s="133">
        <v>8</v>
      </c>
      <c r="C55" s="133">
        <v>0</v>
      </c>
      <c r="D55" s="134">
        <v>250000</v>
      </c>
    </row>
    <row r="56" spans="1:4" x14ac:dyDescent="0.15">
      <c r="A56" s="132">
        <v>6001334</v>
      </c>
      <c r="B56" s="133">
        <v>9</v>
      </c>
      <c r="C56" s="133">
        <v>0</v>
      </c>
      <c r="D56" s="134">
        <v>0</v>
      </c>
    </row>
    <row r="57" spans="1:4" x14ac:dyDescent="0.15">
      <c r="A57" s="132">
        <v>6001334</v>
      </c>
      <c r="B57" s="133">
        <v>10</v>
      </c>
      <c r="C57" s="133">
        <v>0</v>
      </c>
      <c r="D57" s="134">
        <v>-250000</v>
      </c>
    </row>
    <row r="58" spans="1:4" x14ac:dyDescent="0.15">
      <c r="A58" s="132">
        <v>6001334</v>
      </c>
      <c r="B58" s="133">
        <v>12</v>
      </c>
      <c r="C58" s="133">
        <v>0</v>
      </c>
      <c r="D58" s="134">
        <v>-500000</v>
      </c>
    </row>
    <row r="59" spans="1:4" ht="16" thickBot="1" x14ac:dyDescent="0.2">
      <c r="A59" s="132">
        <v>6001334</v>
      </c>
      <c r="B59" s="133">
        <v>15</v>
      </c>
      <c r="C59" s="133">
        <v>0</v>
      </c>
      <c r="D59" s="134">
        <v>-9999999</v>
      </c>
    </row>
    <row r="60" spans="1:4" x14ac:dyDescent="0.15">
      <c r="A60" s="120">
        <v>6001335</v>
      </c>
      <c r="B60" s="121">
        <v>1</v>
      </c>
      <c r="C60" s="121">
        <v>0</v>
      </c>
      <c r="D60" s="122">
        <v>2100000</v>
      </c>
    </row>
    <row r="61" spans="1:4" x14ac:dyDescent="0.15">
      <c r="A61" s="123">
        <v>6001335</v>
      </c>
      <c r="B61" s="124">
        <v>9</v>
      </c>
      <c r="C61" s="124">
        <v>0</v>
      </c>
      <c r="D61" s="125">
        <v>2000000</v>
      </c>
    </row>
    <row r="62" spans="1:4" x14ac:dyDescent="0.15">
      <c r="A62" s="123">
        <v>6001335</v>
      </c>
      <c r="B62" s="124">
        <v>10</v>
      </c>
      <c r="C62" s="124">
        <v>0</v>
      </c>
      <c r="D62" s="125">
        <v>1800000</v>
      </c>
    </row>
    <row r="63" spans="1:4" x14ac:dyDescent="0.15">
      <c r="A63" s="123">
        <v>6001335</v>
      </c>
      <c r="B63" s="124">
        <v>11</v>
      </c>
      <c r="C63" s="124">
        <v>0</v>
      </c>
      <c r="D63" s="125">
        <v>1500000</v>
      </c>
    </row>
    <row r="64" spans="1:4" x14ac:dyDescent="0.15">
      <c r="A64" s="123">
        <v>6001335</v>
      </c>
      <c r="B64" s="124">
        <v>12</v>
      </c>
      <c r="C64" s="124">
        <v>0</v>
      </c>
      <c r="D64" s="125">
        <v>1000000</v>
      </c>
    </row>
    <row r="65" spans="1:4" x14ac:dyDescent="0.15">
      <c r="A65" s="123">
        <v>6001335</v>
      </c>
      <c r="B65" s="124">
        <v>14</v>
      </c>
      <c r="C65" s="124">
        <v>0</v>
      </c>
      <c r="D65" s="125">
        <v>500000</v>
      </c>
    </row>
    <row r="66" spans="1:4" x14ac:dyDescent="0.15">
      <c r="A66" s="123">
        <v>6001335</v>
      </c>
      <c r="B66" s="124">
        <v>16</v>
      </c>
      <c r="C66" s="124">
        <v>0</v>
      </c>
      <c r="D66" s="125">
        <v>0</v>
      </c>
    </row>
    <row r="67" spans="1:4" ht="16" thickBot="1" x14ac:dyDescent="0.2">
      <c r="A67" s="126">
        <v>6001335</v>
      </c>
      <c r="B67" s="127">
        <v>20</v>
      </c>
      <c r="C67" s="127">
        <v>0</v>
      </c>
      <c r="D67" s="128">
        <v>-9999999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D110"/>
  <sheetViews>
    <sheetView workbookViewId="0">
      <selection activeCell="G7" sqref="G7"/>
    </sheetView>
  </sheetViews>
  <sheetFormatPr baseColWidth="12" defaultRowHeight="15" x14ac:dyDescent="0.15"/>
  <sheetData>
    <row r="1" spans="1:4" ht="16" thickBot="1" x14ac:dyDescent="0.2">
      <c r="A1" s="46" t="s">
        <v>232</v>
      </c>
      <c r="B1" s="46" t="s">
        <v>233</v>
      </c>
      <c r="C1" s="46" t="s">
        <v>234</v>
      </c>
      <c r="D1" s="46" t="s">
        <v>235</v>
      </c>
    </row>
    <row r="2" spans="1:4" x14ac:dyDescent="0.15">
      <c r="A2" s="161">
        <v>6001311</v>
      </c>
      <c r="B2" s="109">
        <v>0</v>
      </c>
      <c r="C2" s="109">
        <v>1</v>
      </c>
      <c r="D2" s="162">
        <v>0</v>
      </c>
    </row>
    <row r="3" spans="1:4" x14ac:dyDescent="0.15">
      <c r="A3" s="163">
        <v>6001311</v>
      </c>
      <c r="B3" s="112">
        <v>5000</v>
      </c>
      <c r="C3" s="112">
        <v>1</v>
      </c>
      <c r="D3" s="164">
        <v>0</v>
      </c>
    </row>
    <row r="4" spans="1:4" x14ac:dyDescent="0.15">
      <c r="A4" s="163">
        <v>6001311</v>
      </c>
      <c r="B4" s="112">
        <v>10000</v>
      </c>
      <c r="C4" s="112">
        <v>1</v>
      </c>
      <c r="D4" s="164">
        <v>0</v>
      </c>
    </row>
    <row r="5" spans="1:4" x14ac:dyDescent="0.15">
      <c r="A5" s="163">
        <v>6001311</v>
      </c>
      <c r="B5" s="112">
        <v>20000</v>
      </c>
      <c r="C5" s="112">
        <v>1</v>
      </c>
      <c r="D5" s="164">
        <v>5000</v>
      </c>
    </row>
    <row r="6" spans="1:4" x14ac:dyDescent="0.15">
      <c r="A6" s="163">
        <v>6001311</v>
      </c>
      <c r="B6" s="112">
        <v>30000</v>
      </c>
      <c r="C6" s="112">
        <v>1</v>
      </c>
      <c r="D6" s="164">
        <v>5000</v>
      </c>
    </row>
    <row r="7" spans="1:4" x14ac:dyDescent="0.15">
      <c r="A7" s="163">
        <v>6001311</v>
      </c>
      <c r="B7" s="112">
        <v>50000</v>
      </c>
      <c r="C7" s="112">
        <v>1</v>
      </c>
      <c r="D7" s="164">
        <v>10000</v>
      </c>
    </row>
    <row r="8" spans="1:4" x14ac:dyDescent="0.15">
      <c r="A8" s="163">
        <v>6001311</v>
      </c>
      <c r="B8" s="112">
        <v>70000</v>
      </c>
      <c r="C8" s="112">
        <v>1</v>
      </c>
      <c r="D8" s="164">
        <v>10000</v>
      </c>
    </row>
    <row r="9" spans="1:4" ht="16" thickBot="1" x14ac:dyDescent="0.2">
      <c r="A9" s="165">
        <v>6001311</v>
      </c>
      <c r="B9" s="166">
        <v>100000</v>
      </c>
      <c r="C9" s="166">
        <v>1</v>
      </c>
      <c r="D9" s="167">
        <v>20000</v>
      </c>
    </row>
    <row r="10" spans="1:4" x14ac:dyDescent="0.15">
      <c r="A10" s="161">
        <v>6001321</v>
      </c>
      <c r="B10" s="109">
        <v>0</v>
      </c>
      <c r="C10" s="109">
        <v>1</v>
      </c>
      <c r="D10" s="162">
        <v>0</v>
      </c>
    </row>
    <row r="11" spans="1:4" x14ac:dyDescent="0.15">
      <c r="A11" s="163">
        <v>6001321</v>
      </c>
      <c r="B11" s="112">
        <v>5000</v>
      </c>
      <c r="C11" s="112">
        <v>1</v>
      </c>
      <c r="D11" s="164">
        <v>0</v>
      </c>
    </row>
    <row r="12" spans="1:4" x14ac:dyDescent="0.15">
      <c r="A12" s="163">
        <v>6001321</v>
      </c>
      <c r="B12" s="112">
        <v>10000</v>
      </c>
      <c r="C12" s="112">
        <v>1</v>
      </c>
      <c r="D12" s="164">
        <v>0</v>
      </c>
    </row>
    <row r="13" spans="1:4" x14ac:dyDescent="0.15">
      <c r="A13" s="163">
        <v>6001321</v>
      </c>
      <c r="B13" s="112">
        <v>20000</v>
      </c>
      <c r="C13" s="112">
        <v>1.1000000000000001</v>
      </c>
      <c r="D13" s="164">
        <v>5000</v>
      </c>
    </row>
    <row r="14" spans="1:4" x14ac:dyDescent="0.15">
      <c r="A14" s="163">
        <v>6001321</v>
      </c>
      <c r="B14" s="112">
        <v>30000</v>
      </c>
      <c r="C14" s="112">
        <v>1.1000000000000001</v>
      </c>
      <c r="D14" s="164">
        <v>10000</v>
      </c>
    </row>
    <row r="15" spans="1:4" x14ac:dyDescent="0.15">
      <c r="A15" s="163">
        <v>6001321</v>
      </c>
      <c r="B15" s="112">
        <v>50000</v>
      </c>
      <c r="C15" s="112">
        <v>1.2</v>
      </c>
      <c r="D15" s="164">
        <v>10000</v>
      </c>
    </row>
    <row r="16" spans="1:4" x14ac:dyDescent="0.15">
      <c r="A16" s="163">
        <v>6001321</v>
      </c>
      <c r="B16" s="112">
        <v>70000</v>
      </c>
      <c r="C16" s="112">
        <v>1.2</v>
      </c>
      <c r="D16" s="164">
        <v>15000</v>
      </c>
    </row>
    <row r="17" spans="1:4" x14ac:dyDescent="0.15">
      <c r="A17" s="163">
        <v>6001321</v>
      </c>
      <c r="B17" s="112">
        <v>100000</v>
      </c>
      <c r="C17" s="112">
        <v>1.2</v>
      </c>
      <c r="D17" s="164">
        <v>20000</v>
      </c>
    </row>
    <row r="18" spans="1:4" x14ac:dyDescent="0.15">
      <c r="A18" s="163">
        <v>6001321</v>
      </c>
      <c r="B18" s="112">
        <v>150000</v>
      </c>
      <c r="C18" s="112">
        <v>1.3</v>
      </c>
      <c r="D18" s="164">
        <v>25000</v>
      </c>
    </row>
    <row r="19" spans="1:4" ht="16" thickBot="1" x14ac:dyDescent="0.2">
      <c r="A19" s="165">
        <v>6001321</v>
      </c>
      <c r="B19" s="115">
        <v>200000</v>
      </c>
      <c r="C19" s="115">
        <v>1.3</v>
      </c>
      <c r="D19" s="168">
        <v>30000</v>
      </c>
    </row>
    <row r="20" spans="1:4" x14ac:dyDescent="0.15">
      <c r="A20" s="169">
        <v>6001331</v>
      </c>
      <c r="B20" s="170">
        <v>0</v>
      </c>
      <c r="C20" s="170">
        <v>0.05</v>
      </c>
      <c r="D20" s="171">
        <v>0</v>
      </c>
    </row>
    <row r="21" spans="1:4" x14ac:dyDescent="0.15">
      <c r="A21" s="169">
        <v>6001331</v>
      </c>
      <c r="B21" s="124">
        <v>65000</v>
      </c>
      <c r="C21" s="124">
        <v>0.05</v>
      </c>
      <c r="D21" s="172">
        <v>200000</v>
      </c>
    </row>
    <row r="22" spans="1:4" x14ac:dyDescent="0.15">
      <c r="A22" s="169">
        <v>6001331</v>
      </c>
      <c r="B22" s="124">
        <v>70000</v>
      </c>
      <c r="C22" s="124">
        <v>0.05</v>
      </c>
      <c r="D22" s="172">
        <v>250000</v>
      </c>
    </row>
    <row r="23" spans="1:4" x14ac:dyDescent="0.15">
      <c r="A23" s="169">
        <v>6001331</v>
      </c>
      <c r="B23" s="124">
        <v>75000</v>
      </c>
      <c r="C23" s="124">
        <v>0.05</v>
      </c>
      <c r="D23" s="172">
        <v>300000</v>
      </c>
    </row>
    <row r="24" spans="1:4" x14ac:dyDescent="0.15">
      <c r="A24" s="169">
        <v>6001331</v>
      </c>
      <c r="B24" s="124">
        <v>80000</v>
      </c>
      <c r="C24" s="124">
        <v>0.05</v>
      </c>
      <c r="D24" s="172">
        <v>350000</v>
      </c>
    </row>
    <row r="25" spans="1:4" x14ac:dyDescent="0.15">
      <c r="A25" s="169">
        <v>6001331</v>
      </c>
      <c r="B25" s="124">
        <v>85000</v>
      </c>
      <c r="C25" s="124">
        <v>0.05</v>
      </c>
      <c r="D25" s="172">
        <v>400000</v>
      </c>
    </row>
    <row r="26" spans="1:4" x14ac:dyDescent="0.15">
      <c r="A26" s="169">
        <v>6001331</v>
      </c>
      <c r="B26" s="124">
        <v>90000</v>
      </c>
      <c r="C26" s="124">
        <v>0.05</v>
      </c>
      <c r="D26" s="172">
        <v>425000</v>
      </c>
    </row>
    <row r="27" spans="1:4" x14ac:dyDescent="0.15">
      <c r="A27" s="169">
        <v>6001331</v>
      </c>
      <c r="B27" s="124">
        <v>95000</v>
      </c>
      <c r="C27" s="124">
        <v>0.05</v>
      </c>
      <c r="D27" s="172">
        <v>450000</v>
      </c>
    </row>
    <row r="28" spans="1:4" ht="16" thickBot="1" x14ac:dyDescent="0.2">
      <c r="A28" s="173">
        <v>6001331</v>
      </c>
      <c r="B28" s="127">
        <v>100000</v>
      </c>
      <c r="C28" s="127">
        <v>0.05</v>
      </c>
      <c r="D28" s="174">
        <v>475000</v>
      </c>
    </row>
    <row r="29" spans="1:4" x14ac:dyDescent="0.15">
      <c r="A29" s="175">
        <v>6001332</v>
      </c>
      <c r="B29" s="176">
        <v>0</v>
      </c>
      <c r="C29" s="176">
        <v>0.05</v>
      </c>
      <c r="D29" s="177">
        <v>0</v>
      </c>
    </row>
    <row r="30" spans="1:4" x14ac:dyDescent="0.15">
      <c r="A30" s="175">
        <v>6001332</v>
      </c>
      <c r="B30" s="133">
        <v>70000</v>
      </c>
      <c r="C30" s="133">
        <v>0.05</v>
      </c>
      <c r="D30" s="178">
        <v>300000</v>
      </c>
    </row>
    <row r="31" spans="1:4" x14ac:dyDescent="0.15">
      <c r="A31" s="175">
        <v>6001332</v>
      </c>
      <c r="B31" s="133">
        <v>80000</v>
      </c>
      <c r="C31" s="133">
        <v>0.05</v>
      </c>
      <c r="D31" s="178">
        <v>320000</v>
      </c>
    </row>
    <row r="32" spans="1:4" x14ac:dyDescent="0.15">
      <c r="A32" s="175">
        <v>6001332</v>
      </c>
      <c r="B32" s="133">
        <v>100000</v>
      </c>
      <c r="C32" s="133">
        <v>0.05</v>
      </c>
      <c r="D32" s="178">
        <v>380000</v>
      </c>
    </row>
    <row r="33" spans="1:4" x14ac:dyDescent="0.15">
      <c r="A33" s="175">
        <v>6001332</v>
      </c>
      <c r="B33" s="133">
        <v>130000</v>
      </c>
      <c r="C33" s="133">
        <v>0.05</v>
      </c>
      <c r="D33" s="178">
        <v>440000</v>
      </c>
    </row>
    <row r="34" spans="1:4" x14ac:dyDescent="0.15">
      <c r="A34" s="175">
        <v>6001332</v>
      </c>
      <c r="B34" s="133">
        <v>160000</v>
      </c>
      <c r="C34" s="133">
        <v>0.05</v>
      </c>
      <c r="D34" s="178">
        <v>500000</v>
      </c>
    </row>
    <row r="35" spans="1:4" x14ac:dyDescent="0.15">
      <c r="A35" s="175">
        <v>6001332</v>
      </c>
      <c r="B35" s="133">
        <v>190000</v>
      </c>
      <c r="C35" s="133">
        <v>0.05</v>
      </c>
      <c r="D35" s="178">
        <v>560000</v>
      </c>
    </row>
    <row r="36" spans="1:4" x14ac:dyDescent="0.15">
      <c r="A36" s="175">
        <v>6001332</v>
      </c>
      <c r="B36" s="133">
        <v>220000</v>
      </c>
      <c r="C36" s="133">
        <v>0.05</v>
      </c>
      <c r="D36" s="178">
        <v>575000</v>
      </c>
    </row>
    <row r="37" spans="1:4" x14ac:dyDescent="0.15">
      <c r="A37" s="175">
        <v>6001332</v>
      </c>
      <c r="B37" s="179">
        <v>250000</v>
      </c>
      <c r="C37" s="179">
        <v>0.05</v>
      </c>
      <c r="D37" s="178">
        <v>590000</v>
      </c>
    </row>
    <row r="38" spans="1:4" x14ac:dyDescent="0.15">
      <c r="A38" s="175">
        <v>6001332</v>
      </c>
      <c r="B38" s="179">
        <v>280000</v>
      </c>
      <c r="C38" s="179">
        <v>0.05</v>
      </c>
      <c r="D38" s="178">
        <v>605000</v>
      </c>
    </row>
    <row r="39" spans="1:4" x14ac:dyDescent="0.15">
      <c r="A39" s="175">
        <v>6001332</v>
      </c>
      <c r="B39" s="179">
        <v>310000</v>
      </c>
      <c r="C39" s="179">
        <v>0.05</v>
      </c>
      <c r="D39" s="178">
        <v>620000</v>
      </c>
    </row>
    <row r="40" spans="1:4" x14ac:dyDescent="0.15">
      <c r="A40" s="175">
        <v>6001332</v>
      </c>
      <c r="B40" s="179">
        <v>340000</v>
      </c>
      <c r="C40" s="179">
        <v>0.05</v>
      </c>
      <c r="D40" s="178">
        <v>635000</v>
      </c>
    </row>
    <row r="41" spans="1:4" ht="16" thickBot="1" x14ac:dyDescent="0.2">
      <c r="A41" s="180">
        <v>6001332</v>
      </c>
      <c r="B41" s="136">
        <v>370000</v>
      </c>
      <c r="C41" s="136">
        <v>0.05</v>
      </c>
      <c r="D41" s="181">
        <v>650000</v>
      </c>
    </row>
    <row r="42" spans="1:4" x14ac:dyDescent="0.15">
      <c r="A42" s="169">
        <v>6001333</v>
      </c>
      <c r="B42" s="170">
        <v>0</v>
      </c>
      <c r="C42" s="170">
        <v>0.05</v>
      </c>
      <c r="D42" s="171">
        <v>0</v>
      </c>
    </row>
    <row r="43" spans="1:4" x14ac:dyDescent="0.15">
      <c r="A43" s="169">
        <v>6001333</v>
      </c>
      <c r="B43" s="124">
        <v>500000</v>
      </c>
      <c r="C43" s="124">
        <v>0.05</v>
      </c>
      <c r="D43" s="172">
        <v>600000</v>
      </c>
    </row>
    <row r="44" spans="1:4" x14ac:dyDescent="0.15">
      <c r="A44" s="169">
        <v>6001333</v>
      </c>
      <c r="B44" s="124">
        <v>520000</v>
      </c>
      <c r="C44" s="124">
        <v>0.05</v>
      </c>
      <c r="D44" s="172">
        <v>640000</v>
      </c>
    </row>
    <row r="45" spans="1:4" x14ac:dyDescent="0.15">
      <c r="A45" s="169">
        <v>6001333</v>
      </c>
      <c r="B45" s="124">
        <v>540000</v>
      </c>
      <c r="C45" s="124">
        <v>0.05</v>
      </c>
      <c r="D45" s="172">
        <v>680000</v>
      </c>
    </row>
    <row r="46" spans="1:4" x14ac:dyDescent="0.15">
      <c r="A46" s="169">
        <v>6001333</v>
      </c>
      <c r="B46" s="124">
        <v>560000</v>
      </c>
      <c r="C46" s="124">
        <v>0.05</v>
      </c>
      <c r="D46" s="172">
        <v>720000</v>
      </c>
    </row>
    <row r="47" spans="1:4" x14ac:dyDescent="0.15">
      <c r="A47" s="169">
        <v>6001333</v>
      </c>
      <c r="B47" s="124">
        <v>580000</v>
      </c>
      <c r="C47" s="124">
        <v>0.05</v>
      </c>
      <c r="D47" s="172">
        <v>760000</v>
      </c>
    </row>
    <row r="48" spans="1:4" x14ac:dyDescent="0.15">
      <c r="A48" s="169">
        <v>6001333</v>
      </c>
      <c r="B48" s="124">
        <v>600000</v>
      </c>
      <c r="C48" s="124">
        <v>0.05</v>
      </c>
      <c r="D48" s="172">
        <v>800000</v>
      </c>
    </row>
    <row r="49" spans="1:4" x14ac:dyDescent="0.15">
      <c r="A49" s="169">
        <v>6001333</v>
      </c>
      <c r="B49" s="124">
        <v>620000</v>
      </c>
      <c r="C49" s="124">
        <v>0.05</v>
      </c>
      <c r="D49" s="172">
        <v>840000</v>
      </c>
    </row>
    <row r="50" spans="1:4" x14ac:dyDescent="0.15">
      <c r="A50" s="169">
        <v>6001333</v>
      </c>
      <c r="B50" s="124">
        <v>640000</v>
      </c>
      <c r="C50" s="124">
        <v>0.05</v>
      </c>
      <c r="D50" s="172">
        <v>880000</v>
      </c>
    </row>
    <row r="51" spans="1:4" x14ac:dyDescent="0.15">
      <c r="A51" s="169">
        <v>6001333</v>
      </c>
      <c r="B51" s="124">
        <v>660000</v>
      </c>
      <c r="C51" s="124">
        <v>0.05</v>
      </c>
      <c r="D51" s="172">
        <v>920000</v>
      </c>
    </row>
    <row r="52" spans="1:4" x14ac:dyDescent="0.15">
      <c r="A52" s="169">
        <v>6001333</v>
      </c>
      <c r="B52" s="124">
        <v>680000</v>
      </c>
      <c r="C52" s="124">
        <v>0.05</v>
      </c>
      <c r="D52" s="172">
        <v>940000</v>
      </c>
    </row>
    <row r="53" spans="1:4" x14ac:dyDescent="0.15">
      <c r="A53" s="169">
        <v>6001333</v>
      </c>
      <c r="B53" s="124">
        <v>700000</v>
      </c>
      <c r="C53" s="124">
        <v>0.05</v>
      </c>
      <c r="D53" s="172">
        <v>960000</v>
      </c>
    </row>
    <row r="54" spans="1:4" x14ac:dyDescent="0.15">
      <c r="A54" s="169">
        <v>6001333</v>
      </c>
      <c r="B54" s="124">
        <v>720000</v>
      </c>
      <c r="C54" s="124">
        <v>0.05</v>
      </c>
      <c r="D54" s="172">
        <v>980000</v>
      </c>
    </row>
    <row r="55" spans="1:4" x14ac:dyDescent="0.15">
      <c r="A55" s="169">
        <v>6001333</v>
      </c>
      <c r="B55" s="124">
        <v>740000</v>
      </c>
      <c r="C55" s="124">
        <v>0.05</v>
      </c>
      <c r="D55" s="172">
        <v>1000000</v>
      </c>
    </row>
    <row r="56" spans="1:4" x14ac:dyDescent="0.15">
      <c r="A56" s="169">
        <v>6001333</v>
      </c>
      <c r="B56" s="124">
        <v>760000</v>
      </c>
      <c r="C56" s="124">
        <v>0.05</v>
      </c>
      <c r="D56" s="172">
        <v>1020000</v>
      </c>
    </row>
    <row r="57" spans="1:4" x14ac:dyDescent="0.15">
      <c r="A57" s="169">
        <v>6001333</v>
      </c>
      <c r="B57" s="124">
        <v>780000</v>
      </c>
      <c r="C57" s="124">
        <v>0.05</v>
      </c>
      <c r="D57" s="172">
        <v>1040000</v>
      </c>
    </row>
    <row r="58" spans="1:4" x14ac:dyDescent="0.15">
      <c r="A58" s="182">
        <v>6001333</v>
      </c>
      <c r="B58" s="124">
        <v>800000</v>
      </c>
      <c r="C58" s="124">
        <v>0.05</v>
      </c>
      <c r="D58" s="172">
        <v>1050000</v>
      </c>
    </row>
    <row r="59" spans="1:4" x14ac:dyDescent="0.15">
      <c r="A59" s="182">
        <v>6001333</v>
      </c>
      <c r="B59" s="124">
        <v>820000</v>
      </c>
      <c r="C59" s="124">
        <v>0.05</v>
      </c>
      <c r="D59" s="172">
        <v>1060000</v>
      </c>
    </row>
    <row r="60" spans="1:4" x14ac:dyDescent="0.15">
      <c r="A60" s="169">
        <v>6001333</v>
      </c>
      <c r="B60" s="124">
        <v>840000</v>
      </c>
      <c r="C60" s="124">
        <v>0.05</v>
      </c>
      <c r="D60" s="172">
        <v>1070000</v>
      </c>
    </row>
    <row r="61" spans="1:4" x14ac:dyDescent="0.15">
      <c r="A61" s="169">
        <v>6001333</v>
      </c>
      <c r="B61" s="124">
        <v>860000</v>
      </c>
      <c r="C61" s="124">
        <v>0.05</v>
      </c>
      <c r="D61" s="172">
        <v>1080000</v>
      </c>
    </row>
    <row r="62" spans="1:4" x14ac:dyDescent="0.15">
      <c r="A62" s="169">
        <v>6001333</v>
      </c>
      <c r="B62" s="124">
        <v>880000</v>
      </c>
      <c r="C62" s="124">
        <v>0.05</v>
      </c>
      <c r="D62" s="172">
        <v>1090000</v>
      </c>
    </row>
    <row r="63" spans="1:4" ht="16" thickBot="1" x14ac:dyDescent="0.2">
      <c r="A63" s="173">
        <v>6001333</v>
      </c>
      <c r="B63" s="127">
        <v>900000</v>
      </c>
      <c r="C63" s="127">
        <v>0.05</v>
      </c>
      <c r="D63" s="174">
        <v>1100000</v>
      </c>
    </row>
    <row r="64" spans="1:4" x14ac:dyDescent="0.15">
      <c r="A64" s="183">
        <v>6001334</v>
      </c>
      <c r="B64" s="130">
        <v>0</v>
      </c>
      <c r="C64" s="130">
        <v>0.05</v>
      </c>
      <c r="D64" s="184">
        <v>0</v>
      </c>
    </row>
    <row r="65" spans="1:4" x14ac:dyDescent="0.15">
      <c r="A65" s="175">
        <v>6001334</v>
      </c>
      <c r="B65" s="133">
        <v>360000</v>
      </c>
      <c r="C65" s="133">
        <v>0.05</v>
      </c>
      <c r="D65" s="178">
        <v>470000</v>
      </c>
    </row>
    <row r="66" spans="1:4" x14ac:dyDescent="0.15">
      <c r="A66" s="175">
        <v>6001334</v>
      </c>
      <c r="B66" s="133">
        <v>380000</v>
      </c>
      <c r="C66" s="133">
        <v>0.05</v>
      </c>
      <c r="D66" s="178">
        <v>497000</v>
      </c>
    </row>
    <row r="67" spans="1:4" x14ac:dyDescent="0.15">
      <c r="A67" s="175">
        <v>6001334</v>
      </c>
      <c r="B67" s="133">
        <v>400000</v>
      </c>
      <c r="C67" s="133">
        <v>0.05</v>
      </c>
      <c r="D67" s="178">
        <v>524000</v>
      </c>
    </row>
    <row r="68" spans="1:4" x14ac:dyDescent="0.15">
      <c r="A68" s="175">
        <v>6001334</v>
      </c>
      <c r="B68" s="133">
        <v>420000</v>
      </c>
      <c r="C68" s="133">
        <v>0.05</v>
      </c>
      <c r="D68" s="178">
        <v>551000</v>
      </c>
    </row>
    <row r="69" spans="1:4" x14ac:dyDescent="0.15">
      <c r="A69" s="175">
        <v>6001334</v>
      </c>
      <c r="B69" s="133">
        <v>440000</v>
      </c>
      <c r="C69" s="133">
        <v>0.05</v>
      </c>
      <c r="D69" s="178">
        <v>578000</v>
      </c>
    </row>
    <row r="70" spans="1:4" x14ac:dyDescent="0.15">
      <c r="A70" s="175">
        <v>6001334</v>
      </c>
      <c r="B70" s="133">
        <v>460000</v>
      </c>
      <c r="C70" s="133">
        <v>0.05</v>
      </c>
      <c r="D70" s="178">
        <v>605000</v>
      </c>
    </row>
    <row r="71" spans="1:4" x14ac:dyDescent="0.15">
      <c r="A71" s="175">
        <v>6001334</v>
      </c>
      <c r="B71" s="133">
        <v>480000</v>
      </c>
      <c r="C71" s="133">
        <v>0.05</v>
      </c>
      <c r="D71" s="178">
        <v>632000</v>
      </c>
    </row>
    <row r="72" spans="1:4" x14ac:dyDescent="0.15">
      <c r="A72" s="175">
        <v>6001334</v>
      </c>
      <c r="B72" s="133">
        <v>500000</v>
      </c>
      <c r="C72" s="133">
        <v>0.05</v>
      </c>
      <c r="D72" s="178">
        <v>659000</v>
      </c>
    </row>
    <row r="73" spans="1:4" x14ac:dyDescent="0.15">
      <c r="A73" s="175">
        <v>6001334</v>
      </c>
      <c r="B73" s="133">
        <v>520000</v>
      </c>
      <c r="C73" s="133">
        <v>0.05</v>
      </c>
      <c r="D73" s="178">
        <v>686000</v>
      </c>
    </row>
    <row r="74" spans="1:4" x14ac:dyDescent="0.15">
      <c r="A74" s="175">
        <v>6001334</v>
      </c>
      <c r="B74" s="133">
        <v>540000</v>
      </c>
      <c r="C74" s="133">
        <v>0.05</v>
      </c>
      <c r="D74" s="178">
        <v>713000</v>
      </c>
    </row>
    <row r="75" spans="1:4" x14ac:dyDescent="0.15">
      <c r="A75" s="175">
        <v>6001334</v>
      </c>
      <c r="B75" s="133">
        <v>560000</v>
      </c>
      <c r="C75" s="133">
        <v>0.05</v>
      </c>
      <c r="D75" s="178">
        <v>740000</v>
      </c>
    </row>
    <row r="76" spans="1:4" x14ac:dyDescent="0.15">
      <c r="A76" s="175">
        <v>6001334</v>
      </c>
      <c r="B76" s="133">
        <v>580000</v>
      </c>
      <c r="C76" s="133">
        <v>0.05</v>
      </c>
      <c r="D76" s="178">
        <v>767000</v>
      </c>
    </row>
    <row r="77" spans="1:4" x14ac:dyDescent="0.15">
      <c r="A77" s="175">
        <v>6001334</v>
      </c>
      <c r="B77" s="133">
        <v>600000</v>
      </c>
      <c r="C77" s="133">
        <v>0.05</v>
      </c>
      <c r="D77" s="178">
        <v>779000</v>
      </c>
    </row>
    <row r="78" spans="1:4" x14ac:dyDescent="0.15">
      <c r="A78" s="175">
        <v>6001334</v>
      </c>
      <c r="B78" s="133">
        <v>620000</v>
      </c>
      <c r="C78" s="133">
        <v>0.05</v>
      </c>
      <c r="D78" s="178">
        <v>791000</v>
      </c>
    </row>
    <row r="79" spans="1:4" x14ac:dyDescent="0.15">
      <c r="A79" s="175">
        <v>6001334</v>
      </c>
      <c r="B79" s="133">
        <v>640000</v>
      </c>
      <c r="C79" s="133">
        <v>0.05</v>
      </c>
      <c r="D79" s="178">
        <v>803000</v>
      </c>
    </row>
    <row r="80" spans="1:4" x14ac:dyDescent="0.15">
      <c r="A80" s="175">
        <v>6001334</v>
      </c>
      <c r="B80" s="133">
        <v>660000</v>
      </c>
      <c r="C80" s="133">
        <v>0.05</v>
      </c>
      <c r="D80" s="178">
        <v>815000</v>
      </c>
    </row>
    <row r="81" spans="1:4" ht="16" thickBot="1" x14ac:dyDescent="0.2">
      <c r="A81" s="180">
        <v>6001334</v>
      </c>
      <c r="B81" s="136">
        <v>680000</v>
      </c>
      <c r="C81" s="136">
        <v>0.05</v>
      </c>
      <c r="D81" s="181">
        <v>827000</v>
      </c>
    </row>
    <row r="82" spans="1:4" x14ac:dyDescent="0.15">
      <c r="A82" s="169">
        <v>6001335</v>
      </c>
      <c r="B82" s="170">
        <v>0</v>
      </c>
      <c r="C82" s="170">
        <v>0.05</v>
      </c>
      <c r="D82" s="171">
        <v>0</v>
      </c>
    </row>
    <row r="83" spans="1:4" x14ac:dyDescent="0.15">
      <c r="A83" s="169">
        <v>6001335</v>
      </c>
      <c r="B83" s="124">
        <v>1300000</v>
      </c>
      <c r="C83" s="124">
        <v>0.05</v>
      </c>
      <c r="D83" s="172">
        <v>1500000</v>
      </c>
    </row>
    <row r="84" spans="1:4" x14ac:dyDescent="0.15">
      <c r="A84" s="169">
        <v>6001335</v>
      </c>
      <c r="B84" s="124">
        <v>1360000</v>
      </c>
      <c r="C84" s="124">
        <v>0.05</v>
      </c>
      <c r="D84" s="172">
        <v>1524000</v>
      </c>
    </row>
    <row r="85" spans="1:4" x14ac:dyDescent="0.15">
      <c r="A85" s="169">
        <v>6001335</v>
      </c>
      <c r="B85" s="124">
        <v>1420000</v>
      </c>
      <c r="C85" s="124">
        <v>0.05</v>
      </c>
      <c r="D85" s="172">
        <v>1548000</v>
      </c>
    </row>
    <row r="86" spans="1:4" x14ac:dyDescent="0.15">
      <c r="A86" s="169">
        <v>6001335</v>
      </c>
      <c r="B86" s="124">
        <v>1480000</v>
      </c>
      <c r="C86" s="124">
        <v>0.05</v>
      </c>
      <c r="D86" s="172">
        <v>1572000</v>
      </c>
    </row>
    <row r="87" spans="1:4" x14ac:dyDescent="0.15">
      <c r="A87" s="169">
        <v>6001335</v>
      </c>
      <c r="B87" s="124">
        <v>1540000</v>
      </c>
      <c r="C87" s="124">
        <v>0.05</v>
      </c>
      <c r="D87" s="172">
        <v>1596000</v>
      </c>
    </row>
    <row r="88" spans="1:4" x14ac:dyDescent="0.15">
      <c r="A88" s="169">
        <v>6001335</v>
      </c>
      <c r="B88" s="124">
        <v>1600000</v>
      </c>
      <c r="C88" s="124">
        <v>0.05</v>
      </c>
      <c r="D88" s="172">
        <v>1620000</v>
      </c>
    </row>
    <row r="89" spans="1:4" x14ac:dyDescent="0.15">
      <c r="A89" s="169">
        <v>6001335</v>
      </c>
      <c r="B89" s="124">
        <v>1660000</v>
      </c>
      <c r="C89" s="124">
        <v>0.05</v>
      </c>
      <c r="D89" s="172">
        <v>1644000</v>
      </c>
    </row>
    <row r="90" spans="1:4" x14ac:dyDescent="0.15">
      <c r="A90" s="169">
        <v>6001335</v>
      </c>
      <c r="B90" s="124">
        <v>1720000</v>
      </c>
      <c r="C90" s="124">
        <v>0.05</v>
      </c>
      <c r="D90" s="172">
        <v>1668000</v>
      </c>
    </row>
    <row r="91" spans="1:4" x14ac:dyDescent="0.15">
      <c r="A91" s="169">
        <v>6001335</v>
      </c>
      <c r="B91" s="124">
        <v>1780000</v>
      </c>
      <c r="C91" s="124">
        <v>0.05</v>
      </c>
      <c r="D91" s="172">
        <v>1692000</v>
      </c>
    </row>
    <row r="92" spans="1:4" x14ac:dyDescent="0.15">
      <c r="A92" s="169">
        <v>6001335</v>
      </c>
      <c r="B92" s="124">
        <v>1840000</v>
      </c>
      <c r="C92" s="124">
        <v>0.05</v>
      </c>
      <c r="D92" s="172">
        <v>1716000</v>
      </c>
    </row>
    <row r="93" spans="1:4" x14ac:dyDescent="0.15">
      <c r="A93" s="169">
        <v>6001335</v>
      </c>
      <c r="B93" s="124">
        <v>1900000</v>
      </c>
      <c r="C93" s="124">
        <v>0.05</v>
      </c>
      <c r="D93" s="172">
        <v>1740000</v>
      </c>
    </row>
    <row r="94" spans="1:4" x14ac:dyDescent="0.15">
      <c r="A94" s="169">
        <v>6001335</v>
      </c>
      <c r="B94" s="124">
        <v>1940000</v>
      </c>
      <c r="C94" s="124">
        <v>0.05</v>
      </c>
      <c r="D94" s="172">
        <v>1764000</v>
      </c>
    </row>
    <row r="95" spans="1:4" x14ac:dyDescent="0.15">
      <c r="A95" s="169">
        <v>6001335</v>
      </c>
      <c r="B95" s="124">
        <v>1980000</v>
      </c>
      <c r="C95" s="124">
        <v>0.05</v>
      </c>
      <c r="D95" s="172">
        <v>1788000</v>
      </c>
    </row>
    <row r="96" spans="1:4" x14ac:dyDescent="0.15">
      <c r="A96" s="169">
        <v>6001335</v>
      </c>
      <c r="B96" s="124">
        <v>2020000</v>
      </c>
      <c r="C96" s="124">
        <v>0.05</v>
      </c>
      <c r="D96" s="172">
        <v>1812000</v>
      </c>
    </row>
    <row r="97" spans="1:4" x14ac:dyDescent="0.15">
      <c r="A97" s="169">
        <v>6001335</v>
      </c>
      <c r="B97" s="124">
        <v>2060000</v>
      </c>
      <c r="C97" s="124">
        <v>0.05</v>
      </c>
      <c r="D97" s="172">
        <v>1830000</v>
      </c>
    </row>
    <row r="98" spans="1:4" x14ac:dyDescent="0.15">
      <c r="A98" s="169">
        <v>6001335</v>
      </c>
      <c r="B98" s="124">
        <v>2100000</v>
      </c>
      <c r="C98" s="124">
        <v>0.05</v>
      </c>
      <c r="D98" s="172">
        <v>1848000</v>
      </c>
    </row>
    <row r="99" spans="1:4" x14ac:dyDescent="0.15">
      <c r="A99" s="169">
        <v>6001335</v>
      </c>
      <c r="B99" s="124">
        <v>2140000</v>
      </c>
      <c r="C99" s="124">
        <v>0.05</v>
      </c>
      <c r="D99" s="172">
        <v>1866000</v>
      </c>
    </row>
    <row r="100" spans="1:4" x14ac:dyDescent="0.15">
      <c r="A100" s="169">
        <v>6001335</v>
      </c>
      <c r="B100" s="124">
        <v>2180000</v>
      </c>
      <c r="C100" s="124">
        <v>0.05</v>
      </c>
      <c r="D100" s="172">
        <v>1884000</v>
      </c>
    </row>
    <row r="101" spans="1:4" x14ac:dyDescent="0.15">
      <c r="A101" s="169">
        <v>6001335</v>
      </c>
      <c r="B101" s="124">
        <v>2220000</v>
      </c>
      <c r="C101" s="124">
        <v>0.05</v>
      </c>
      <c r="D101" s="172">
        <v>1902000</v>
      </c>
    </row>
    <row r="102" spans="1:4" x14ac:dyDescent="0.15">
      <c r="A102" s="169">
        <v>6001335</v>
      </c>
      <c r="B102" s="124">
        <v>2260000</v>
      </c>
      <c r="C102" s="124">
        <v>0.05</v>
      </c>
      <c r="D102" s="172">
        <v>1920000</v>
      </c>
    </row>
    <row r="103" spans="1:4" x14ac:dyDescent="0.15">
      <c r="A103" s="169">
        <v>6001335</v>
      </c>
      <c r="B103" s="124">
        <v>2300000</v>
      </c>
      <c r="C103" s="124">
        <v>0.05</v>
      </c>
      <c r="D103" s="172">
        <v>1938000</v>
      </c>
    </row>
    <row r="104" spans="1:4" x14ac:dyDescent="0.15">
      <c r="A104" s="169">
        <v>6001335</v>
      </c>
      <c r="B104" s="124">
        <v>2340000</v>
      </c>
      <c r="C104" s="124">
        <v>0.05</v>
      </c>
      <c r="D104" s="172">
        <v>1956000</v>
      </c>
    </row>
    <row r="105" spans="1:4" x14ac:dyDescent="0.15">
      <c r="A105" s="169">
        <v>6001335</v>
      </c>
      <c r="B105" s="124">
        <v>2380000</v>
      </c>
      <c r="C105" s="124">
        <v>0.05</v>
      </c>
      <c r="D105" s="172">
        <v>1974000</v>
      </c>
    </row>
    <row r="106" spans="1:4" x14ac:dyDescent="0.15">
      <c r="A106" s="169">
        <v>6001335</v>
      </c>
      <c r="B106" s="124">
        <v>2420000</v>
      </c>
      <c r="C106" s="124">
        <v>0.05</v>
      </c>
      <c r="D106" s="172">
        <v>1992000</v>
      </c>
    </row>
    <row r="107" spans="1:4" x14ac:dyDescent="0.15">
      <c r="A107" s="169">
        <v>6001335</v>
      </c>
      <c r="B107" s="124">
        <v>2440000</v>
      </c>
      <c r="C107" s="124">
        <v>0.05</v>
      </c>
      <c r="D107" s="172">
        <v>2010000</v>
      </c>
    </row>
    <row r="108" spans="1:4" x14ac:dyDescent="0.15">
      <c r="A108" s="169">
        <v>6001335</v>
      </c>
      <c r="B108" s="124">
        <v>2460000</v>
      </c>
      <c r="C108" s="124">
        <v>0.05</v>
      </c>
      <c r="D108" s="172">
        <v>2028000</v>
      </c>
    </row>
    <row r="109" spans="1:4" x14ac:dyDescent="0.15">
      <c r="A109" s="169">
        <v>6001335</v>
      </c>
      <c r="B109" s="124">
        <v>2480000</v>
      </c>
      <c r="C109" s="124">
        <v>0.05</v>
      </c>
      <c r="D109" s="172">
        <v>2046000</v>
      </c>
    </row>
    <row r="110" spans="1:4" ht="16" thickBot="1" x14ac:dyDescent="0.2">
      <c r="A110" s="173">
        <v>6001335</v>
      </c>
      <c r="B110" s="127">
        <v>2500000</v>
      </c>
      <c r="C110" s="127">
        <v>0.05</v>
      </c>
      <c r="D110" s="174">
        <v>2050000</v>
      </c>
    </row>
  </sheetData>
  <phoneticPr fontId="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D79"/>
  <sheetViews>
    <sheetView workbookViewId="0">
      <selection activeCell="J9" sqref="J9"/>
    </sheetView>
  </sheetViews>
  <sheetFormatPr baseColWidth="12" defaultRowHeight="15" x14ac:dyDescent="0.15"/>
  <sheetData>
    <row r="1" spans="1:4" ht="16" thickBot="1" x14ac:dyDescent="0.2">
      <c r="A1" s="46" t="s">
        <v>232</v>
      </c>
      <c r="B1" s="46" t="s">
        <v>233</v>
      </c>
      <c r="C1" s="46" t="s">
        <v>234</v>
      </c>
      <c r="D1" s="46" t="s">
        <v>235</v>
      </c>
    </row>
    <row r="2" spans="1:4" x14ac:dyDescent="0.15">
      <c r="A2" s="161">
        <v>6001311</v>
      </c>
      <c r="B2" s="109">
        <v>0</v>
      </c>
      <c r="C2" s="109">
        <v>0</v>
      </c>
      <c r="D2" s="162">
        <v>0</v>
      </c>
    </row>
    <row r="3" spans="1:4" x14ac:dyDescent="0.15">
      <c r="A3" s="163">
        <v>6001311</v>
      </c>
      <c r="B3" s="112">
        <v>0.2</v>
      </c>
      <c r="C3" s="112">
        <v>-1</v>
      </c>
      <c r="D3" s="164">
        <v>0</v>
      </c>
    </row>
    <row r="4" spans="1:4" x14ac:dyDescent="0.15">
      <c r="A4" s="163">
        <v>6001311</v>
      </c>
      <c r="B4" s="112">
        <v>0.4</v>
      </c>
      <c r="C4" s="112">
        <v>-1</v>
      </c>
      <c r="D4" s="164">
        <v>-1000</v>
      </c>
    </row>
    <row r="5" spans="1:4" x14ac:dyDescent="0.15">
      <c r="A5" s="163">
        <v>6001311</v>
      </c>
      <c r="B5" s="112">
        <v>0.6</v>
      </c>
      <c r="C5" s="112">
        <v>-1</v>
      </c>
      <c r="D5" s="164">
        <v>-2000</v>
      </c>
    </row>
    <row r="6" spans="1:4" x14ac:dyDescent="0.15">
      <c r="A6" s="163">
        <v>6001311</v>
      </c>
      <c r="B6" s="112">
        <v>0.8</v>
      </c>
      <c r="C6" s="112">
        <v>-1</v>
      </c>
      <c r="D6" s="164">
        <v>-4000</v>
      </c>
    </row>
    <row r="7" spans="1:4" x14ac:dyDescent="0.15">
      <c r="A7" s="163">
        <v>6001311</v>
      </c>
      <c r="B7" s="112">
        <v>1</v>
      </c>
      <c r="C7" s="112">
        <v>-1</v>
      </c>
      <c r="D7" s="164">
        <v>-6000</v>
      </c>
    </row>
    <row r="8" spans="1:4" x14ac:dyDescent="0.15">
      <c r="A8" s="163">
        <v>6001311</v>
      </c>
      <c r="B8" s="112">
        <v>2</v>
      </c>
      <c r="C8" s="112">
        <v>-1</v>
      </c>
      <c r="D8" s="164">
        <v>-8000</v>
      </c>
    </row>
    <row r="9" spans="1:4" x14ac:dyDescent="0.15">
      <c r="A9" s="163">
        <v>6001311</v>
      </c>
      <c r="B9" s="112">
        <v>3</v>
      </c>
      <c r="C9" s="112">
        <v>-1</v>
      </c>
      <c r="D9" s="164">
        <v>-10000</v>
      </c>
    </row>
    <row r="10" spans="1:4" ht="16" thickBot="1" x14ac:dyDescent="0.2">
      <c r="A10" s="165">
        <v>6001311</v>
      </c>
      <c r="B10" s="115">
        <v>4</v>
      </c>
      <c r="C10" s="115">
        <v>-1</v>
      </c>
      <c r="D10" s="168">
        <v>-12000</v>
      </c>
    </row>
    <row r="11" spans="1:4" x14ac:dyDescent="0.15">
      <c r="A11" s="185">
        <v>6001321</v>
      </c>
      <c r="B11" s="118">
        <v>0</v>
      </c>
      <c r="C11" s="118">
        <v>0</v>
      </c>
      <c r="D11" s="186">
        <v>0</v>
      </c>
    </row>
    <row r="12" spans="1:4" x14ac:dyDescent="0.15">
      <c r="A12" s="185">
        <v>6001321</v>
      </c>
      <c r="B12" s="112">
        <v>0.2</v>
      </c>
      <c r="C12" s="112">
        <v>-1</v>
      </c>
      <c r="D12" s="164">
        <v>0</v>
      </c>
    </row>
    <row r="13" spans="1:4" x14ac:dyDescent="0.15">
      <c r="A13" s="185">
        <v>6001321</v>
      </c>
      <c r="B13" s="112">
        <v>0.4</v>
      </c>
      <c r="C13" s="112">
        <v>-1</v>
      </c>
      <c r="D13" s="164">
        <v>-1000</v>
      </c>
    </row>
    <row r="14" spans="1:4" x14ac:dyDescent="0.15">
      <c r="A14" s="185">
        <v>6001321</v>
      </c>
      <c r="B14" s="112">
        <v>0.6</v>
      </c>
      <c r="C14" s="112">
        <v>-1</v>
      </c>
      <c r="D14" s="164">
        <v>-2000</v>
      </c>
    </row>
    <row r="15" spans="1:4" x14ac:dyDescent="0.15">
      <c r="A15" s="185">
        <v>6001321</v>
      </c>
      <c r="B15" s="112">
        <v>0.8</v>
      </c>
      <c r="C15" s="112">
        <v>-1</v>
      </c>
      <c r="D15" s="164">
        <v>-4000</v>
      </c>
    </row>
    <row r="16" spans="1:4" x14ac:dyDescent="0.15">
      <c r="A16" s="185">
        <v>6001321</v>
      </c>
      <c r="B16" s="112">
        <v>1</v>
      </c>
      <c r="C16" s="112">
        <v>-1</v>
      </c>
      <c r="D16" s="164">
        <v>-6000</v>
      </c>
    </row>
    <row r="17" spans="1:4" x14ac:dyDescent="0.15">
      <c r="A17" s="185">
        <v>6001321</v>
      </c>
      <c r="B17" s="112">
        <v>2</v>
      </c>
      <c r="C17" s="112">
        <v>-1</v>
      </c>
      <c r="D17" s="164">
        <v>-8000</v>
      </c>
    </row>
    <row r="18" spans="1:4" x14ac:dyDescent="0.15">
      <c r="A18" s="185">
        <v>6001321</v>
      </c>
      <c r="B18" s="112">
        <v>3</v>
      </c>
      <c r="C18" s="112">
        <v>-1</v>
      </c>
      <c r="D18" s="164">
        <v>-10000</v>
      </c>
    </row>
    <row r="19" spans="1:4" ht="16" thickBot="1" x14ac:dyDescent="0.2">
      <c r="A19" s="185">
        <v>6001321</v>
      </c>
      <c r="B19" s="166">
        <v>4</v>
      </c>
      <c r="C19" s="166">
        <v>-1</v>
      </c>
      <c r="D19" s="167">
        <v>-12000</v>
      </c>
    </row>
    <row r="20" spans="1:4" x14ac:dyDescent="0.15">
      <c r="A20" s="187">
        <v>6001331</v>
      </c>
      <c r="B20" s="188">
        <v>0</v>
      </c>
      <c r="C20" s="188">
        <v>0</v>
      </c>
      <c r="D20" s="189">
        <v>0</v>
      </c>
    </row>
    <row r="21" spans="1:4" x14ac:dyDescent="0.15">
      <c r="A21" s="190">
        <v>6001331</v>
      </c>
      <c r="B21" s="191">
        <v>0.2</v>
      </c>
      <c r="C21" s="191">
        <v>-5000</v>
      </c>
      <c r="D21" s="172">
        <v>-10000</v>
      </c>
    </row>
    <row r="22" spans="1:4" x14ac:dyDescent="0.15">
      <c r="A22" s="190">
        <v>6001331</v>
      </c>
      <c r="B22" s="191">
        <v>0.4</v>
      </c>
      <c r="C22" s="191">
        <v>-5000</v>
      </c>
      <c r="D22" s="172">
        <v>-20000</v>
      </c>
    </row>
    <row r="23" spans="1:4" x14ac:dyDescent="0.15">
      <c r="A23" s="190">
        <v>6001331</v>
      </c>
      <c r="B23" s="191">
        <v>0.6</v>
      </c>
      <c r="C23" s="191">
        <v>-5000</v>
      </c>
      <c r="D23" s="172">
        <v>-30000</v>
      </c>
    </row>
    <row r="24" spans="1:4" x14ac:dyDescent="0.15">
      <c r="A24" s="190">
        <v>6001331</v>
      </c>
      <c r="B24" s="191">
        <v>0.8</v>
      </c>
      <c r="C24" s="191">
        <v>-5000</v>
      </c>
      <c r="D24" s="172">
        <v>-40000</v>
      </c>
    </row>
    <row r="25" spans="1:4" x14ac:dyDescent="0.15">
      <c r="A25" s="190">
        <v>6001331</v>
      </c>
      <c r="B25" s="191">
        <v>1</v>
      </c>
      <c r="C25" s="191">
        <v>-5000</v>
      </c>
      <c r="D25" s="172">
        <v>-50000</v>
      </c>
    </row>
    <row r="26" spans="1:4" x14ac:dyDescent="0.15">
      <c r="A26" s="190">
        <v>6001331</v>
      </c>
      <c r="B26" s="191">
        <v>1.2</v>
      </c>
      <c r="C26" s="191">
        <v>-5000</v>
      </c>
      <c r="D26" s="172">
        <v>-70000</v>
      </c>
    </row>
    <row r="27" spans="1:4" x14ac:dyDescent="0.15">
      <c r="A27" s="190">
        <v>6001331</v>
      </c>
      <c r="B27" s="191">
        <v>1.4</v>
      </c>
      <c r="C27" s="191">
        <v>-5000</v>
      </c>
      <c r="D27" s="172">
        <v>-90000</v>
      </c>
    </row>
    <row r="28" spans="1:4" x14ac:dyDescent="0.15">
      <c r="A28" s="190">
        <v>6001331</v>
      </c>
      <c r="B28" s="191">
        <v>1.6</v>
      </c>
      <c r="C28" s="191">
        <v>-5000</v>
      </c>
      <c r="D28" s="172">
        <v>-110000</v>
      </c>
    </row>
    <row r="29" spans="1:4" x14ac:dyDescent="0.15">
      <c r="A29" s="190">
        <v>6001331</v>
      </c>
      <c r="B29" s="191">
        <v>1.8</v>
      </c>
      <c r="C29" s="191">
        <v>-5000</v>
      </c>
      <c r="D29" s="172">
        <v>-130000</v>
      </c>
    </row>
    <row r="30" spans="1:4" ht="16" thickBot="1" x14ac:dyDescent="0.2">
      <c r="A30" s="192">
        <v>6001331</v>
      </c>
      <c r="B30" s="193">
        <v>2</v>
      </c>
      <c r="C30" s="193">
        <v>0</v>
      </c>
      <c r="D30" s="174">
        <v>-9999999</v>
      </c>
    </row>
    <row r="31" spans="1:4" x14ac:dyDescent="0.15">
      <c r="A31" s="194">
        <v>6001332</v>
      </c>
      <c r="B31" s="195">
        <v>0</v>
      </c>
      <c r="C31" s="195">
        <v>0</v>
      </c>
      <c r="D31" s="196">
        <v>0</v>
      </c>
    </row>
    <row r="32" spans="1:4" x14ac:dyDescent="0.15">
      <c r="A32" s="197">
        <v>6001332</v>
      </c>
      <c r="B32" s="198">
        <v>0.2</v>
      </c>
      <c r="C32" s="198">
        <v>-10000</v>
      </c>
      <c r="D32" s="178">
        <v>-20000</v>
      </c>
    </row>
    <row r="33" spans="1:4" x14ac:dyDescent="0.15">
      <c r="A33" s="197">
        <v>6001332</v>
      </c>
      <c r="B33" s="198">
        <v>0.4</v>
      </c>
      <c r="C33" s="198">
        <v>-10000</v>
      </c>
      <c r="D33" s="178">
        <v>-40000</v>
      </c>
    </row>
    <row r="34" spans="1:4" x14ac:dyDescent="0.15">
      <c r="A34" s="197">
        <v>6001332</v>
      </c>
      <c r="B34" s="198">
        <v>0.6</v>
      </c>
      <c r="C34" s="198">
        <v>-10000</v>
      </c>
      <c r="D34" s="178">
        <v>-60000</v>
      </c>
    </row>
    <row r="35" spans="1:4" x14ac:dyDescent="0.15">
      <c r="A35" s="197">
        <v>6001332</v>
      </c>
      <c r="B35" s="198">
        <v>0.8</v>
      </c>
      <c r="C35" s="198">
        <v>-10000</v>
      </c>
      <c r="D35" s="178">
        <v>-80000</v>
      </c>
    </row>
    <row r="36" spans="1:4" x14ac:dyDescent="0.15">
      <c r="A36" s="197">
        <v>6001332</v>
      </c>
      <c r="B36" s="198">
        <v>1</v>
      </c>
      <c r="C36" s="198">
        <v>-10000</v>
      </c>
      <c r="D36" s="178">
        <v>-100000</v>
      </c>
    </row>
    <row r="37" spans="1:4" x14ac:dyDescent="0.15">
      <c r="A37" s="197">
        <v>6001332</v>
      </c>
      <c r="B37" s="198">
        <v>1.2</v>
      </c>
      <c r="C37" s="198">
        <v>-10000</v>
      </c>
      <c r="D37" s="178">
        <v>-140000</v>
      </c>
    </row>
    <row r="38" spans="1:4" x14ac:dyDescent="0.15">
      <c r="A38" s="197">
        <v>6001332</v>
      </c>
      <c r="B38" s="198">
        <v>1.4</v>
      </c>
      <c r="C38" s="198">
        <v>-10000</v>
      </c>
      <c r="D38" s="178">
        <v>-180000</v>
      </c>
    </row>
    <row r="39" spans="1:4" x14ac:dyDescent="0.15">
      <c r="A39" s="197">
        <v>6001332</v>
      </c>
      <c r="B39" s="198">
        <v>1.6</v>
      </c>
      <c r="C39" s="198">
        <v>-10000</v>
      </c>
      <c r="D39" s="178">
        <v>-220000</v>
      </c>
    </row>
    <row r="40" spans="1:4" x14ac:dyDescent="0.15">
      <c r="A40" s="197">
        <v>6001332</v>
      </c>
      <c r="B40" s="198">
        <v>1.8</v>
      </c>
      <c r="C40" s="198">
        <v>-10000</v>
      </c>
      <c r="D40" s="178">
        <v>-260000</v>
      </c>
    </row>
    <row r="41" spans="1:4" ht="16" thickBot="1" x14ac:dyDescent="0.2">
      <c r="A41" s="199">
        <v>6001332</v>
      </c>
      <c r="B41" s="200">
        <v>2</v>
      </c>
      <c r="C41" s="200">
        <v>0</v>
      </c>
      <c r="D41" s="181">
        <v>-9999999</v>
      </c>
    </row>
    <row r="42" spans="1:4" x14ac:dyDescent="0.15">
      <c r="A42" s="187">
        <v>6001333</v>
      </c>
      <c r="B42" s="188">
        <v>0</v>
      </c>
      <c r="C42" s="188">
        <v>0</v>
      </c>
      <c r="D42" s="189">
        <v>0</v>
      </c>
    </row>
    <row r="43" spans="1:4" x14ac:dyDescent="0.15">
      <c r="A43" s="190">
        <v>6001333</v>
      </c>
      <c r="B43" s="191">
        <v>0.2</v>
      </c>
      <c r="C43" s="191">
        <v>-10000</v>
      </c>
      <c r="D43" s="172">
        <v>-40000</v>
      </c>
    </row>
    <row r="44" spans="1:4" x14ac:dyDescent="0.15">
      <c r="A44" s="190">
        <v>6001333</v>
      </c>
      <c r="B44" s="191">
        <v>0.4</v>
      </c>
      <c r="C44" s="191">
        <v>-10000</v>
      </c>
      <c r="D44" s="172">
        <v>-80000</v>
      </c>
    </row>
    <row r="45" spans="1:4" x14ac:dyDescent="0.15">
      <c r="A45" s="190">
        <v>6001333</v>
      </c>
      <c r="B45" s="191">
        <v>0.6</v>
      </c>
      <c r="C45" s="191">
        <v>-10000</v>
      </c>
      <c r="D45" s="172">
        <v>-120000</v>
      </c>
    </row>
    <row r="46" spans="1:4" x14ac:dyDescent="0.15">
      <c r="A46" s="190">
        <v>6001333</v>
      </c>
      <c r="B46" s="191">
        <v>0.8</v>
      </c>
      <c r="C46" s="191">
        <v>-10000</v>
      </c>
      <c r="D46" s="172">
        <v>-160000</v>
      </c>
    </row>
    <row r="47" spans="1:4" x14ac:dyDescent="0.15">
      <c r="A47" s="190">
        <v>6001333</v>
      </c>
      <c r="B47" s="191">
        <v>1</v>
      </c>
      <c r="C47" s="191">
        <v>-10000</v>
      </c>
      <c r="D47" s="172">
        <v>-200000</v>
      </c>
    </row>
    <row r="48" spans="1:4" x14ac:dyDescent="0.15">
      <c r="A48" s="190">
        <v>6001333</v>
      </c>
      <c r="B48" s="191">
        <v>1.2</v>
      </c>
      <c r="C48" s="191">
        <v>-10000</v>
      </c>
      <c r="D48" s="172">
        <v>-280000</v>
      </c>
    </row>
    <row r="49" spans="1:4" x14ac:dyDescent="0.15">
      <c r="A49" s="190">
        <v>6001333</v>
      </c>
      <c r="B49" s="191">
        <v>1.4</v>
      </c>
      <c r="C49" s="191">
        <v>-10000</v>
      </c>
      <c r="D49" s="172">
        <v>-360000</v>
      </c>
    </row>
    <row r="50" spans="1:4" x14ac:dyDescent="0.15">
      <c r="A50" s="190">
        <v>6001333</v>
      </c>
      <c r="B50" s="191">
        <v>1.6</v>
      </c>
      <c r="C50" s="191">
        <v>-10000</v>
      </c>
      <c r="D50" s="172">
        <v>-440000</v>
      </c>
    </row>
    <row r="51" spans="1:4" x14ac:dyDescent="0.15">
      <c r="A51" s="190">
        <v>6001333</v>
      </c>
      <c r="B51" s="191">
        <v>1.8</v>
      </c>
      <c r="C51" s="191">
        <v>-10000</v>
      </c>
      <c r="D51" s="172">
        <v>-520000</v>
      </c>
    </row>
    <row r="52" spans="1:4" ht="16" thickBot="1" x14ac:dyDescent="0.2">
      <c r="A52" s="192">
        <v>6001333</v>
      </c>
      <c r="B52" s="193">
        <v>2</v>
      </c>
      <c r="C52" s="193">
        <v>0</v>
      </c>
      <c r="D52" s="174">
        <v>-9999999</v>
      </c>
    </row>
    <row r="53" spans="1:4" x14ac:dyDescent="0.15">
      <c r="A53" s="194">
        <v>6001334</v>
      </c>
      <c r="B53" s="195">
        <v>0</v>
      </c>
      <c r="C53" s="195">
        <v>0</v>
      </c>
      <c r="D53" s="196">
        <v>0</v>
      </c>
    </row>
    <row r="54" spans="1:4" x14ac:dyDescent="0.15">
      <c r="A54" s="197">
        <v>6001334</v>
      </c>
      <c r="B54" s="198">
        <v>0.2</v>
      </c>
      <c r="C54" s="198">
        <v>-10000</v>
      </c>
      <c r="D54" s="178">
        <v>-40000</v>
      </c>
    </row>
    <row r="55" spans="1:4" x14ac:dyDescent="0.15">
      <c r="A55" s="197">
        <v>6001334</v>
      </c>
      <c r="B55" s="198">
        <v>0.4</v>
      </c>
      <c r="C55" s="198">
        <v>-10000</v>
      </c>
      <c r="D55" s="178">
        <v>-80000</v>
      </c>
    </row>
    <row r="56" spans="1:4" x14ac:dyDescent="0.15">
      <c r="A56" s="197">
        <v>6001334</v>
      </c>
      <c r="B56" s="198">
        <v>0.6</v>
      </c>
      <c r="C56" s="198">
        <v>-10000</v>
      </c>
      <c r="D56" s="178">
        <v>-120000</v>
      </c>
    </row>
    <row r="57" spans="1:4" x14ac:dyDescent="0.15">
      <c r="A57" s="197">
        <v>6001334</v>
      </c>
      <c r="B57" s="198">
        <v>0.8</v>
      </c>
      <c r="C57" s="198">
        <v>-10000</v>
      </c>
      <c r="D57" s="178">
        <v>-160000</v>
      </c>
    </row>
    <row r="58" spans="1:4" x14ac:dyDescent="0.15">
      <c r="A58" s="197">
        <v>6001334</v>
      </c>
      <c r="B58" s="198">
        <v>1</v>
      </c>
      <c r="C58" s="198">
        <v>-10000</v>
      </c>
      <c r="D58" s="178">
        <v>-200000</v>
      </c>
    </row>
    <row r="59" spans="1:4" x14ac:dyDescent="0.15">
      <c r="A59" s="197">
        <v>6001334</v>
      </c>
      <c r="B59" s="198">
        <v>1.2</v>
      </c>
      <c r="C59" s="198">
        <v>-10000</v>
      </c>
      <c r="D59" s="178">
        <v>-280000</v>
      </c>
    </row>
    <row r="60" spans="1:4" x14ac:dyDescent="0.15">
      <c r="A60" s="197">
        <v>6001334</v>
      </c>
      <c r="B60" s="198">
        <v>1.4</v>
      </c>
      <c r="C60" s="198">
        <v>-10000</v>
      </c>
      <c r="D60" s="178">
        <v>-360000</v>
      </c>
    </row>
    <row r="61" spans="1:4" x14ac:dyDescent="0.15">
      <c r="A61" s="197">
        <v>6001334</v>
      </c>
      <c r="B61" s="198">
        <v>1.6</v>
      </c>
      <c r="C61" s="198">
        <v>-10000</v>
      </c>
      <c r="D61" s="178">
        <v>-440000</v>
      </c>
    </row>
    <row r="62" spans="1:4" x14ac:dyDescent="0.15">
      <c r="A62" s="197">
        <v>6001334</v>
      </c>
      <c r="B62" s="198">
        <v>1.8</v>
      </c>
      <c r="C62" s="198">
        <v>-10000</v>
      </c>
      <c r="D62" s="178">
        <v>-520000</v>
      </c>
    </row>
    <row r="63" spans="1:4" ht="16" thickBot="1" x14ac:dyDescent="0.2">
      <c r="A63" s="199">
        <v>6001334</v>
      </c>
      <c r="B63" s="200">
        <v>2</v>
      </c>
      <c r="C63" s="200">
        <v>0</v>
      </c>
      <c r="D63" s="181">
        <v>-9999999</v>
      </c>
    </row>
    <row r="64" spans="1:4" x14ac:dyDescent="0.15">
      <c r="A64" s="187">
        <v>6001335</v>
      </c>
      <c r="B64" s="188">
        <v>0</v>
      </c>
      <c r="C64" s="188">
        <v>0</v>
      </c>
      <c r="D64" s="189">
        <v>0</v>
      </c>
    </row>
    <row r="65" spans="1:4" x14ac:dyDescent="0.15">
      <c r="A65" s="190">
        <v>6001335</v>
      </c>
      <c r="B65" s="191">
        <v>0.2</v>
      </c>
      <c r="C65" s="191">
        <v>-20000</v>
      </c>
      <c r="D65" s="172">
        <v>-60000</v>
      </c>
    </row>
    <row r="66" spans="1:4" x14ac:dyDescent="0.15">
      <c r="A66" s="190">
        <v>6001335</v>
      </c>
      <c r="B66" s="191">
        <v>0.4</v>
      </c>
      <c r="C66" s="191">
        <v>-20000</v>
      </c>
      <c r="D66" s="172">
        <v>-120000</v>
      </c>
    </row>
    <row r="67" spans="1:4" x14ac:dyDescent="0.15">
      <c r="A67" s="190">
        <v>6001335</v>
      </c>
      <c r="B67" s="191">
        <v>0.6</v>
      </c>
      <c r="C67" s="191">
        <v>-20000</v>
      </c>
      <c r="D67" s="172">
        <v>-180000</v>
      </c>
    </row>
    <row r="68" spans="1:4" x14ac:dyDescent="0.15">
      <c r="A68" s="190">
        <v>6001335</v>
      </c>
      <c r="B68" s="191">
        <v>0.8</v>
      </c>
      <c r="C68" s="191">
        <v>-20000</v>
      </c>
      <c r="D68" s="172">
        <v>-240000</v>
      </c>
    </row>
    <row r="69" spans="1:4" x14ac:dyDescent="0.15">
      <c r="A69" s="190">
        <v>6001335</v>
      </c>
      <c r="B69" s="191">
        <v>1</v>
      </c>
      <c r="C69" s="191">
        <v>-20000</v>
      </c>
      <c r="D69" s="172">
        <v>-300000</v>
      </c>
    </row>
    <row r="70" spans="1:4" x14ac:dyDescent="0.15">
      <c r="A70" s="190">
        <v>6001335</v>
      </c>
      <c r="B70" s="191">
        <v>1.2</v>
      </c>
      <c r="C70" s="191">
        <v>-20000</v>
      </c>
      <c r="D70" s="172">
        <v>-360000</v>
      </c>
    </row>
    <row r="71" spans="1:4" x14ac:dyDescent="0.15">
      <c r="A71" s="190">
        <v>6001335</v>
      </c>
      <c r="B71" s="191">
        <v>1.4</v>
      </c>
      <c r="C71" s="191">
        <v>-20000</v>
      </c>
      <c r="D71" s="172">
        <v>-420000</v>
      </c>
    </row>
    <row r="72" spans="1:4" x14ac:dyDescent="0.15">
      <c r="A72" s="190">
        <v>6001335</v>
      </c>
      <c r="B72" s="191">
        <v>1.6</v>
      </c>
      <c r="C72" s="191">
        <v>-20000</v>
      </c>
      <c r="D72" s="172">
        <v>-540000</v>
      </c>
    </row>
    <row r="73" spans="1:4" x14ac:dyDescent="0.15">
      <c r="A73" s="190">
        <v>6001335</v>
      </c>
      <c r="B73" s="191">
        <v>1.8</v>
      </c>
      <c r="C73" s="191">
        <v>-20000</v>
      </c>
      <c r="D73" s="172">
        <v>-660000</v>
      </c>
    </row>
    <row r="74" spans="1:4" x14ac:dyDescent="0.15">
      <c r="A74" s="190">
        <v>6001335</v>
      </c>
      <c r="B74" s="191">
        <v>2</v>
      </c>
      <c r="C74" s="191">
        <v>-20000</v>
      </c>
      <c r="D74" s="172">
        <v>-780000</v>
      </c>
    </row>
    <row r="75" spans="1:4" x14ac:dyDescent="0.15">
      <c r="A75" s="190">
        <v>6001335</v>
      </c>
      <c r="B75" s="191">
        <v>2.2000000000000002</v>
      </c>
      <c r="C75" s="191">
        <v>-20000</v>
      </c>
      <c r="D75" s="172">
        <v>-900000</v>
      </c>
    </row>
    <row r="76" spans="1:4" x14ac:dyDescent="0.15">
      <c r="A76" s="190">
        <v>6001335</v>
      </c>
      <c r="B76" s="191">
        <v>2.4</v>
      </c>
      <c r="C76" s="191">
        <v>-20000</v>
      </c>
      <c r="D76" s="172">
        <v>-1020000</v>
      </c>
    </row>
    <row r="77" spans="1:4" x14ac:dyDescent="0.15">
      <c r="A77" s="190">
        <v>6001335</v>
      </c>
      <c r="B77" s="191">
        <v>2.6</v>
      </c>
      <c r="C77" s="191">
        <v>-20000</v>
      </c>
      <c r="D77" s="172">
        <v>-1140000</v>
      </c>
    </row>
    <row r="78" spans="1:4" x14ac:dyDescent="0.15">
      <c r="A78" s="190">
        <v>6001335</v>
      </c>
      <c r="B78" s="191">
        <v>2.8</v>
      </c>
      <c r="C78" s="191">
        <v>-20000</v>
      </c>
      <c r="D78" s="172">
        <v>-1260000</v>
      </c>
    </row>
    <row r="79" spans="1:4" ht="16" thickBot="1" x14ac:dyDescent="0.2">
      <c r="A79" s="192">
        <v>6001335</v>
      </c>
      <c r="B79" s="193">
        <v>3</v>
      </c>
      <c r="C79" s="193">
        <v>0</v>
      </c>
      <c r="D79" s="174">
        <v>-9999999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25"/>
  <sheetViews>
    <sheetView workbookViewId="0">
      <selection activeCell="E18" sqref="E18"/>
    </sheetView>
  </sheetViews>
  <sheetFormatPr baseColWidth="12" defaultRowHeight="15" x14ac:dyDescent="0.15"/>
  <cols>
    <col min="7" max="7" width="34.5" bestFit="1" customWidth="1"/>
  </cols>
  <sheetData>
    <row r="1" spans="1:7" ht="16" thickBot="1" x14ac:dyDescent="0.2">
      <c r="A1" s="46" t="s">
        <v>242</v>
      </c>
      <c r="B1" s="46" t="s">
        <v>243</v>
      </c>
      <c r="C1" s="46" t="s">
        <v>244</v>
      </c>
      <c r="D1" s="46" t="s">
        <v>245</v>
      </c>
      <c r="E1" s="93" t="s">
        <v>246</v>
      </c>
      <c r="F1" s="93" t="s">
        <v>247</v>
      </c>
      <c r="G1" s="93" t="s">
        <v>248</v>
      </c>
    </row>
    <row r="2" spans="1:7" x14ac:dyDescent="0.15">
      <c r="A2" s="321">
        <v>1301</v>
      </c>
      <c r="B2" s="322">
        <v>60013</v>
      </c>
      <c r="C2" s="322">
        <v>1</v>
      </c>
      <c r="D2" s="322">
        <v>5000000</v>
      </c>
      <c r="E2" s="322" t="s">
        <v>266</v>
      </c>
      <c r="F2" s="322" t="s">
        <v>267</v>
      </c>
      <c r="G2" s="323" t="s">
        <v>268</v>
      </c>
    </row>
    <row r="3" spans="1:7" x14ac:dyDescent="0.15">
      <c r="A3" s="324">
        <v>1302</v>
      </c>
      <c r="B3" s="325">
        <v>60013</v>
      </c>
      <c r="C3" s="325">
        <v>1</v>
      </c>
      <c r="D3" s="325">
        <v>4000000</v>
      </c>
      <c r="E3" s="325" t="s">
        <v>266</v>
      </c>
      <c r="F3" s="325" t="s">
        <v>269</v>
      </c>
      <c r="G3" s="326" t="s">
        <v>270</v>
      </c>
    </row>
    <row r="4" spans="1:7" x14ac:dyDescent="0.15">
      <c r="A4" s="324">
        <v>1303</v>
      </c>
      <c r="B4" s="325">
        <v>60013</v>
      </c>
      <c r="C4" s="325">
        <v>1</v>
      </c>
      <c r="D4" s="325">
        <v>3000000</v>
      </c>
      <c r="E4" s="325" t="s">
        <v>266</v>
      </c>
      <c r="F4" s="325" t="s">
        <v>271</v>
      </c>
      <c r="G4" s="326" t="s">
        <v>272</v>
      </c>
    </row>
    <row r="5" spans="1:7" x14ac:dyDescent="0.15">
      <c r="A5" s="324">
        <v>1304</v>
      </c>
      <c r="B5" s="325">
        <v>60013</v>
      </c>
      <c r="C5" s="325">
        <v>1</v>
      </c>
      <c r="D5" s="325">
        <v>2500000</v>
      </c>
      <c r="E5" s="325" t="s">
        <v>266</v>
      </c>
      <c r="F5" s="325" t="s">
        <v>273</v>
      </c>
      <c r="G5" s="326" t="s">
        <v>274</v>
      </c>
    </row>
    <row r="6" spans="1:7" x14ac:dyDescent="0.15">
      <c r="A6" s="324">
        <v>1305</v>
      </c>
      <c r="B6" s="325">
        <v>60013</v>
      </c>
      <c r="C6" s="325">
        <v>1</v>
      </c>
      <c r="D6" s="325">
        <v>2000000</v>
      </c>
      <c r="E6" s="325" t="s">
        <v>266</v>
      </c>
      <c r="F6" s="325" t="s">
        <v>275</v>
      </c>
      <c r="G6" s="326" t="s">
        <v>276</v>
      </c>
    </row>
    <row r="7" spans="1:7" x14ac:dyDescent="0.15">
      <c r="A7" s="324">
        <v>1306</v>
      </c>
      <c r="B7" s="325">
        <v>60013</v>
      </c>
      <c r="C7" s="325">
        <v>1</v>
      </c>
      <c r="D7" s="325">
        <v>1250000</v>
      </c>
      <c r="E7" s="325" t="s">
        <v>266</v>
      </c>
      <c r="F7" s="325" t="s">
        <v>277</v>
      </c>
      <c r="G7" s="326" t="s">
        <v>278</v>
      </c>
    </row>
    <row r="8" spans="1:7" x14ac:dyDescent="0.15">
      <c r="A8" s="324">
        <v>1307</v>
      </c>
      <c r="B8" s="325">
        <v>60013</v>
      </c>
      <c r="C8" s="325">
        <v>1</v>
      </c>
      <c r="D8" s="325">
        <v>500000</v>
      </c>
      <c r="E8" s="325" t="s">
        <v>266</v>
      </c>
      <c r="F8" s="325" t="s">
        <v>279</v>
      </c>
      <c r="G8" s="326" t="s">
        <v>280</v>
      </c>
    </row>
    <row r="9" spans="1:7" ht="16" thickBot="1" x14ac:dyDescent="0.2">
      <c r="A9" s="327">
        <v>1308</v>
      </c>
      <c r="B9" s="328">
        <v>60013</v>
      </c>
      <c r="C9" s="328">
        <v>1</v>
      </c>
      <c r="D9" s="328">
        <v>0</v>
      </c>
      <c r="E9" s="328" t="s">
        <v>266</v>
      </c>
      <c r="F9" s="328" t="s">
        <v>281</v>
      </c>
      <c r="G9" s="329" t="s">
        <v>282</v>
      </c>
    </row>
    <row r="10" spans="1:7" x14ac:dyDescent="0.15">
      <c r="A10" s="321">
        <v>1309</v>
      </c>
      <c r="B10" s="322">
        <v>60013</v>
      </c>
      <c r="C10" s="330">
        <v>2</v>
      </c>
      <c r="D10" s="330">
        <v>7000000</v>
      </c>
      <c r="E10" s="330" t="s">
        <v>283</v>
      </c>
      <c r="F10" s="330" t="s">
        <v>284</v>
      </c>
      <c r="G10" s="331" t="s">
        <v>285</v>
      </c>
    </row>
    <row r="11" spans="1:7" x14ac:dyDescent="0.15">
      <c r="A11" s="324">
        <v>1310</v>
      </c>
      <c r="B11" s="325">
        <v>60013</v>
      </c>
      <c r="C11" s="332">
        <v>2</v>
      </c>
      <c r="D11" s="332">
        <v>6000000</v>
      </c>
      <c r="E11" s="332" t="s">
        <v>283</v>
      </c>
      <c r="F11" s="332" t="s">
        <v>286</v>
      </c>
      <c r="G11" s="333" t="s">
        <v>287</v>
      </c>
    </row>
    <row r="12" spans="1:7" x14ac:dyDescent="0.15">
      <c r="A12" s="324">
        <v>1311</v>
      </c>
      <c r="B12" s="325">
        <v>60013</v>
      </c>
      <c r="C12" s="332">
        <v>2</v>
      </c>
      <c r="D12" s="332">
        <v>5000000</v>
      </c>
      <c r="E12" s="332" t="s">
        <v>283</v>
      </c>
      <c r="F12" s="332" t="s">
        <v>288</v>
      </c>
      <c r="G12" s="333" t="s">
        <v>289</v>
      </c>
    </row>
    <row r="13" spans="1:7" x14ac:dyDescent="0.15">
      <c r="A13" s="324">
        <v>1312</v>
      </c>
      <c r="B13" s="325">
        <v>60013</v>
      </c>
      <c r="C13" s="332">
        <v>2</v>
      </c>
      <c r="D13" s="332">
        <v>4000000</v>
      </c>
      <c r="E13" s="332" t="s">
        <v>283</v>
      </c>
      <c r="F13" s="332" t="s">
        <v>290</v>
      </c>
      <c r="G13" s="333" t="s">
        <v>291</v>
      </c>
    </row>
    <row r="14" spans="1:7" x14ac:dyDescent="0.15">
      <c r="A14" s="324">
        <v>1313</v>
      </c>
      <c r="B14" s="325">
        <v>60013</v>
      </c>
      <c r="C14" s="332">
        <v>2</v>
      </c>
      <c r="D14" s="332">
        <v>3000000</v>
      </c>
      <c r="E14" s="332" t="s">
        <v>283</v>
      </c>
      <c r="F14" s="332" t="s">
        <v>292</v>
      </c>
      <c r="G14" s="333" t="s">
        <v>293</v>
      </c>
    </row>
    <row r="15" spans="1:7" x14ac:dyDescent="0.15">
      <c r="A15" s="324">
        <v>1314</v>
      </c>
      <c r="B15" s="325">
        <v>60013</v>
      </c>
      <c r="C15" s="332">
        <v>2</v>
      </c>
      <c r="D15" s="332">
        <v>2000000</v>
      </c>
      <c r="E15" s="332" t="s">
        <v>283</v>
      </c>
      <c r="F15" s="332" t="s">
        <v>294</v>
      </c>
      <c r="G15" s="333" t="s">
        <v>295</v>
      </c>
    </row>
    <row r="16" spans="1:7" x14ac:dyDescent="0.15">
      <c r="A16" s="324">
        <v>1315</v>
      </c>
      <c r="B16" s="325">
        <v>60013</v>
      </c>
      <c r="C16" s="332">
        <v>2</v>
      </c>
      <c r="D16" s="332">
        <v>1000000</v>
      </c>
      <c r="E16" s="332" t="s">
        <v>283</v>
      </c>
      <c r="F16" s="332" t="s">
        <v>296</v>
      </c>
      <c r="G16" s="333" t="s">
        <v>297</v>
      </c>
    </row>
    <row r="17" spans="1:7" ht="16" thickBot="1" x14ac:dyDescent="0.2">
      <c r="A17" s="327">
        <v>1316</v>
      </c>
      <c r="B17" s="328">
        <v>60013</v>
      </c>
      <c r="C17" s="334">
        <v>2</v>
      </c>
      <c r="D17" s="334">
        <v>0</v>
      </c>
      <c r="E17" s="334" t="s">
        <v>283</v>
      </c>
      <c r="F17" s="334" t="s">
        <v>298</v>
      </c>
      <c r="G17" s="335" t="s">
        <v>299</v>
      </c>
    </row>
    <row r="18" spans="1:7" x14ac:dyDescent="0.15">
      <c r="A18" s="201">
        <v>1317</v>
      </c>
      <c r="B18" s="202">
        <v>60013</v>
      </c>
      <c r="C18" s="202">
        <v>3</v>
      </c>
      <c r="D18" s="203">
        <v>10000000</v>
      </c>
      <c r="E18" s="202" t="s">
        <v>300</v>
      </c>
      <c r="F18" s="202" t="s">
        <v>301</v>
      </c>
      <c r="G18" s="204" t="s">
        <v>302</v>
      </c>
    </row>
    <row r="19" spans="1:7" x14ac:dyDescent="0.15">
      <c r="A19" s="205">
        <v>1318</v>
      </c>
      <c r="B19" s="206">
        <v>60013</v>
      </c>
      <c r="C19" s="206">
        <v>3</v>
      </c>
      <c r="D19" s="207">
        <v>8500000</v>
      </c>
      <c r="E19" s="206" t="s">
        <v>300</v>
      </c>
      <c r="F19" s="206" t="s">
        <v>303</v>
      </c>
      <c r="G19" s="208" t="s">
        <v>304</v>
      </c>
    </row>
    <row r="20" spans="1:7" x14ac:dyDescent="0.15">
      <c r="A20" s="205">
        <v>1319</v>
      </c>
      <c r="B20" s="206">
        <v>60013</v>
      </c>
      <c r="C20" s="206">
        <v>3</v>
      </c>
      <c r="D20" s="207">
        <v>7000000</v>
      </c>
      <c r="E20" s="206" t="s">
        <v>300</v>
      </c>
      <c r="F20" s="206" t="s">
        <v>305</v>
      </c>
      <c r="G20" s="208" t="s">
        <v>306</v>
      </c>
    </row>
    <row r="21" spans="1:7" x14ac:dyDescent="0.15">
      <c r="A21" s="205">
        <v>1320</v>
      </c>
      <c r="B21" s="206">
        <v>60013</v>
      </c>
      <c r="C21" s="206">
        <v>3</v>
      </c>
      <c r="D21" s="207">
        <v>5500000</v>
      </c>
      <c r="E21" s="206" t="s">
        <v>300</v>
      </c>
      <c r="F21" s="206" t="s">
        <v>307</v>
      </c>
      <c r="G21" s="208" t="s">
        <v>308</v>
      </c>
    </row>
    <row r="22" spans="1:7" x14ac:dyDescent="0.15">
      <c r="A22" s="205">
        <v>1321</v>
      </c>
      <c r="B22" s="206">
        <v>60013</v>
      </c>
      <c r="C22" s="206">
        <v>3</v>
      </c>
      <c r="D22" s="207">
        <v>4000000</v>
      </c>
      <c r="E22" s="206" t="s">
        <v>300</v>
      </c>
      <c r="F22" s="206" t="s">
        <v>309</v>
      </c>
      <c r="G22" s="208" t="s">
        <v>310</v>
      </c>
    </row>
    <row r="23" spans="1:7" x14ac:dyDescent="0.15">
      <c r="A23" s="205">
        <v>1322</v>
      </c>
      <c r="B23" s="206">
        <v>60013</v>
      </c>
      <c r="C23" s="206">
        <v>3</v>
      </c>
      <c r="D23" s="207">
        <v>3000000</v>
      </c>
      <c r="E23" s="206" t="s">
        <v>300</v>
      </c>
      <c r="F23" s="206" t="s">
        <v>311</v>
      </c>
      <c r="G23" s="208" t="s">
        <v>312</v>
      </c>
    </row>
    <row r="24" spans="1:7" x14ac:dyDescent="0.15">
      <c r="A24" s="205">
        <v>1323</v>
      </c>
      <c r="B24" s="206">
        <v>60013</v>
      </c>
      <c r="C24" s="206">
        <v>3</v>
      </c>
      <c r="D24" s="207">
        <v>2000000</v>
      </c>
      <c r="E24" s="206" t="s">
        <v>300</v>
      </c>
      <c r="F24" s="206" t="s">
        <v>313</v>
      </c>
      <c r="G24" s="208" t="s">
        <v>314</v>
      </c>
    </row>
    <row r="25" spans="1:7" ht="16" thickBot="1" x14ac:dyDescent="0.2">
      <c r="A25" s="209">
        <v>1324</v>
      </c>
      <c r="B25" s="210">
        <v>60013</v>
      </c>
      <c r="C25" s="211">
        <v>3</v>
      </c>
      <c r="D25" s="211">
        <v>0</v>
      </c>
      <c r="E25" s="211" t="s">
        <v>266</v>
      </c>
      <c r="F25" s="211" t="s">
        <v>315</v>
      </c>
      <c r="G25" s="212" t="s">
        <v>316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tabSelected="1" zoomScale="120" zoomScaleNormal="120" zoomScalePageLayoutView="120" workbookViewId="0">
      <selection activeCell="C8" sqref="C8"/>
    </sheetView>
  </sheetViews>
  <sheetFormatPr baseColWidth="12" defaultColWidth="13" defaultRowHeight="15" x14ac:dyDescent="0.15"/>
  <cols>
    <col min="1" max="1" width="11.83203125" bestFit="1" customWidth="1"/>
    <col min="2" max="3" width="8" bestFit="1" customWidth="1"/>
    <col min="4" max="4" width="9.5" bestFit="1" customWidth="1"/>
    <col min="5" max="5" width="8.66406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7.33203125" bestFit="1" customWidth="1"/>
    <col min="20" max="20" width="7.5" bestFit="1" customWidth="1"/>
  </cols>
  <sheetData>
    <row r="1" spans="1:20" x14ac:dyDescent="0.15">
      <c r="A1" s="46" t="s">
        <v>467</v>
      </c>
      <c r="B1" s="46" t="s">
        <v>219</v>
      </c>
      <c r="C1" s="46" t="s">
        <v>148</v>
      </c>
      <c r="D1" s="46" t="s">
        <v>245</v>
      </c>
      <c r="E1" s="93" t="s">
        <v>468</v>
      </c>
      <c r="F1" s="86" t="s">
        <v>209</v>
      </c>
      <c r="G1" s="86" t="s">
        <v>210</v>
      </c>
      <c r="H1" s="86" t="s">
        <v>211</v>
      </c>
      <c r="I1" s="86" t="s">
        <v>38</v>
      </c>
      <c r="J1" s="86" t="s">
        <v>158</v>
      </c>
      <c r="K1" s="87" t="s">
        <v>255</v>
      </c>
      <c r="L1" s="87" t="s">
        <v>159</v>
      </c>
      <c r="M1" s="87" t="s">
        <v>56</v>
      </c>
      <c r="N1" s="87" t="s">
        <v>156</v>
      </c>
      <c r="O1" s="87" t="s">
        <v>46</v>
      </c>
      <c r="P1" s="87" t="s">
        <v>212</v>
      </c>
      <c r="Q1" s="87" t="s">
        <v>471</v>
      </c>
      <c r="R1" s="87" t="s">
        <v>214</v>
      </c>
      <c r="S1" s="87" t="s">
        <v>472</v>
      </c>
      <c r="T1" s="87" t="s">
        <v>469</v>
      </c>
    </row>
    <row r="2" spans="1:20" ht="28" x14ac:dyDescent="0.15">
      <c r="A2" s="316">
        <v>1317</v>
      </c>
      <c r="B2" s="316">
        <v>60013</v>
      </c>
      <c r="C2" s="316">
        <v>3</v>
      </c>
      <c r="D2" s="316">
        <v>10000000</v>
      </c>
      <c r="E2" s="317">
        <v>60013201</v>
      </c>
      <c r="F2" s="318" t="s">
        <v>473</v>
      </c>
      <c r="G2" s="318">
        <v>837</v>
      </c>
      <c r="H2" s="318">
        <v>1</v>
      </c>
      <c r="I2" s="318">
        <v>0</v>
      </c>
      <c r="J2" s="318">
        <v>0</v>
      </c>
      <c r="K2" s="318">
        <v>0</v>
      </c>
      <c r="L2" s="318">
        <v>0</v>
      </c>
      <c r="M2" s="318">
        <v>1</v>
      </c>
      <c r="N2" s="318">
        <v>1</v>
      </c>
      <c r="O2" s="318">
        <v>1</v>
      </c>
      <c r="P2" s="318" t="s">
        <v>266</v>
      </c>
      <c r="Q2" s="318" t="s">
        <v>474</v>
      </c>
      <c r="R2" s="318" t="s">
        <v>475</v>
      </c>
      <c r="S2" s="319" t="s">
        <v>486</v>
      </c>
      <c r="T2" s="45">
        <v>1</v>
      </c>
    </row>
    <row r="3" spans="1:20" ht="28" x14ac:dyDescent="0.15">
      <c r="A3" s="316">
        <v>1317</v>
      </c>
      <c r="B3" s="316">
        <v>60013</v>
      </c>
      <c r="C3" s="316">
        <v>3</v>
      </c>
      <c r="D3" s="316">
        <v>10000000</v>
      </c>
      <c r="E3" s="317">
        <v>60013202</v>
      </c>
      <c r="F3" s="318" t="s">
        <v>317</v>
      </c>
      <c r="G3" s="318">
        <v>1</v>
      </c>
      <c r="H3" s="318">
        <v>2</v>
      </c>
      <c r="I3" s="318">
        <v>0</v>
      </c>
      <c r="J3" s="318">
        <v>0</v>
      </c>
      <c r="K3" s="318">
        <v>0</v>
      </c>
      <c r="L3" s="318">
        <v>0</v>
      </c>
      <c r="M3" s="318">
        <v>1</v>
      </c>
      <c r="N3" s="318">
        <v>1</v>
      </c>
      <c r="O3" s="318">
        <v>1</v>
      </c>
      <c r="P3" s="318" t="s">
        <v>266</v>
      </c>
      <c r="Q3" s="318" t="s">
        <v>476</v>
      </c>
      <c r="R3" s="318" t="s">
        <v>475</v>
      </c>
      <c r="S3" s="319" t="s">
        <v>486</v>
      </c>
      <c r="T3" s="45">
        <v>1</v>
      </c>
    </row>
    <row r="4" spans="1:20" ht="28" x14ac:dyDescent="0.15">
      <c r="A4" s="316">
        <v>1317</v>
      </c>
      <c r="B4" s="316">
        <v>60013</v>
      </c>
      <c r="C4" s="316">
        <v>3</v>
      </c>
      <c r="D4" s="316">
        <v>10000000</v>
      </c>
      <c r="E4" s="317">
        <v>60013203</v>
      </c>
      <c r="F4" s="318" t="s">
        <v>473</v>
      </c>
      <c r="G4" s="318">
        <v>614</v>
      </c>
      <c r="H4" s="318">
        <v>1</v>
      </c>
      <c r="I4" s="318">
        <v>0</v>
      </c>
      <c r="J4" s="318">
        <v>0</v>
      </c>
      <c r="K4" s="318">
        <v>0</v>
      </c>
      <c r="L4" s="318">
        <v>0</v>
      </c>
      <c r="M4" s="318">
        <v>1</v>
      </c>
      <c r="N4" s="318">
        <v>1</v>
      </c>
      <c r="O4" s="318">
        <v>1</v>
      </c>
      <c r="P4" s="318" t="s">
        <v>266</v>
      </c>
      <c r="Q4" s="318" t="s">
        <v>477</v>
      </c>
      <c r="R4" s="318" t="s">
        <v>475</v>
      </c>
      <c r="S4" s="319" t="s">
        <v>486</v>
      </c>
      <c r="T4" s="45">
        <v>1</v>
      </c>
    </row>
    <row r="5" spans="1:20" ht="28" x14ac:dyDescent="0.15">
      <c r="A5" s="316">
        <v>1318</v>
      </c>
      <c r="B5" s="316">
        <v>60013</v>
      </c>
      <c r="C5" s="316">
        <v>3</v>
      </c>
      <c r="D5" s="316">
        <v>8500000</v>
      </c>
      <c r="E5" s="317">
        <v>60013204</v>
      </c>
      <c r="F5" s="318" t="s">
        <v>317</v>
      </c>
      <c r="G5" s="318">
        <v>600</v>
      </c>
      <c r="H5" s="318">
        <v>1</v>
      </c>
      <c r="I5" s="318">
        <v>0</v>
      </c>
      <c r="J5" s="318">
        <v>0</v>
      </c>
      <c r="K5" s="318">
        <v>0</v>
      </c>
      <c r="L5" s="318">
        <v>0</v>
      </c>
      <c r="M5" s="318">
        <v>1</v>
      </c>
      <c r="N5" s="318">
        <v>1</v>
      </c>
      <c r="O5" s="318">
        <v>1</v>
      </c>
      <c r="P5" s="318" t="s">
        <v>266</v>
      </c>
      <c r="Q5" s="318" t="s">
        <v>461</v>
      </c>
      <c r="R5" s="318" t="s">
        <v>475</v>
      </c>
      <c r="S5" s="319" t="s">
        <v>486</v>
      </c>
      <c r="T5" s="45">
        <v>1</v>
      </c>
    </row>
    <row r="6" spans="1:20" ht="28" x14ac:dyDescent="0.15">
      <c r="A6" s="316">
        <v>1319</v>
      </c>
      <c r="B6" s="316">
        <v>60013</v>
      </c>
      <c r="C6" s="316">
        <v>3</v>
      </c>
      <c r="D6" s="316">
        <v>7000000</v>
      </c>
      <c r="E6" s="317">
        <v>60013205</v>
      </c>
      <c r="F6" s="318" t="s">
        <v>331</v>
      </c>
      <c r="G6" s="318">
        <v>3</v>
      </c>
      <c r="H6" s="318" t="s">
        <v>165</v>
      </c>
      <c r="I6" s="318">
        <v>0</v>
      </c>
      <c r="J6" s="318">
        <v>0</v>
      </c>
      <c r="K6" s="318">
        <v>0</v>
      </c>
      <c r="L6" s="318">
        <v>0</v>
      </c>
      <c r="M6" s="318">
        <v>1</v>
      </c>
      <c r="N6" s="318">
        <v>1</v>
      </c>
      <c r="O6" s="318">
        <v>1</v>
      </c>
      <c r="P6" s="318" t="s">
        <v>266</v>
      </c>
      <c r="Q6" s="318" t="s">
        <v>478</v>
      </c>
      <c r="R6" s="318" t="s">
        <v>475</v>
      </c>
      <c r="S6" s="319" t="s">
        <v>486</v>
      </c>
      <c r="T6" s="45">
        <v>1</v>
      </c>
    </row>
    <row r="7" spans="1:20" ht="28" x14ac:dyDescent="0.15">
      <c r="A7" s="316">
        <v>1320</v>
      </c>
      <c r="B7" s="316">
        <v>60013</v>
      </c>
      <c r="C7" s="316">
        <v>3</v>
      </c>
      <c r="D7" s="316">
        <v>5500000</v>
      </c>
      <c r="E7" s="317">
        <v>60013206</v>
      </c>
      <c r="F7" s="318" t="s">
        <v>317</v>
      </c>
      <c r="G7" s="318">
        <v>4</v>
      </c>
      <c r="H7" s="318">
        <v>2</v>
      </c>
      <c r="I7" s="318">
        <v>0</v>
      </c>
      <c r="J7" s="318">
        <v>0</v>
      </c>
      <c r="K7" s="318">
        <v>0</v>
      </c>
      <c r="L7" s="318">
        <v>0</v>
      </c>
      <c r="M7" s="318">
        <v>1</v>
      </c>
      <c r="N7" s="318">
        <v>1</v>
      </c>
      <c r="O7" s="318">
        <v>1</v>
      </c>
      <c r="P7" s="318" t="s">
        <v>266</v>
      </c>
      <c r="Q7" s="318" t="s">
        <v>479</v>
      </c>
      <c r="R7" s="318" t="s">
        <v>475</v>
      </c>
      <c r="S7" s="319" t="s">
        <v>486</v>
      </c>
      <c r="T7" s="45">
        <v>1</v>
      </c>
    </row>
    <row r="8" spans="1:20" ht="28" x14ac:dyDescent="0.15">
      <c r="A8" s="316">
        <v>1321</v>
      </c>
      <c r="B8" s="316">
        <v>60013</v>
      </c>
      <c r="C8" s="316">
        <v>3</v>
      </c>
      <c r="D8" s="316">
        <v>4000000</v>
      </c>
      <c r="E8" s="317">
        <v>60013207</v>
      </c>
      <c r="F8" s="318" t="s">
        <v>317</v>
      </c>
      <c r="G8" s="318">
        <v>2</v>
      </c>
      <c r="H8" s="318">
        <v>2</v>
      </c>
      <c r="I8" s="318">
        <v>0</v>
      </c>
      <c r="J8" s="318">
        <v>0</v>
      </c>
      <c r="K8" s="318">
        <v>0</v>
      </c>
      <c r="L8" s="318">
        <v>0</v>
      </c>
      <c r="M8" s="318">
        <v>1</v>
      </c>
      <c r="N8" s="318">
        <v>1</v>
      </c>
      <c r="O8" s="318">
        <v>1</v>
      </c>
      <c r="P8" s="318" t="s">
        <v>266</v>
      </c>
      <c r="Q8" s="318" t="s">
        <v>480</v>
      </c>
      <c r="R8" s="318" t="s">
        <v>475</v>
      </c>
      <c r="S8" s="319" t="s">
        <v>486</v>
      </c>
      <c r="T8" s="45">
        <v>1</v>
      </c>
    </row>
    <row r="9" spans="1:20" ht="28" x14ac:dyDescent="0.15">
      <c r="A9" s="316">
        <v>1322</v>
      </c>
      <c r="B9" s="316">
        <v>60013</v>
      </c>
      <c r="C9" s="316">
        <v>3</v>
      </c>
      <c r="D9" s="45">
        <v>3000000</v>
      </c>
      <c r="E9" s="317">
        <v>60013208</v>
      </c>
      <c r="F9" s="318" t="s">
        <v>317</v>
      </c>
      <c r="G9" s="318">
        <v>3</v>
      </c>
      <c r="H9" s="318">
        <v>2</v>
      </c>
      <c r="I9" s="318">
        <v>0</v>
      </c>
      <c r="J9" s="318">
        <v>0</v>
      </c>
      <c r="K9" s="318">
        <v>0</v>
      </c>
      <c r="L9" s="318">
        <v>0</v>
      </c>
      <c r="M9" s="318">
        <v>1</v>
      </c>
      <c r="N9" s="318">
        <v>1</v>
      </c>
      <c r="O9" s="318">
        <v>1</v>
      </c>
      <c r="P9" s="318" t="s">
        <v>266</v>
      </c>
      <c r="Q9" s="318" t="s">
        <v>481</v>
      </c>
      <c r="R9" s="318" t="s">
        <v>475</v>
      </c>
      <c r="S9" s="319" t="s">
        <v>486</v>
      </c>
      <c r="T9" s="45">
        <v>1</v>
      </c>
    </row>
    <row r="10" spans="1:20" ht="28" x14ac:dyDescent="0.15">
      <c r="A10" s="316">
        <v>1323</v>
      </c>
      <c r="B10" s="316">
        <v>60013</v>
      </c>
      <c r="C10" s="316">
        <v>3</v>
      </c>
      <c r="D10" s="45">
        <v>2000000</v>
      </c>
      <c r="E10" s="317">
        <v>60013209</v>
      </c>
      <c r="F10" s="318" t="s">
        <v>331</v>
      </c>
      <c r="G10" s="318">
        <v>2</v>
      </c>
      <c r="H10" s="318" t="s">
        <v>165</v>
      </c>
      <c r="I10" s="318">
        <v>0</v>
      </c>
      <c r="J10" s="318">
        <v>0</v>
      </c>
      <c r="K10" s="318">
        <v>0</v>
      </c>
      <c r="L10" s="318">
        <v>0</v>
      </c>
      <c r="M10" s="318">
        <v>1</v>
      </c>
      <c r="N10" s="318">
        <v>1</v>
      </c>
      <c r="O10" s="318">
        <v>1</v>
      </c>
      <c r="P10" s="318" t="s">
        <v>266</v>
      </c>
      <c r="Q10" s="318" t="s">
        <v>482</v>
      </c>
      <c r="R10" s="318" t="s">
        <v>475</v>
      </c>
      <c r="S10" s="319" t="s">
        <v>486</v>
      </c>
      <c r="T10" s="45">
        <v>1</v>
      </c>
    </row>
    <row r="11" spans="1:20" ht="28" x14ac:dyDescent="0.15">
      <c r="A11" s="316">
        <v>1323</v>
      </c>
      <c r="B11" s="316">
        <v>60013</v>
      </c>
      <c r="C11" s="316">
        <v>3</v>
      </c>
      <c r="D11" s="45">
        <v>2000000</v>
      </c>
      <c r="E11" s="317">
        <v>60013210</v>
      </c>
      <c r="F11" s="318" t="s">
        <v>483</v>
      </c>
      <c r="G11" s="318">
        <v>200000</v>
      </c>
      <c r="H11" s="318" t="s">
        <v>165</v>
      </c>
      <c r="I11" s="318">
        <v>0</v>
      </c>
      <c r="J11" s="318">
        <v>0</v>
      </c>
      <c r="K11" s="318">
        <v>0</v>
      </c>
      <c r="L11" s="318">
        <v>0</v>
      </c>
      <c r="M11" s="318">
        <v>1</v>
      </c>
      <c r="N11" s="318">
        <v>1</v>
      </c>
      <c r="O11" s="318">
        <v>1</v>
      </c>
      <c r="P11" s="318" t="s">
        <v>266</v>
      </c>
      <c r="Q11" s="320" t="s">
        <v>484</v>
      </c>
      <c r="R11" s="318" t="s">
        <v>475</v>
      </c>
      <c r="S11" s="319" t="s">
        <v>486</v>
      </c>
      <c r="T11" s="45">
        <v>1</v>
      </c>
    </row>
    <row r="12" spans="1:20" ht="28" x14ac:dyDescent="0.15">
      <c r="A12" s="316">
        <v>1323</v>
      </c>
      <c r="B12" s="316">
        <v>60013</v>
      </c>
      <c r="C12" s="316">
        <v>3</v>
      </c>
      <c r="D12" s="45">
        <v>2000000</v>
      </c>
      <c r="E12" s="317">
        <v>60013211</v>
      </c>
      <c r="F12" s="318" t="s">
        <v>342</v>
      </c>
      <c r="G12" s="318">
        <v>2000</v>
      </c>
      <c r="H12" s="318" t="s">
        <v>165</v>
      </c>
      <c r="I12" s="318">
        <v>0</v>
      </c>
      <c r="J12" s="318">
        <v>0</v>
      </c>
      <c r="K12" s="318">
        <v>0</v>
      </c>
      <c r="L12" s="318">
        <v>0</v>
      </c>
      <c r="M12" s="318">
        <v>1</v>
      </c>
      <c r="N12" s="318">
        <v>1</v>
      </c>
      <c r="O12" s="318">
        <v>1</v>
      </c>
      <c r="P12" s="318" t="s">
        <v>266</v>
      </c>
      <c r="Q12" s="320" t="s">
        <v>485</v>
      </c>
      <c r="R12" s="318" t="s">
        <v>475</v>
      </c>
      <c r="S12" s="319" t="s">
        <v>486</v>
      </c>
      <c r="T12" s="45">
        <v>1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L1" workbookViewId="0">
      <selection activeCell="S8" sqref="S8"/>
    </sheetView>
  </sheetViews>
  <sheetFormatPr baseColWidth="12" defaultRowHeight="15" x14ac:dyDescent="0.15"/>
  <cols>
    <col min="19" max="19" width="21" bestFit="1" customWidth="1"/>
    <col min="21" max="21" width="41.5" customWidth="1"/>
  </cols>
  <sheetData>
    <row r="1" spans="1:21" x14ac:dyDescent="0.15">
      <c r="A1" s="58" t="s">
        <v>147</v>
      </c>
      <c r="B1" s="63" t="s">
        <v>16</v>
      </c>
      <c r="C1" s="63" t="s">
        <v>33</v>
      </c>
      <c r="D1" s="58" t="s">
        <v>206</v>
      </c>
      <c r="E1" s="58" t="s">
        <v>207</v>
      </c>
      <c r="F1" s="88" t="s">
        <v>216</v>
      </c>
      <c r="G1" s="85" t="s">
        <v>208</v>
      </c>
      <c r="H1" s="86" t="s">
        <v>209</v>
      </c>
      <c r="I1" s="86" t="s">
        <v>210</v>
      </c>
      <c r="J1" s="86" t="s">
        <v>211</v>
      </c>
      <c r="K1" s="86" t="s">
        <v>253</v>
      </c>
      <c r="L1" s="86" t="s">
        <v>254</v>
      </c>
      <c r="M1" s="87" t="s">
        <v>255</v>
      </c>
      <c r="N1" s="87" t="s">
        <v>256</v>
      </c>
      <c r="O1" s="87" t="s">
        <v>257</v>
      </c>
      <c r="P1" s="87" t="s">
        <v>259</v>
      </c>
      <c r="Q1" s="87" t="s">
        <v>260</v>
      </c>
      <c r="R1" s="87" t="s">
        <v>212</v>
      </c>
      <c r="S1" s="87" t="s">
        <v>213</v>
      </c>
      <c r="T1" s="87" t="s">
        <v>214</v>
      </c>
      <c r="U1" s="87" t="s">
        <v>215</v>
      </c>
    </row>
    <row r="2" spans="1:21" ht="28" x14ac:dyDescent="0.15">
      <c r="A2" s="213">
        <v>60013</v>
      </c>
      <c r="B2" s="214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214" t="str">
        <f ca="1">VLOOKUP($A2,OFFSET([2]quests!$A$1,0,0,COUNTA([2]quests!$A:$A),MATCH(C$1,[2]quests!$1:$1,0)-MATCH($A$1,[2]quests!$1:$1,0)+1),MATCH(C$1,[2]quests!$1:$1,0)-MATCH($A$1,[2]quests!$1:$1,0)+1,FALSE)</f>
        <v>ランキング1（再開催版）</v>
      </c>
      <c r="D2" s="213">
        <v>1</v>
      </c>
      <c r="E2" s="215">
        <v>1</v>
      </c>
      <c r="F2" s="216" t="str">
        <f>A2&amp;TEXT(E2,"0000")</f>
        <v>600130001</v>
      </c>
      <c r="G2" s="217" t="str">
        <f>F2&amp;TEXT(COUNTIF(F$2:F2,F2),"00")</f>
        <v>60013000101</v>
      </c>
      <c r="H2" s="218" t="s">
        <v>317</v>
      </c>
      <c r="I2" s="218">
        <v>601</v>
      </c>
      <c r="J2" s="218">
        <v>1</v>
      </c>
      <c r="K2" s="218">
        <v>0</v>
      </c>
      <c r="L2" s="218">
        <v>0</v>
      </c>
      <c r="M2" s="218">
        <v>0</v>
      </c>
      <c r="N2" s="218">
        <v>0</v>
      </c>
      <c r="O2" s="218">
        <v>1</v>
      </c>
      <c r="P2" s="218">
        <v>1</v>
      </c>
      <c r="Q2" s="218">
        <v>1</v>
      </c>
      <c r="R2" s="218" t="s">
        <v>265</v>
      </c>
      <c r="S2" s="311" t="s">
        <v>456</v>
      </c>
      <c r="T2" s="218" t="s">
        <v>318</v>
      </c>
      <c r="U2" s="219" t="s">
        <v>319</v>
      </c>
    </row>
    <row r="3" spans="1:21" ht="28" x14ac:dyDescent="0.15">
      <c r="A3" s="213">
        <v>60013</v>
      </c>
      <c r="B3" s="214" t="str">
        <f ca="1">VLOOKUP($A3,OFFSET([2]quests!$A$1,0,0,COUNTA([2]quests!$A:$A),MATCH(B$1,[2]quests!$1:$1,0)-MATCH($A$1,[2]quests!$1:$1,0)+1),MATCH(B$1,[2]quests!$1:$1,0)-MATCH($A$1,[2]quests!$1:$1,0)+1,FALSE)</f>
        <v>オイラーチャレンジ</v>
      </c>
      <c r="C3" s="214" t="str">
        <f ca="1">VLOOKUP($A3,OFFSET([2]quests!$A$1,0,0,COUNTA([2]quests!$A:$A),MATCH(C$1,[2]quests!$1:$1,0)-MATCH($A$1,[2]quests!$1:$1,0)+1),MATCH(C$1,[2]quests!$1:$1,0)-MATCH($A$1,[2]quests!$1:$1,0)+1,FALSE)</f>
        <v>ランキング1（再開催版）</v>
      </c>
      <c r="D3" s="213">
        <v>1</v>
      </c>
      <c r="E3" s="215">
        <v>1</v>
      </c>
      <c r="F3" s="216" t="str">
        <f t="shared" ref="F3:F6" si="0">A3&amp;TEXT(E3,"0000")</f>
        <v>600130001</v>
      </c>
      <c r="G3" s="217" t="str">
        <f>F3&amp;TEXT(COUNTIF(F$2:F3,F3),"00")</f>
        <v>60013000102</v>
      </c>
      <c r="H3" s="218" t="s">
        <v>320</v>
      </c>
      <c r="I3" s="218">
        <v>600</v>
      </c>
      <c r="J3" s="218">
        <v>2</v>
      </c>
      <c r="K3" s="218">
        <v>0</v>
      </c>
      <c r="L3" s="218">
        <v>0</v>
      </c>
      <c r="M3" s="218">
        <v>0</v>
      </c>
      <c r="N3" s="218">
        <v>0</v>
      </c>
      <c r="O3" s="218">
        <v>1</v>
      </c>
      <c r="P3" s="218">
        <v>1</v>
      </c>
      <c r="Q3" s="218">
        <v>1</v>
      </c>
      <c r="R3" s="218" t="s">
        <v>321</v>
      </c>
      <c r="S3" s="311" t="s">
        <v>457</v>
      </c>
      <c r="T3" s="218" t="s">
        <v>318</v>
      </c>
      <c r="U3" s="219" t="s">
        <v>319</v>
      </c>
    </row>
    <row r="4" spans="1:21" ht="28" x14ac:dyDescent="0.15">
      <c r="A4" s="213">
        <v>60013</v>
      </c>
      <c r="B4" s="214" t="str">
        <f ca="1">VLOOKUP($A4,OFFSET([2]quests!$A$1,0,0,COUNTA([2]quests!$A:$A),MATCH(B$1,[2]quests!$1:$1,0)-MATCH($A$1,[2]quests!$1:$1,0)+1),MATCH(B$1,[2]quests!$1:$1,0)-MATCH($A$1,[2]quests!$1:$1,0)+1,FALSE)</f>
        <v>オイラーチャレンジ</v>
      </c>
      <c r="C4" s="214" t="str">
        <f ca="1">VLOOKUP($A4,OFFSET([2]quests!$A$1,0,0,COUNTA([2]quests!$A:$A),MATCH(C$1,[2]quests!$1:$1,0)-MATCH($A$1,[2]quests!$1:$1,0)+1),MATCH(C$1,[2]quests!$1:$1,0)-MATCH($A$1,[2]quests!$1:$1,0)+1,FALSE)</f>
        <v>ランキング1（再開催版）</v>
      </c>
      <c r="D4" s="213">
        <v>1</v>
      </c>
      <c r="E4" s="215">
        <v>1</v>
      </c>
      <c r="F4" s="216" t="str">
        <f t="shared" si="0"/>
        <v>600130001</v>
      </c>
      <c r="G4" s="217" t="str">
        <f>F4&amp;TEXT(COUNTIF(F$2:F4,F4),"00")</f>
        <v>60013000103</v>
      </c>
      <c r="H4" s="218" t="s">
        <v>322</v>
      </c>
      <c r="I4" s="218">
        <v>10</v>
      </c>
      <c r="J4" s="218" t="s">
        <v>323</v>
      </c>
      <c r="K4" s="218">
        <v>0</v>
      </c>
      <c r="L4" s="218">
        <v>0</v>
      </c>
      <c r="M4" s="218">
        <v>0</v>
      </c>
      <c r="N4" s="218">
        <v>0</v>
      </c>
      <c r="O4" s="218">
        <v>1</v>
      </c>
      <c r="P4" s="218">
        <v>1</v>
      </c>
      <c r="Q4" s="218">
        <v>1</v>
      </c>
      <c r="R4" s="218" t="s">
        <v>324</v>
      </c>
      <c r="S4" s="218" t="s">
        <v>325</v>
      </c>
      <c r="T4" s="218" t="s">
        <v>318</v>
      </c>
      <c r="U4" s="219" t="s">
        <v>319</v>
      </c>
    </row>
    <row r="5" spans="1:21" ht="28" x14ac:dyDescent="0.15">
      <c r="A5" s="213">
        <v>60013</v>
      </c>
      <c r="B5" s="214" t="str">
        <f ca="1">VLOOKUP($A5,OFFSET([2]quests!$A$1,0,0,COUNTA([2]quests!$A:$A),MATCH(B$1,[2]quests!$1:$1,0)-MATCH($A$1,[2]quests!$1:$1,0)+1),MATCH(B$1,[2]quests!$1:$1,0)-MATCH($A$1,[2]quests!$1:$1,0)+1,FALSE)</f>
        <v>オイラーチャレンジ</v>
      </c>
      <c r="C5" s="214" t="str">
        <f ca="1">VLOOKUP($A5,OFFSET([2]quests!$A$1,0,0,COUNTA([2]quests!$A:$A),MATCH(C$1,[2]quests!$1:$1,0)-MATCH($A$1,[2]quests!$1:$1,0)+1),MATCH(C$1,[2]quests!$1:$1,0)-MATCH($A$1,[2]quests!$1:$1,0)+1,FALSE)</f>
        <v>ランキング1（再開催版）</v>
      </c>
      <c r="D5" s="213">
        <v>1</v>
      </c>
      <c r="E5" s="215">
        <v>1</v>
      </c>
      <c r="F5" s="216" t="str">
        <f t="shared" si="0"/>
        <v>600130001</v>
      </c>
      <c r="G5" s="217" t="str">
        <f>F5&amp;TEXT(COUNTIF(F$2:F5,F5),"00")</f>
        <v>60013000104</v>
      </c>
      <c r="H5" s="218" t="s">
        <v>326</v>
      </c>
      <c r="I5" s="218">
        <v>837</v>
      </c>
      <c r="J5" s="218">
        <v>1</v>
      </c>
      <c r="K5" s="218">
        <v>0</v>
      </c>
      <c r="L5" s="218">
        <v>0</v>
      </c>
      <c r="M5" s="218">
        <v>0</v>
      </c>
      <c r="N5" s="218">
        <v>0</v>
      </c>
      <c r="O5" s="218">
        <v>1</v>
      </c>
      <c r="P5" s="218">
        <v>1</v>
      </c>
      <c r="Q5" s="218">
        <v>1</v>
      </c>
      <c r="R5" s="218" t="s">
        <v>327</v>
      </c>
      <c r="S5" s="218" t="s">
        <v>328</v>
      </c>
      <c r="T5" s="218" t="s">
        <v>318</v>
      </c>
      <c r="U5" s="219" t="s">
        <v>319</v>
      </c>
    </row>
    <row r="6" spans="1:21" ht="28" x14ac:dyDescent="0.15">
      <c r="A6" s="213">
        <v>60013</v>
      </c>
      <c r="B6" s="214" t="str">
        <f ca="1">VLOOKUP($A6,OFFSET([2]quests!$A$1,0,0,COUNTA([2]quests!$A:$A),MATCH(B$1,[2]quests!$1:$1,0)-MATCH($A$1,[2]quests!$1:$1,0)+1),MATCH(B$1,[2]quests!$1:$1,0)-MATCH($A$1,[2]quests!$1:$1,0)+1,FALSE)</f>
        <v>オイラーチャレンジ</v>
      </c>
      <c r="C6" s="214" t="str">
        <f ca="1">VLOOKUP($A6,OFFSET([2]quests!$A$1,0,0,COUNTA([2]quests!$A:$A),MATCH(C$1,[2]quests!$1:$1,0)-MATCH($A$1,[2]quests!$1:$1,0)+1),MATCH(C$1,[2]quests!$1:$1,0)-MATCH($A$1,[2]quests!$1:$1,0)+1,FALSE)</f>
        <v>ランキング1（再開催版）</v>
      </c>
      <c r="D6" s="213">
        <v>1</v>
      </c>
      <c r="E6" s="215">
        <v>1</v>
      </c>
      <c r="F6" s="216" t="str">
        <f t="shared" si="0"/>
        <v>600130001</v>
      </c>
      <c r="G6" s="217" t="str">
        <f>F6&amp;TEXT(COUNTIF(F$2:F6,F6),"00")</f>
        <v>60013000105</v>
      </c>
      <c r="H6" s="218" t="s">
        <v>326</v>
      </c>
      <c r="I6" s="218">
        <v>614</v>
      </c>
      <c r="J6" s="218">
        <v>1</v>
      </c>
      <c r="K6" s="218">
        <v>0</v>
      </c>
      <c r="L6" s="218">
        <v>0</v>
      </c>
      <c r="M6" s="218">
        <v>0</v>
      </c>
      <c r="N6" s="218">
        <v>0</v>
      </c>
      <c r="O6" s="218">
        <v>1</v>
      </c>
      <c r="P6" s="218">
        <v>1</v>
      </c>
      <c r="Q6" s="218">
        <v>1</v>
      </c>
      <c r="R6" s="218" t="s">
        <v>327</v>
      </c>
      <c r="S6" s="218" t="s">
        <v>329</v>
      </c>
      <c r="T6" s="218" t="s">
        <v>318</v>
      </c>
      <c r="U6" s="219" t="s">
        <v>319</v>
      </c>
    </row>
    <row r="7" spans="1:21" ht="28" x14ac:dyDescent="0.15">
      <c r="A7" s="213">
        <v>60013</v>
      </c>
      <c r="B7" s="214" t="str">
        <f ca="1">VLOOKUP($A7,OFFSET([2]quests!$A$1,0,0,COUNTA([2]quests!$A:$A),MATCH(B$1,[2]quests!$1:$1,0)-MATCH($A$1,[2]quests!$1:$1,0)+1),MATCH(B$1,[2]quests!$1:$1,0)-MATCH($A$1,[2]quests!$1:$1,0)+1,FALSE)</f>
        <v>オイラーチャレンジ</v>
      </c>
      <c r="C7" s="214" t="str">
        <f ca="1">VLOOKUP($A7,OFFSET([2]quests!$A$1,0,0,COUNTA([2]quests!$A:$A),MATCH(C$1,[2]quests!$1:$1,0)-MATCH($A$1,[2]quests!$1:$1,0)+1),MATCH(C$1,[2]quests!$1:$1,0)-MATCH($A$1,[2]quests!$1:$1,0)+1,FALSE)</f>
        <v>ランキング1（再開催版）</v>
      </c>
      <c r="D7" s="213">
        <v>2</v>
      </c>
      <c r="E7" s="215">
        <v>2</v>
      </c>
      <c r="F7" s="216" t="str">
        <f>A7&amp;TEXT(E7,"0000")</f>
        <v>600130002</v>
      </c>
      <c r="G7" s="217" t="str">
        <f>F7&amp;TEXT(COUNTIF(F$2:F7,F7),"00")</f>
        <v>60013000201</v>
      </c>
      <c r="H7" s="218" t="s">
        <v>330</v>
      </c>
      <c r="I7" s="218">
        <v>601</v>
      </c>
      <c r="J7" s="218">
        <v>1</v>
      </c>
      <c r="K7" s="218">
        <v>0</v>
      </c>
      <c r="L7" s="218">
        <v>0</v>
      </c>
      <c r="M7" s="218">
        <v>0</v>
      </c>
      <c r="N7" s="218">
        <v>0</v>
      </c>
      <c r="O7" s="218">
        <v>1</v>
      </c>
      <c r="P7" s="218">
        <v>1</v>
      </c>
      <c r="Q7" s="218">
        <v>1</v>
      </c>
      <c r="R7" s="218" t="s">
        <v>327</v>
      </c>
      <c r="S7" s="311" t="s">
        <v>458</v>
      </c>
      <c r="T7" s="218" t="s">
        <v>318</v>
      </c>
      <c r="U7" s="219" t="s">
        <v>319</v>
      </c>
    </row>
    <row r="8" spans="1:21" ht="28" x14ac:dyDescent="0.15">
      <c r="A8" s="213">
        <v>60013</v>
      </c>
      <c r="B8" s="214" t="str">
        <f ca="1">VLOOKUP($A8,OFFSET([2]quests!$A$1,0,0,COUNTA([2]quests!$A:$A),MATCH(B$1,[2]quests!$1:$1,0)-MATCH($A$1,[2]quests!$1:$1,0)+1),MATCH(B$1,[2]quests!$1:$1,0)-MATCH($A$1,[2]quests!$1:$1,0)+1,FALSE)</f>
        <v>オイラーチャレンジ</v>
      </c>
      <c r="C8" s="214" t="str">
        <f ca="1">VLOOKUP($A8,OFFSET([2]quests!$A$1,0,0,COUNTA([2]quests!$A:$A),MATCH(C$1,[2]quests!$1:$1,0)-MATCH($A$1,[2]quests!$1:$1,0)+1),MATCH(C$1,[2]quests!$1:$1,0)-MATCH($A$1,[2]quests!$1:$1,0)+1,FALSE)</f>
        <v>ランキング1（再開催版）</v>
      </c>
      <c r="D8" s="213">
        <v>2</v>
      </c>
      <c r="E8" s="215">
        <v>2</v>
      </c>
      <c r="F8" s="216" t="str">
        <f t="shared" ref="F8:F26" si="1">A8&amp;TEXT(E8,"0000")</f>
        <v>600130002</v>
      </c>
      <c r="G8" s="217" t="str">
        <f>F8&amp;TEXT(COUNTIF(F$2:F8,F8),"00")</f>
        <v>60013000202</v>
      </c>
      <c r="H8" s="218" t="s">
        <v>317</v>
      </c>
      <c r="I8" s="218">
        <v>600</v>
      </c>
      <c r="J8" s="218">
        <v>1</v>
      </c>
      <c r="K8" s="218">
        <v>0</v>
      </c>
      <c r="L8" s="218">
        <v>0</v>
      </c>
      <c r="M8" s="218">
        <v>0</v>
      </c>
      <c r="N8" s="218">
        <v>0</v>
      </c>
      <c r="O8" s="218">
        <v>1</v>
      </c>
      <c r="P8" s="218">
        <v>1</v>
      </c>
      <c r="Q8" s="218">
        <v>1</v>
      </c>
      <c r="R8" s="218" t="s">
        <v>265</v>
      </c>
      <c r="S8" s="220" t="s">
        <v>459</v>
      </c>
      <c r="T8" s="218" t="s">
        <v>318</v>
      </c>
      <c r="U8" s="219" t="s">
        <v>319</v>
      </c>
    </row>
    <row r="9" spans="1:21" ht="28" x14ac:dyDescent="0.15">
      <c r="A9" s="213">
        <v>60013</v>
      </c>
      <c r="B9" s="214" t="str">
        <f ca="1">VLOOKUP($A9,OFFSET([2]quests!$A$1,0,0,COUNTA([2]quests!$A:$A),MATCH(B$1,[2]quests!$1:$1,0)-MATCH($A$1,[2]quests!$1:$1,0)+1),MATCH(B$1,[2]quests!$1:$1,0)-MATCH($A$1,[2]quests!$1:$1,0)+1,FALSE)</f>
        <v>オイラーチャレンジ</v>
      </c>
      <c r="C9" s="214" t="str">
        <f ca="1">VLOOKUP($A9,OFFSET([2]quests!$A$1,0,0,COUNTA([2]quests!$A:$A),MATCH(C$1,[2]quests!$1:$1,0)-MATCH($A$1,[2]quests!$1:$1,0)+1),MATCH(C$1,[2]quests!$1:$1,0)-MATCH($A$1,[2]quests!$1:$1,0)+1,FALSE)</f>
        <v>ランキング1（再開催版）</v>
      </c>
      <c r="D9" s="213">
        <v>2</v>
      </c>
      <c r="E9" s="215">
        <v>2</v>
      </c>
      <c r="F9" s="216" t="str">
        <f t="shared" si="1"/>
        <v>600130002</v>
      </c>
      <c r="G9" s="217" t="str">
        <f>F9&amp;TEXT(COUNTIF(F$2:F9,F9),"00")</f>
        <v>60013000203</v>
      </c>
      <c r="H9" s="218" t="s">
        <v>331</v>
      </c>
      <c r="I9" s="218">
        <v>5</v>
      </c>
      <c r="J9" s="218" t="s">
        <v>165</v>
      </c>
      <c r="K9" s="218">
        <v>0</v>
      </c>
      <c r="L9" s="218">
        <v>0</v>
      </c>
      <c r="M9" s="218">
        <v>0</v>
      </c>
      <c r="N9" s="218">
        <v>0</v>
      </c>
      <c r="O9" s="218">
        <v>1</v>
      </c>
      <c r="P9" s="218">
        <v>1</v>
      </c>
      <c r="Q9" s="218">
        <v>1</v>
      </c>
      <c r="R9" s="218" t="s">
        <v>265</v>
      </c>
      <c r="S9" s="218" t="s">
        <v>332</v>
      </c>
      <c r="T9" s="218" t="s">
        <v>318</v>
      </c>
      <c r="U9" s="219" t="s">
        <v>319</v>
      </c>
    </row>
    <row r="10" spans="1:21" ht="28" x14ac:dyDescent="0.15">
      <c r="A10" s="213">
        <v>60013</v>
      </c>
      <c r="B10" s="214" t="str">
        <f ca="1">VLOOKUP($A10,OFFSET([2]quests!$A$1,0,0,COUNTA([2]quests!$A:$A),MATCH(B$1,[2]quests!$1:$1,0)-MATCH($A$1,[2]quests!$1:$1,0)+1),MATCH(B$1,[2]quests!$1:$1,0)-MATCH($A$1,[2]quests!$1:$1,0)+1,FALSE)</f>
        <v>オイラーチャレンジ</v>
      </c>
      <c r="C10" s="214" t="str">
        <f ca="1">VLOOKUP($A10,OFFSET([2]quests!$A$1,0,0,COUNTA([2]quests!$A:$A),MATCH(C$1,[2]quests!$1:$1,0)-MATCH($A$1,[2]quests!$1:$1,0)+1),MATCH(C$1,[2]quests!$1:$1,0)-MATCH($A$1,[2]quests!$1:$1,0)+1,FALSE)</f>
        <v>ランキング1（再開催版）</v>
      </c>
      <c r="D10" s="213">
        <v>2</v>
      </c>
      <c r="E10" s="215">
        <v>2</v>
      </c>
      <c r="F10" s="216" t="str">
        <f t="shared" si="1"/>
        <v>600130002</v>
      </c>
      <c r="G10" s="217" t="str">
        <f>F10&amp;TEXT(COUNTIF(F$2:F10,F10),"00")</f>
        <v>60013000204</v>
      </c>
      <c r="H10" s="218" t="s">
        <v>333</v>
      </c>
      <c r="I10" s="218">
        <v>610</v>
      </c>
      <c r="J10" s="218">
        <v>1</v>
      </c>
      <c r="K10" s="218">
        <v>0</v>
      </c>
      <c r="L10" s="218">
        <v>0</v>
      </c>
      <c r="M10" s="218">
        <v>0</v>
      </c>
      <c r="N10" s="218">
        <v>0</v>
      </c>
      <c r="O10" s="218">
        <v>1</v>
      </c>
      <c r="P10" s="218">
        <v>1</v>
      </c>
      <c r="Q10" s="218">
        <v>1</v>
      </c>
      <c r="R10" s="218" t="s">
        <v>265</v>
      </c>
      <c r="S10" s="218" t="s">
        <v>334</v>
      </c>
      <c r="T10" s="218" t="s">
        <v>318</v>
      </c>
      <c r="U10" s="219" t="s">
        <v>319</v>
      </c>
    </row>
    <row r="11" spans="1:21" ht="28" x14ac:dyDescent="0.15">
      <c r="A11" s="213">
        <v>60013</v>
      </c>
      <c r="B11" s="214" t="str">
        <f ca="1">VLOOKUP($A11,OFFSET([2]quests!$A$1,0,0,COUNTA([2]quests!$A:$A),MATCH(B$1,[2]quests!$1:$1,0)-MATCH($A$1,[2]quests!$1:$1,0)+1),MATCH(B$1,[2]quests!$1:$1,0)-MATCH($A$1,[2]quests!$1:$1,0)+1,FALSE)</f>
        <v>オイラーチャレンジ</v>
      </c>
      <c r="C11" s="214" t="str">
        <f ca="1">VLOOKUP($A11,OFFSET([2]quests!$A$1,0,0,COUNTA([2]quests!$A:$A),MATCH(C$1,[2]quests!$1:$1,0)-MATCH($A$1,[2]quests!$1:$1,0)+1),MATCH(C$1,[2]quests!$1:$1,0)-MATCH($A$1,[2]quests!$1:$1,0)+1,FALSE)</f>
        <v>ランキング1（再開催版）</v>
      </c>
      <c r="D11" s="213">
        <v>2</v>
      </c>
      <c r="E11" s="215">
        <v>2</v>
      </c>
      <c r="F11" s="216" t="str">
        <f t="shared" si="1"/>
        <v>600130002</v>
      </c>
      <c r="G11" s="217" t="str">
        <f>F11&amp;TEXT(COUNTIF(F$2:F11,F11),"00")</f>
        <v>60013000205</v>
      </c>
      <c r="H11" s="218" t="s">
        <v>317</v>
      </c>
      <c r="I11" s="218">
        <v>1</v>
      </c>
      <c r="J11" s="218">
        <v>3</v>
      </c>
      <c r="K11" s="218">
        <v>0</v>
      </c>
      <c r="L11" s="218">
        <v>0</v>
      </c>
      <c r="M11" s="218">
        <v>0</v>
      </c>
      <c r="N11" s="218">
        <v>0</v>
      </c>
      <c r="O11" s="218">
        <v>1</v>
      </c>
      <c r="P11" s="218">
        <v>1</v>
      </c>
      <c r="Q11" s="218">
        <v>1</v>
      </c>
      <c r="R11" s="218" t="s">
        <v>265</v>
      </c>
      <c r="S11" s="218" t="s">
        <v>335</v>
      </c>
      <c r="T11" s="218" t="s">
        <v>318</v>
      </c>
      <c r="U11" s="219" t="s">
        <v>319</v>
      </c>
    </row>
    <row r="12" spans="1:21" ht="28" x14ac:dyDescent="0.15">
      <c r="A12" s="213">
        <v>60013</v>
      </c>
      <c r="B12" s="214" t="str">
        <f ca="1">VLOOKUP($A12,OFFSET([2]quests!$A$1,0,0,COUNTA([2]quests!$A:$A),MATCH(B$1,[2]quests!$1:$1,0)-MATCH($A$1,[2]quests!$1:$1,0)+1),MATCH(B$1,[2]quests!$1:$1,0)-MATCH($A$1,[2]quests!$1:$1,0)+1,FALSE)</f>
        <v>オイラーチャレンジ</v>
      </c>
      <c r="C12" s="214" t="str">
        <f ca="1">VLOOKUP($A12,OFFSET([2]quests!$A$1,0,0,COUNTA([2]quests!$A:$A),MATCH(C$1,[2]quests!$1:$1,0)-MATCH($A$1,[2]quests!$1:$1,0)+1),MATCH(C$1,[2]quests!$1:$1,0)-MATCH($A$1,[2]quests!$1:$1,0)+1,FALSE)</f>
        <v>ランキング1（再開催版）</v>
      </c>
      <c r="D12" s="213">
        <v>3</v>
      </c>
      <c r="E12" s="215">
        <v>3</v>
      </c>
      <c r="F12" s="216" t="str">
        <f t="shared" si="1"/>
        <v>600130003</v>
      </c>
      <c r="G12" s="217" t="str">
        <f>F12&amp;TEXT(COUNTIF(F$2:F12,F12),"00")</f>
        <v>60013000301</v>
      </c>
      <c r="H12" s="218" t="s">
        <v>317</v>
      </c>
      <c r="I12" s="218">
        <v>600</v>
      </c>
      <c r="J12" s="218">
        <v>3</v>
      </c>
      <c r="K12" s="218">
        <v>0</v>
      </c>
      <c r="L12" s="218">
        <v>0</v>
      </c>
      <c r="M12" s="218">
        <v>0</v>
      </c>
      <c r="N12" s="218">
        <v>0</v>
      </c>
      <c r="O12" s="218">
        <v>1</v>
      </c>
      <c r="P12" s="218">
        <v>1</v>
      </c>
      <c r="Q12" s="218">
        <v>1</v>
      </c>
      <c r="R12" s="218" t="s">
        <v>265</v>
      </c>
      <c r="S12" s="311" t="s">
        <v>460</v>
      </c>
      <c r="T12" s="218" t="s">
        <v>318</v>
      </c>
      <c r="U12" s="219" t="s">
        <v>319</v>
      </c>
    </row>
    <row r="13" spans="1:21" ht="28" x14ac:dyDescent="0.15">
      <c r="A13" s="213">
        <v>60013</v>
      </c>
      <c r="B13" s="214" t="str">
        <f ca="1">VLOOKUP($A13,OFFSET([2]quests!$A$1,0,0,COUNTA([2]quests!$A:$A),MATCH(B$1,[2]quests!$1:$1,0)-MATCH($A$1,[2]quests!$1:$1,0)+1),MATCH(B$1,[2]quests!$1:$1,0)-MATCH($A$1,[2]quests!$1:$1,0)+1,FALSE)</f>
        <v>オイラーチャレンジ</v>
      </c>
      <c r="C13" s="214" t="str">
        <f ca="1">VLOOKUP($A13,OFFSET([2]quests!$A$1,0,0,COUNTA([2]quests!$A:$A),MATCH(C$1,[2]quests!$1:$1,0)-MATCH($A$1,[2]quests!$1:$1,0)+1),MATCH(C$1,[2]quests!$1:$1,0)-MATCH($A$1,[2]quests!$1:$1,0)+1,FALSE)</f>
        <v>ランキング1（再開催版）</v>
      </c>
      <c r="D13" s="213">
        <v>3</v>
      </c>
      <c r="E13" s="215">
        <v>3</v>
      </c>
      <c r="F13" s="216" t="str">
        <f t="shared" si="1"/>
        <v>600130003</v>
      </c>
      <c r="G13" s="217" t="str">
        <f>F13&amp;TEXT(COUNTIF(F$2:F13,F13),"00")</f>
        <v>60013000302</v>
      </c>
      <c r="H13" s="218" t="s">
        <v>333</v>
      </c>
      <c r="I13" s="218">
        <v>335</v>
      </c>
      <c r="J13" s="218">
        <v>1</v>
      </c>
      <c r="K13" s="218">
        <v>0</v>
      </c>
      <c r="L13" s="218">
        <v>0</v>
      </c>
      <c r="M13" s="218">
        <v>0</v>
      </c>
      <c r="N13" s="218">
        <v>0</v>
      </c>
      <c r="O13" s="218">
        <v>1</v>
      </c>
      <c r="P13" s="218">
        <v>1</v>
      </c>
      <c r="Q13" s="218">
        <v>1</v>
      </c>
      <c r="R13" s="218" t="s">
        <v>265</v>
      </c>
      <c r="S13" s="218" t="s">
        <v>336</v>
      </c>
      <c r="T13" s="218" t="s">
        <v>318</v>
      </c>
      <c r="U13" s="219" t="s">
        <v>319</v>
      </c>
    </row>
    <row r="14" spans="1:21" ht="28" x14ac:dyDescent="0.15">
      <c r="A14" s="213">
        <v>60013</v>
      </c>
      <c r="B14" s="214" t="str">
        <f ca="1">VLOOKUP($A14,OFFSET([2]quests!$A$1,0,0,COUNTA([2]quests!$A:$A),MATCH(B$1,[2]quests!$1:$1,0)-MATCH($A$1,[2]quests!$1:$1,0)+1),MATCH(B$1,[2]quests!$1:$1,0)-MATCH($A$1,[2]quests!$1:$1,0)+1,FALSE)</f>
        <v>オイラーチャレンジ</v>
      </c>
      <c r="C14" s="214" t="str">
        <f ca="1">VLOOKUP($A14,OFFSET([2]quests!$A$1,0,0,COUNTA([2]quests!$A:$A),MATCH(C$1,[2]quests!$1:$1,0)-MATCH($A$1,[2]quests!$1:$1,0)+1),MATCH(C$1,[2]quests!$1:$1,0)-MATCH($A$1,[2]quests!$1:$1,0)+1,FALSE)</f>
        <v>ランキング1（再開催版）</v>
      </c>
      <c r="D14" s="213">
        <v>3</v>
      </c>
      <c r="E14" s="215">
        <v>3</v>
      </c>
      <c r="F14" s="216" t="str">
        <f t="shared" si="1"/>
        <v>600130003</v>
      </c>
      <c r="G14" s="217" t="str">
        <f>F14&amp;TEXT(COUNTIF(F$2:F14,F14),"00")</f>
        <v>60013000303</v>
      </c>
      <c r="H14" s="218" t="s">
        <v>333</v>
      </c>
      <c r="I14" s="218">
        <v>339</v>
      </c>
      <c r="J14" s="218">
        <v>1</v>
      </c>
      <c r="K14" s="218">
        <v>0</v>
      </c>
      <c r="L14" s="218">
        <v>0</v>
      </c>
      <c r="M14" s="218">
        <v>0</v>
      </c>
      <c r="N14" s="218">
        <v>0</v>
      </c>
      <c r="O14" s="218">
        <v>1</v>
      </c>
      <c r="P14" s="218">
        <v>1</v>
      </c>
      <c r="Q14" s="218">
        <v>1</v>
      </c>
      <c r="R14" s="218" t="s">
        <v>265</v>
      </c>
      <c r="S14" s="218" t="s">
        <v>337</v>
      </c>
      <c r="T14" s="218" t="s">
        <v>318</v>
      </c>
      <c r="U14" s="219" t="s">
        <v>319</v>
      </c>
    </row>
    <row r="15" spans="1:21" ht="28" x14ac:dyDescent="0.15">
      <c r="A15" s="213">
        <v>60013</v>
      </c>
      <c r="B15" s="214" t="str">
        <f ca="1">VLOOKUP($A15,OFFSET([2]quests!$A$1,0,0,COUNTA([2]quests!$A:$A),MATCH(B$1,[2]quests!$1:$1,0)-MATCH($A$1,[2]quests!$1:$1,0)+1),MATCH(B$1,[2]quests!$1:$1,0)-MATCH($A$1,[2]quests!$1:$1,0)+1,FALSE)</f>
        <v>オイラーチャレンジ</v>
      </c>
      <c r="C15" s="214" t="str">
        <f ca="1">VLOOKUP($A15,OFFSET([2]quests!$A$1,0,0,COUNTA([2]quests!$A:$A),MATCH(C$1,[2]quests!$1:$1,0)-MATCH($A$1,[2]quests!$1:$1,0)+1),MATCH(C$1,[2]quests!$1:$1,0)-MATCH($A$1,[2]quests!$1:$1,0)+1,FALSE)</f>
        <v>ランキング1（再開催版）</v>
      </c>
      <c r="D15" s="213">
        <v>3</v>
      </c>
      <c r="E15" s="215">
        <v>3</v>
      </c>
      <c r="F15" s="216" t="str">
        <f t="shared" si="1"/>
        <v>600130003</v>
      </c>
      <c r="G15" s="217" t="str">
        <f>F15&amp;TEXT(COUNTIF(F$2:F15,F15),"00")</f>
        <v>60013000304</v>
      </c>
      <c r="H15" s="218" t="s">
        <v>333</v>
      </c>
      <c r="I15" s="218">
        <v>343</v>
      </c>
      <c r="J15" s="218">
        <v>1</v>
      </c>
      <c r="K15" s="218">
        <v>0</v>
      </c>
      <c r="L15" s="218">
        <v>0</v>
      </c>
      <c r="M15" s="218">
        <v>0</v>
      </c>
      <c r="N15" s="218">
        <v>0</v>
      </c>
      <c r="O15" s="218">
        <v>1</v>
      </c>
      <c r="P15" s="218">
        <v>1</v>
      </c>
      <c r="Q15" s="218">
        <v>1</v>
      </c>
      <c r="R15" s="218" t="s">
        <v>265</v>
      </c>
      <c r="S15" s="218" t="s">
        <v>338</v>
      </c>
      <c r="T15" s="218" t="s">
        <v>318</v>
      </c>
      <c r="U15" s="219" t="s">
        <v>319</v>
      </c>
    </row>
    <row r="16" spans="1:21" ht="28" x14ac:dyDescent="0.15">
      <c r="A16" s="213">
        <v>60013</v>
      </c>
      <c r="B16" s="214" t="str">
        <f ca="1">VLOOKUP($A16,OFFSET([2]quests!$A$1,0,0,COUNTA([2]quests!$A:$A),MATCH(B$1,[2]quests!$1:$1,0)-MATCH($A$1,[2]quests!$1:$1,0)+1),MATCH(B$1,[2]quests!$1:$1,0)-MATCH($A$1,[2]quests!$1:$1,0)+1,FALSE)</f>
        <v>オイラーチャレンジ</v>
      </c>
      <c r="C16" s="214" t="str">
        <f ca="1">VLOOKUP($A16,OFFSET([2]quests!$A$1,0,0,COUNTA([2]quests!$A:$A),MATCH(C$1,[2]quests!$1:$1,0)-MATCH($A$1,[2]quests!$1:$1,0)+1),MATCH(C$1,[2]quests!$1:$1,0)-MATCH($A$1,[2]quests!$1:$1,0)+1,FALSE)</f>
        <v>ランキング1（再開催版）</v>
      </c>
      <c r="D16" s="213">
        <v>3</v>
      </c>
      <c r="E16" s="215">
        <v>3</v>
      </c>
      <c r="F16" s="216" t="str">
        <f t="shared" si="1"/>
        <v>600130003</v>
      </c>
      <c r="G16" s="217" t="str">
        <f>F16&amp;TEXT(COUNTIF(F$2:F16,F16),"00")</f>
        <v>60013000305</v>
      </c>
      <c r="H16" s="218" t="s">
        <v>333</v>
      </c>
      <c r="I16" s="218">
        <v>347</v>
      </c>
      <c r="J16" s="218">
        <v>1</v>
      </c>
      <c r="K16" s="218">
        <v>0</v>
      </c>
      <c r="L16" s="218">
        <v>0</v>
      </c>
      <c r="M16" s="218">
        <v>0</v>
      </c>
      <c r="N16" s="218">
        <v>0</v>
      </c>
      <c r="O16" s="218">
        <v>1</v>
      </c>
      <c r="P16" s="218">
        <v>1</v>
      </c>
      <c r="Q16" s="218">
        <v>1</v>
      </c>
      <c r="R16" s="218" t="s">
        <v>265</v>
      </c>
      <c r="S16" s="218" t="s">
        <v>339</v>
      </c>
      <c r="T16" s="218" t="s">
        <v>318</v>
      </c>
      <c r="U16" s="219" t="s">
        <v>319</v>
      </c>
    </row>
    <row r="17" spans="1:21" ht="28" x14ac:dyDescent="0.15">
      <c r="A17" s="213">
        <v>60013</v>
      </c>
      <c r="B17" s="214" t="str">
        <f ca="1">VLOOKUP($A17,OFFSET([2]quests!$A$1,0,0,COUNTA([2]quests!$A:$A),MATCH(B$1,[2]quests!$1:$1,0)-MATCH($A$1,[2]quests!$1:$1,0)+1),MATCH(B$1,[2]quests!$1:$1,0)-MATCH($A$1,[2]quests!$1:$1,0)+1,FALSE)</f>
        <v>オイラーチャレンジ</v>
      </c>
      <c r="C17" s="214" t="str">
        <f ca="1">VLOOKUP($A17,OFFSET([2]quests!$A$1,0,0,COUNTA([2]quests!$A:$A),MATCH(C$1,[2]quests!$1:$1,0)-MATCH($A$1,[2]quests!$1:$1,0)+1),MATCH(C$1,[2]quests!$1:$1,0)-MATCH($A$1,[2]quests!$1:$1,0)+1,FALSE)</f>
        <v>ランキング1（再開催版）</v>
      </c>
      <c r="D17" s="213">
        <v>3</v>
      </c>
      <c r="E17" s="215">
        <v>3</v>
      </c>
      <c r="F17" s="216" t="str">
        <f t="shared" si="1"/>
        <v>600130003</v>
      </c>
      <c r="G17" s="217" t="str">
        <f>F17&amp;TEXT(COUNTIF(F$2:F17,F17),"00")</f>
        <v>60013000306</v>
      </c>
      <c r="H17" s="218" t="s">
        <v>331</v>
      </c>
      <c r="I17" s="218">
        <v>5</v>
      </c>
      <c r="J17" s="218" t="s">
        <v>165</v>
      </c>
      <c r="K17" s="218">
        <v>0</v>
      </c>
      <c r="L17" s="218">
        <v>0</v>
      </c>
      <c r="M17" s="218">
        <v>0</v>
      </c>
      <c r="N17" s="218">
        <v>0</v>
      </c>
      <c r="O17" s="218">
        <v>1</v>
      </c>
      <c r="P17" s="218">
        <v>1</v>
      </c>
      <c r="Q17" s="218">
        <v>1</v>
      </c>
      <c r="R17" s="218" t="s">
        <v>265</v>
      </c>
      <c r="S17" s="218" t="s">
        <v>332</v>
      </c>
      <c r="T17" s="218" t="s">
        <v>318</v>
      </c>
      <c r="U17" s="219" t="s">
        <v>319</v>
      </c>
    </row>
    <row r="18" spans="1:21" ht="28" x14ac:dyDescent="0.15">
      <c r="A18" s="213">
        <v>60013</v>
      </c>
      <c r="B18" s="214" t="str">
        <f ca="1">VLOOKUP($A18,OFFSET([2]quests!$A$1,0,0,COUNTA([2]quests!$A:$A),MATCH(B$1,[2]quests!$1:$1,0)-MATCH($A$1,[2]quests!$1:$1,0)+1),MATCH(B$1,[2]quests!$1:$1,0)-MATCH($A$1,[2]quests!$1:$1,0)+1,FALSE)</f>
        <v>オイラーチャレンジ</v>
      </c>
      <c r="C18" s="214" t="str">
        <f ca="1">VLOOKUP($A18,OFFSET([2]quests!$A$1,0,0,COUNTA([2]quests!$A:$A),MATCH(C$1,[2]quests!$1:$1,0)-MATCH($A$1,[2]quests!$1:$1,0)+1),MATCH(C$1,[2]quests!$1:$1,0)-MATCH($A$1,[2]quests!$1:$1,0)+1,FALSE)</f>
        <v>ランキング1（再開催版）</v>
      </c>
      <c r="D18" s="213">
        <v>3</v>
      </c>
      <c r="E18" s="215">
        <v>3</v>
      </c>
      <c r="F18" s="216" t="str">
        <f t="shared" si="1"/>
        <v>600130003</v>
      </c>
      <c r="G18" s="217" t="str">
        <f>F18&amp;TEXT(COUNTIF(F$2:F18,F18),"00")</f>
        <v>60013000307</v>
      </c>
      <c r="H18" s="218" t="s">
        <v>333</v>
      </c>
      <c r="I18" s="218">
        <v>125</v>
      </c>
      <c r="J18" s="218">
        <v>1</v>
      </c>
      <c r="K18" s="218">
        <v>0</v>
      </c>
      <c r="L18" s="218">
        <v>0</v>
      </c>
      <c r="M18" s="218">
        <v>0</v>
      </c>
      <c r="N18" s="218">
        <v>0</v>
      </c>
      <c r="O18" s="218">
        <v>1</v>
      </c>
      <c r="P18" s="218">
        <v>1</v>
      </c>
      <c r="Q18" s="218">
        <v>1</v>
      </c>
      <c r="R18" s="218" t="s">
        <v>265</v>
      </c>
      <c r="S18" s="218" t="s">
        <v>340</v>
      </c>
      <c r="T18" s="218" t="s">
        <v>318</v>
      </c>
      <c r="U18" s="219" t="s">
        <v>319</v>
      </c>
    </row>
    <row r="19" spans="1:21" ht="28" x14ac:dyDescent="0.15">
      <c r="A19" s="213">
        <v>60013</v>
      </c>
      <c r="B19" s="214" t="str">
        <f ca="1">VLOOKUP($A19,OFFSET([2]quests!$A$1,0,0,COUNTA([2]quests!$A:$A),MATCH(B$1,[2]quests!$1:$1,0)-MATCH($A$1,[2]quests!$1:$1,0)+1),MATCH(B$1,[2]quests!$1:$1,0)-MATCH($A$1,[2]quests!$1:$1,0)+1,FALSE)</f>
        <v>オイラーチャレンジ</v>
      </c>
      <c r="C19" s="214" t="str">
        <f ca="1">VLOOKUP($A19,OFFSET([2]quests!$A$1,0,0,COUNTA([2]quests!$A:$A),MATCH(C$1,[2]quests!$1:$1,0)-MATCH($A$1,[2]quests!$1:$1,0)+1),MATCH(C$1,[2]quests!$1:$1,0)-MATCH($A$1,[2]quests!$1:$1,0)+1,FALSE)</f>
        <v>ランキング1（再開催版）</v>
      </c>
      <c r="D19" s="213">
        <v>3</v>
      </c>
      <c r="E19" s="215">
        <v>3</v>
      </c>
      <c r="F19" s="216" t="str">
        <f t="shared" si="1"/>
        <v>600130003</v>
      </c>
      <c r="G19" s="217" t="str">
        <f>F19&amp;TEXT(COUNTIF(F$2:F19,F19),"00")</f>
        <v>60013000308</v>
      </c>
      <c r="H19" s="218" t="s">
        <v>317</v>
      </c>
      <c r="I19" s="218">
        <v>1</v>
      </c>
      <c r="J19" s="218">
        <v>1</v>
      </c>
      <c r="K19" s="218">
        <v>0</v>
      </c>
      <c r="L19" s="218">
        <v>0</v>
      </c>
      <c r="M19" s="218">
        <v>0</v>
      </c>
      <c r="N19" s="218">
        <v>0</v>
      </c>
      <c r="O19" s="218">
        <v>1</v>
      </c>
      <c r="P19" s="218">
        <v>1</v>
      </c>
      <c r="Q19" s="218">
        <v>1</v>
      </c>
      <c r="R19" s="218" t="s">
        <v>265</v>
      </c>
      <c r="S19" s="218" t="s">
        <v>341</v>
      </c>
      <c r="T19" s="218" t="s">
        <v>318</v>
      </c>
      <c r="U19" s="219" t="s">
        <v>319</v>
      </c>
    </row>
    <row r="20" spans="1:21" ht="28" x14ac:dyDescent="0.15">
      <c r="A20" s="213">
        <v>60013</v>
      </c>
      <c r="B20" s="214" t="str">
        <f ca="1">VLOOKUP($A20,OFFSET([2]quests!$A$1,0,0,COUNTA([2]quests!$A:$A),MATCH(B$1,[2]quests!$1:$1,0)-MATCH($A$1,[2]quests!$1:$1,0)+1),MATCH(B$1,[2]quests!$1:$1,0)-MATCH($A$1,[2]quests!$1:$1,0)+1,FALSE)</f>
        <v>オイラーチャレンジ</v>
      </c>
      <c r="C20" s="214" t="str">
        <f ca="1">VLOOKUP($A20,OFFSET([2]quests!$A$1,0,0,COUNTA([2]quests!$A:$A),MATCH(C$1,[2]quests!$1:$1,0)-MATCH($A$1,[2]quests!$1:$1,0)+1),MATCH(C$1,[2]quests!$1:$1,0)-MATCH($A$1,[2]quests!$1:$1,0)+1,FALSE)</f>
        <v>ランキング1（再開催版）</v>
      </c>
      <c r="D20" s="213">
        <v>4</v>
      </c>
      <c r="E20" s="215">
        <v>5</v>
      </c>
      <c r="F20" s="216" t="str">
        <f t="shared" si="1"/>
        <v>600130005</v>
      </c>
      <c r="G20" s="217" t="str">
        <f>F20&amp;TEXT(COUNTIF(F$2:F20,F20),"00")</f>
        <v>60013000501</v>
      </c>
      <c r="H20" s="218" t="s">
        <v>317</v>
      </c>
      <c r="I20" s="218">
        <v>600</v>
      </c>
      <c r="J20" s="218">
        <v>2</v>
      </c>
      <c r="K20" s="218">
        <v>0</v>
      </c>
      <c r="L20" s="218">
        <v>0</v>
      </c>
      <c r="M20" s="218">
        <v>0</v>
      </c>
      <c r="N20" s="218">
        <v>0</v>
      </c>
      <c r="O20" s="218">
        <v>1</v>
      </c>
      <c r="P20" s="218">
        <v>1</v>
      </c>
      <c r="Q20" s="218">
        <v>1</v>
      </c>
      <c r="R20" s="218" t="s">
        <v>265</v>
      </c>
      <c r="S20" s="311" t="s">
        <v>457</v>
      </c>
      <c r="T20" s="218" t="s">
        <v>318</v>
      </c>
      <c r="U20" s="219" t="s">
        <v>319</v>
      </c>
    </row>
    <row r="21" spans="1:21" ht="28" x14ac:dyDescent="0.15">
      <c r="A21" s="213">
        <v>60013</v>
      </c>
      <c r="B21" s="214" t="str">
        <f ca="1">VLOOKUP($A21,OFFSET([2]quests!$A$1,0,0,COUNTA([2]quests!$A:$A),MATCH(B$1,[2]quests!$1:$1,0)-MATCH($A$1,[2]quests!$1:$1,0)+1),MATCH(B$1,[2]quests!$1:$1,0)-MATCH($A$1,[2]quests!$1:$1,0)+1,FALSE)</f>
        <v>オイラーチャレンジ</v>
      </c>
      <c r="C21" s="214" t="str">
        <f ca="1">VLOOKUP($A21,OFFSET([2]quests!$A$1,0,0,COUNTA([2]quests!$A:$A),MATCH(C$1,[2]quests!$1:$1,0)-MATCH($A$1,[2]quests!$1:$1,0)+1),MATCH(C$1,[2]quests!$1:$1,0)-MATCH($A$1,[2]quests!$1:$1,0)+1,FALSE)</f>
        <v>ランキング1（再開催版）</v>
      </c>
      <c r="D21" s="213">
        <v>4</v>
      </c>
      <c r="E21" s="215">
        <v>5</v>
      </c>
      <c r="F21" s="216" t="str">
        <f t="shared" si="1"/>
        <v>600130005</v>
      </c>
      <c r="G21" s="217" t="str">
        <f>F21&amp;TEXT(COUNTIF(F$2:F21,F21),"00")</f>
        <v>60013000502</v>
      </c>
      <c r="H21" s="218" t="s">
        <v>333</v>
      </c>
      <c r="I21" s="218">
        <v>335</v>
      </c>
      <c r="J21" s="218">
        <v>1</v>
      </c>
      <c r="K21" s="218">
        <v>0</v>
      </c>
      <c r="L21" s="218">
        <v>0</v>
      </c>
      <c r="M21" s="218">
        <v>0</v>
      </c>
      <c r="N21" s="218">
        <v>0</v>
      </c>
      <c r="O21" s="218">
        <v>1</v>
      </c>
      <c r="P21" s="218">
        <v>1</v>
      </c>
      <c r="Q21" s="218">
        <v>1</v>
      </c>
      <c r="R21" s="218" t="s">
        <v>265</v>
      </c>
      <c r="S21" s="218" t="s">
        <v>336</v>
      </c>
      <c r="T21" s="218" t="s">
        <v>318</v>
      </c>
      <c r="U21" s="219" t="s">
        <v>319</v>
      </c>
    </row>
    <row r="22" spans="1:21" ht="28" x14ac:dyDescent="0.15">
      <c r="A22" s="213">
        <v>60013</v>
      </c>
      <c r="B22" s="214" t="str">
        <f ca="1">VLOOKUP($A22,OFFSET([2]quests!$A$1,0,0,COUNTA([2]quests!$A:$A),MATCH(B$1,[2]quests!$1:$1,0)-MATCH($A$1,[2]quests!$1:$1,0)+1),MATCH(B$1,[2]quests!$1:$1,0)-MATCH($A$1,[2]quests!$1:$1,0)+1,FALSE)</f>
        <v>オイラーチャレンジ</v>
      </c>
      <c r="C22" s="214" t="str">
        <f ca="1">VLOOKUP($A22,OFFSET([2]quests!$A$1,0,0,COUNTA([2]quests!$A:$A),MATCH(C$1,[2]quests!$1:$1,0)-MATCH($A$1,[2]quests!$1:$1,0)+1),MATCH(C$1,[2]quests!$1:$1,0)-MATCH($A$1,[2]quests!$1:$1,0)+1,FALSE)</f>
        <v>ランキング1（再開催版）</v>
      </c>
      <c r="D22" s="213">
        <v>4</v>
      </c>
      <c r="E22" s="215">
        <v>5</v>
      </c>
      <c r="F22" s="216" t="str">
        <f t="shared" si="1"/>
        <v>600130005</v>
      </c>
      <c r="G22" s="217" t="str">
        <f>F22&amp;TEXT(COUNTIF(F$2:F22,F22),"00")</f>
        <v>60013000503</v>
      </c>
      <c r="H22" s="218" t="s">
        <v>333</v>
      </c>
      <c r="I22" s="218">
        <v>339</v>
      </c>
      <c r="J22" s="218">
        <v>1</v>
      </c>
      <c r="K22" s="218">
        <v>0</v>
      </c>
      <c r="L22" s="218">
        <v>0</v>
      </c>
      <c r="M22" s="218">
        <v>0</v>
      </c>
      <c r="N22" s="218">
        <v>0</v>
      </c>
      <c r="O22" s="218">
        <v>1</v>
      </c>
      <c r="P22" s="218">
        <v>1</v>
      </c>
      <c r="Q22" s="218">
        <v>1</v>
      </c>
      <c r="R22" s="218" t="s">
        <v>265</v>
      </c>
      <c r="S22" s="218" t="s">
        <v>337</v>
      </c>
      <c r="T22" s="218" t="s">
        <v>318</v>
      </c>
      <c r="U22" s="219" t="s">
        <v>319</v>
      </c>
    </row>
    <row r="23" spans="1:21" ht="28" x14ac:dyDescent="0.15">
      <c r="A23" s="213">
        <v>60013</v>
      </c>
      <c r="B23" s="214" t="str">
        <f ca="1">VLOOKUP($A23,OFFSET([2]quests!$A$1,0,0,COUNTA([2]quests!$A:$A),MATCH(B$1,[2]quests!$1:$1,0)-MATCH($A$1,[2]quests!$1:$1,0)+1),MATCH(B$1,[2]quests!$1:$1,0)-MATCH($A$1,[2]quests!$1:$1,0)+1,FALSE)</f>
        <v>オイラーチャレンジ</v>
      </c>
      <c r="C23" s="214" t="str">
        <f ca="1">VLOOKUP($A23,OFFSET([2]quests!$A$1,0,0,COUNTA([2]quests!$A:$A),MATCH(C$1,[2]quests!$1:$1,0)-MATCH($A$1,[2]quests!$1:$1,0)+1),MATCH(C$1,[2]quests!$1:$1,0)-MATCH($A$1,[2]quests!$1:$1,0)+1,FALSE)</f>
        <v>ランキング1（再開催版）</v>
      </c>
      <c r="D23" s="213">
        <v>4</v>
      </c>
      <c r="E23" s="215">
        <v>5</v>
      </c>
      <c r="F23" s="216" t="str">
        <f t="shared" si="1"/>
        <v>600130005</v>
      </c>
      <c r="G23" s="217" t="str">
        <f>F23&amp;TEXT(COUNTIF(F$2:F23,F23),"00")</f>
        <v>60013000504</v>
      </c>
      <c r="H23" s="218" t="s">
        <v>333</v>
      </c>
      <c r="I23" s="218">
        <v>343</v>
      </c>
      <c r="J23" s="218">
        <v>1</v>
      </c>
      <c r="K23" s="218">
        <v>0</v>
      </c>
      <c r="L23" s="218">
        <v>0</v>
      </c>
      <c r="M23" s="218">
        <v>0</v>
      </c>
      <c r="N23" s="218">
        <v>0</v>
      </c>
      <c r="O23" s="218">
        <v>1</v>
      </c>
      <c r="P23" s="218">
        <v>1</v>
      </c>
      <c r="Q23" s="218">
        <v>1</v>
      </c>
      <c r="R23" s="218" t="s">
        <v>265</v>
      </c>
      <c r="S23" s="218" t="s">
        <v>338</v>
      </c>
      <c r="T23" s="218" t="s">
        <v>318</v>
      </c>
      <c r="U23" s="219" t="s">
        <v>319</v>
      </c>
    </row>
    <row r="24" spans="1:21" ht="28" x14ac:dyDescent="0.15">
      <c r="A24" s="213">
        <v>60013</v>
      </c>
      <c r="B24" s="214" t="str">
        <f ca="1">VLOOKUP($A24,OFFSET([2]quests!$A$1,0,0,COUNTA([2]quests!$A:$A),MATCH(B$1,[2]quests!$1:$1,0)-MATCH($A$1,[2]quests!$1:$1,0)+1),MATCH(B$1,[2]quests!$1:$1,0)-MATCH($A$1,[2]quests!$1:$1,0)+1,FALSE)</f>
        <v>オイラーチャレンジ</v>
      </c>
      <c r="C24" s="214" t="str">
        <f ca="1">VLOOKUP($A24,OFFSET([2]quests!$A$1,0,0,COUNTA([2]quests!$A:$A),MATCH(C$1,[2]quests!$1:$1,0)-MATCH($A$1,[2]quests!$1:$1,0)+1),MATCH(C$1,[2]quests!$1:$1,0)-MATCH($A$1,[2]quests!$1:$1,0)+1,FALSE)</f>
        <v>ランキング1（再開催版）</v>
      </c>
      <c r="D24" s="213">
        <v>4</v>
      </c>
      <c r="E24" s="215">
        <v>5</v>
      </c>
      <c r="F24" s="216" t="str">
        <f t="shared" si="1"/>
        <v>600130005</v>
      </c>
      <c r="G24" s="217" t="str">
        <f>F24&amp;TEXT(COUNTIF(F$2:F24,F24),"00")</f>
        <v>60013000505</v>
      </c>
      <c r="H24" s="218" t="s">
        <v>333</v>
      </c>
      <c r="I24" s="218">
        <v>347</v>
      </c>
      <c r="J24" s="218">
        <v>1</v>
      </c>
      <c r="K24" s="218">
        <v>0</v>
      </c>
      <c r="L24" s="218">
        <v>0</v>
      </c>
      <c r="M24" s="218">
        <v>0</v>
      </c>
      <c r="N24" s="218">
        <v>0</v>
      </c>
      <c r="O24" s="218">
        <v>1</v>
      </c>
      <c r="P24" s="218">
        <v>1</v>
      </c>
      <c r="Q24" s="218">
        <v>1</v>
      </c>
      <c r="R24" s="218" t="s">
        <v>265</v>
      </c>
      <c r="S24" s="218" t="s">
        <v>339</v>
      </c>
      <c r="T24" s="218" t="s">
        <v>318</v>
      </c>
      <c r="U24" s="219" t="s">
        <v>319</v>
      </c>
    </row>
    <row r="25" spans="1:21" ht="28" x14ac:dyDescent="0.15">
      <c r="A25" s="213">
        <v>60013</v>
      </c>
      <c r="B25" s="214" t="str">
        <f ca="1">VLOOKUP($A25,OFFSET([2]quests!$A$1,0,0,COUNTA([2]quests!$A:$A),MATCH(B$1,[2]quests!$1:$1,0)-MATCH($A$1,[2]quests!$1:$1,0)+1),MATCH(B$1,[2]quests!$1:$1,0)-MATCH($A$1,[2]quests!$1:$1,0)+1,FALSE)</f>
        <v>オイラーチャレンジ</v>
      </c>
      <c r="C25" s="214" t="str">
        <f ca="1">VLOOKUP($A25,OFFSET([2]quests!$A$1,0,0,COUNTA([2]quests!$A:$A),MATCH(C$1,[2]quests!$1:$1,0)-MATCH($A$1,[2]quests!$1:$1,0)+1),MATCH(C$1,[2]quests!$1:$1,0)-MATCH($A$1,[2]quests!$1:$1,0)+1,FALSE)</f>
        <v>ランキング1（再開催版）</v>
      </c>
      <c r="D25" s="213">
        <v>4</v>
      </c>
      <c r="E25" s="215">
        <v>5</v>
      </c>
      <c r="F25" s="216" t="str">
        <f t="shared" si="1"/>
        <v>600130005</v>
      </c>
      <c r="G25" s="217" t="str">
        <f>F25&amp;TEXT(COUNTIF(F$2:F25,F25),"00")</f>
        <v>60013000506</v>
      </c>
      <c r="H25" s="218" t="s">
        <v>331</v>
      </c>
      <c r="I25" s="218">
        <v>5</v>
      </c>
      <c r="J25" s="218" t="s">
        <v>165</v>
      </c>
      <c r="K25" s="218">
        <v>0</v>
      </c>
      <c r="L25" s="218">
        <v>0</v>
      </c>
      <c r="M25" s="218">
        <v>0</v>
      </c>
      <c r="N25" s="218">
        <v>0</v>
      </c>
      <c r="O25" s="218">
        <v>1</v>
      </c>
      <c r="P25" s="218">
        <v>1</v>
      </c>
      <c r="Q25" s="218">
        <v>1</v>
      </c>
      <c r="R25" s="218" t="s">
        <v>265</v>
      </c>
      <c r="S25" s="218" t="s">
        <v>332</v>
      </c>
      <c r="T25" s="218" t="s">
        <v>318</v>
      </c>
      <c r="U25" s="219" t="s">
        <v>319</v>
      </c>
    </row>
    <row r="26" spans="1:21" ht="28" x14ac:dyDescent="0.15">
      <c r="A26" s="213">
        <v>60013</v>
      </c>
      <c r="B26" s="214" t="str">
        <f ca="1">VLOOKUP($A26,OFFSET([2]quests!$A$1,0,0,COUNTA([2]quests!$A:$A),MATCH(B$1,[2]quests!$1:$1,0)-MATCH($A$1,[2]quests!$1:$1,0)+1),MATCH(B$1,[2]quests!$1:$1,0)-MATCH($A$1,[2]quests!$1:$1,0)+1,FALSE)</f>
        <v>オイラーチャレンジ</v>
      </c>
      <c r="C26" s="214" t="str">
        <f ca="1">VLOOKUP($A26,OFFSET([2]quests!$A$1,0,0,COUNTA([2]quests!$A:$A),MATCH(C$1,[2]quests!$1:$1,0)-MATCH($A$1,[2]quests!$1:$1,0)+1),MATCH(C$1,[2]quests!$1:$1,0)-MATCH($A$1,[2]quests!$1:$1,0)+1,FALSE)</f>
        <v>ランキング1（再開催版）</v>
      </c>
      <c r="D26" s="213">
        <v>4</v>
      </c>
      <c r="E26" s="215">
        <v>5</v>
      </c>
      <c r="F26" s="216" t="str">
        <f t="shared" si="1"/>
        <v>600130005</v>
      </c>
      <c r="G26" s="217" t="str">
        <f>F26&amp;TEXT(COUNTIF(F$2:F26,F26),"00")</f>
        <v>60013000507</v>
      </c>
      <c r="H26" s="218" t="s">
        <v>342</v>
      </c>
      <c r="I26" s="218">
        <v>2000</v>
      </c>
      <c r="J26" s="218" t="s">
        <v>165</v>
      </c>
      <c r="K26" s="218">
        <v>0</v>
      </c>
      <c r="L26" s="218">
        <v>0</v>
      </c>
      <c r="M26" s="218">
        <v>0</v>
      </c>
      <c r="N26" s="218">
        <v>0</v>
      </c>
      <c r="O26" s="218">
        <v>1</v>
      </c>
      <c r="P26" s="218">
        <v>1</v>
      </c>
      <c r="Q26" s="218">
        <v>1</v>
      </c>
      <c r="R26" s="218" t="s">
        <v>265</v>
      </c>
      <c r="S26" s="218" t="s">
        <v>343</v>
      </c>
      <c r="T26" s="218" t="s">
        <v>318</v>
      </c>
      <c r="U26" s="219" t="s">
        <v>319</v>
      </c>
    </row>
    <row r="27" spans="1:21" ht="28" x14ac:dyDescent="0.15">
      <c r="A27" s="213">
        <v>60013</v>
      </c>
      <c r="B27" s="214" t="str">
        <f ca="1">VLOOKUP($A27,OFFSET([2]quests!$A$1,0,0,COUNTA([2]quests!$A:$A),MATCH(B$1,[2]quests!$1:$1,0)-MATCH($A$1,[2]quests!$1:$1,0)+1),MATCH(B$1,[2]quests!$1:$1,0)-MATCH($A$1,[2]quests!$1:$1,0)+1,FALSE)</f>
        <v>オイラーチャレンジ</v>
      </c>
      <c r="C27" s="214" t="str">
        <f ca="1">VLOOKUP($A27,OFFSET([2]quests!$A$1,0,0,COUNTA([2]quests!$A:$A),MATCH(C$1,[2]quests!$1:$1,0)-MATCH($A$1,[2]quests!$1:$1,0)+1),MATCH(C$1,[2]quests!$1:$1,0)-MATCH($A$1,[2]quests!$1:$1,0)+1,FALSE)</f>
        <v>ランキング1（再開催版）</v>
      </c>
      <c r="D27" s="213">
        <v>6</v>
      </c>
      <c r="E27" s="215">
        <v>10</v>
      </c>
      <c r="F27" s="216" t="str">
        <f>A27&amp;TEXT(E27,"0000")</f>
        <v>600130010</v>
      </c>
      <c r="G27" s="217" t="str">
        <f>F27&amp;TEXT(COUNTIF(F$2:F27,F27),"00")</f>
        <v>60013001001</v>
      </c>
      <c r="H27" s="218" t="s">
        <v>317</v>
      </c>
      <c r="I27" s="218">
        <v>600</v>
      </c>
      <c r="J27" s="218">
        <v>1</v>
      </c>
      <c r="K27" s="218">
        <v>0</v>
      </c>
      <c r="L27" s="218">
        <v>0</v>
      </c>
      <c r="M27" s="218">
        <v>0</v>
      </c>
      <c r="N27" s="218">
        <v>0</v>
      </c>
      <c r="O27" s="218">
        <v>1</v>
      </c>
      <c r="P27" s="218">
        <v>1</v>
      </c>
      <c r="Q27" s="218">
        <v>1</v>
      </c>
      <c r="R27" s="218" t="s">
        <v>265</v>
      </c>
      <c r="S27" s="312" t="s">
        <v>461</v>
      </c>
      <c r="T27" s="218" t="s">
        <v>318</v>
      </c>
      <c r="U27" s="219" t="s">
        <v>319</v>
      </c>
    </row>
    <row r="28" spans="1:21" ht="28" x14ac:dyDescent="0.15">
      <c r="A28" s="213">
        <v>60013</v>
      </c>
      <c r="B28" s="214" t="str">
        <f ca="1">VLOOKUP($A28,OFFSET([2]quests!$A$1,0,0,COUNTA([2]quests!$A:$A),MATCH(B$1,[2]quests!$1:$1,0)-MATCH($A$1,[2]quests!$1:$1,0)+1),MATCH(B$1,[2]quests!$1:$1,0)-MATCH($A$1,[2]quests!$1:$1,0)+1,FALSE)</f>
        <v>オイラーチャレンジ</v>
      </c>
      <c r="C28" s="214" t="str">
        <f ca="1">VLOOKUP($A28,OFFSET([2]quests!$A$1,0,0,COUNTA([2]quests!$A:$A),MATCH(C$1,[2]quests!$1:$1,0)-MATCH($A$1,[2]quests!$1:$1,0)+1),MATCH(C$1,[2]quests!$1:$1,0)-MATCH($A$1,[2]quests!$1:$1,0)+1,FALSE)</f>
        <v>ランキング1（再開催版）</v>
      </c>
      <c r="D28" s="213">
        <v>6</v>
      </c>
      <c r="E28" s="215">
        <v>10</v>
      </c>
      <c r="F28" s="216" t="str">
        <f t="shared" ref="F28:F42" si="2">A28&amp;TEXT(E28,"0000")</f>
        <v>600130010</v>
      </c>
      <c r="G28" s="217" t="str">
        <f>F28&amp;TEXT(COUNTIF(F$2:F28,F28),"00")</f>
        <v>60013001002</v>
      </c>
      <c r="H28" s="218" t="s">
        <v>333</v>
      </c>
      <c r="I28" s="218">
        <v>334</v>
      </c>
      <c r="J28" s="218">
        <v>1</v>
      </c>
      <c r="K28" s="218">
        <v>0</v>
      </c>
      <c r="L28" s="218">
        <v>0</v>
      </c>
      <c r="M28" s="218">
        <v>0</v>
      </c>
      <c r="N28" s="218">
        <v>0</v>
      </c>
      <c r="O28" s="218">
        <v>1</v>
      </c>
      <c r="P28" s="218">
        <v>1</v>
      </c>
      <c r="Q28" s="218">
        <v>1</v>
      </c>
      <c r="R28" s="218" t="s">
        <v>265</v>
      </c>
      <c r="S28" s="218" t="s">
        <v>344</v>
      </c>
      <c r="T28" s="218" t="s">
        <v>318</v>
      </c>
      <c r="U28" s="219" t="s">
        <v>319</v>
      </c>
    </row>
    <row r="29" spans="1:21" ht="28" x14ac:dyDescent="0.15">
      <c r="A29" s="213">
        <v>60013</v>
      </c>
      <c r="B29" s="214" t="str">
        <f ca="1">VLOOKUP($A29,OFFSET([2]quests!$A$1,0,0,COUNTA([2]quests!$A:$A),MATCH(B$1,[2]quests!$1:$1,0)-MATCH($A$1,[2]quests!$1:$1,0)+1),MATCH(B$1,[2]quests!$1:$1,0)-MATCH($A$1,[2]quests!$1:$1,0)+1,FALSE)</f>
        <v>オイラーチャレンジ</v>
      </c>
      <c r="C29" s="214" t="str">
        <f ca="1">VLOOKUP($A29,OFFSET([2]quests!$A$1,0,0,COUNTA([2]quests!$A:$A),MATCH(C$1,[2]quests!$1:$1,0)-MATCH($A$1,[2]quests!$1:$1,0)+1),MATCH(C$1,[2]quests!$1:$1,0)-MATCH($A$1,[2]quests!$1:$1,0)+1,FALSE)</f>
        <v>ランキング1（再開催版）</v>
      </c>
      <c r="D29" s="213">
        <v>6</v>
      </c>
      <c r="E29" s="215">
        <v>10</v>
      </c>
      <c r="F29" s="216" t="str">
        <f t="shared" si="2"/>
        <v>600130010</v>
      </c>
      <c r="G29" s="217" t="str">
        <f>F29&amp;TEXT(COUNTIF(F$2:F29,F29),"00")</f>
        <v>60013001003</v>
      </c>
      <c r="H29" s="218" t="s">
        <v>333</v>
      </c>
      <c r="I29" s="218">
        <v>338</v>
      </c>
      <c r="J29" s="218">
        <v>1</v>
      </c>
      <c r="K29" s="218">
        <v>0</v>
      </c>
      <c r="L29" s="218">
        <v>0</v>
      </c>
      <c r="M29" s="218">
        <v>0</v>
      </c>
      <c r="N29" s="218">
        <v>0</v>
      </c>
      <c r="O29" s="218">
        <v>1</v>
      </c>
      <c r="P29" s="218">
        <v>1</v>
      </c>
      <c r="Q29" s="218">
        <v>1</v>
      </c>
      <c r="R29" s="218" t="s">
        <v>265</v>
      </c>
      <c r="S29" s="218" t="s">
        <v>345</v>
      </c>
      <c r="T29" s="218" t="s">
        <v>318</v>
      </c>
      <c r="U29" s="219" t="s">
        <v>319</v>
      </c>
    </row>
    <row r="30" spans="1:21" ht="28" x14ac:dyDescent="0.15">
      <c r="A30" s="213">
        <v>60013</v>
      </c>
      <c r="B30" s="214" t="str">
        <f ca="1">VLOOKUP($A30,OFFSET([2]quests!$A$1,0,0,COUNTA([2]quests!$A:$A),MATCH(B$1,[2]quests!$1:$1,0)-MATCH($A$1,[2]quests!$1:$1,0)+1),MATCH(B$1,[2]quests!$1:$1,0)-MATCH($A$1,[2]quests!$1:$1,0)+1,FALSE)</f>
        <v>オイラーチャレンジ</v>
      </c>
      <c r="C30" s="214" t="str">
        <f ca="1">VLOOKUP($A30,OFFSET([2]quests!$A$1,0,0,COUNTA([2]quests!$A:$A),MATCH(C$1,[2]quests!$1:$1,0)-MATCH($A$1,[2]quests!$1:$1,0)+1),MATCH(C$1,[2]quests!$1:$1,0)-MATCH($A$1,[2]quests!$1:$1,0)+1,FALSE)</f>
        <v>ランキング1（再開催版）</v>
      </c>
      <c r="D30" s="213">
        <v>6</v>
      </c>
      <c r="E30" s="215">
        <v>10</v>
      </c>
      <c r="F30" s="216" t="str">
        <f t="shared" si="2"/>
        <v>600130010</v>
      </c>
      <c r="G30" s="217" t="str">
        <f>F30&amp;TEXT(COUNTIF(F$2:F30,F30),"00")</f>
        <v>60013001004</v>
      </c>
      <c r="H30" s="218" t="s">
        <v>333</v>
      </c>
      <c r="I30" s="218">
        <v>342</v>
      </c>
      <c r="J30" s="218">
        <v>1</v>
      </c>
      <c r="K30" s="218">
        <v>0</v>
      </c>
      <c r="L30" s="218">
        <v>0</v>
      </c>
      <c r="M30" s="218">
        <v>0</v>
      </c>
      <c r="N30" s="218">
        <v>0</v>
      </c>
      <c r="O30" s="218">
        <v>1</v>
      </c>
      <c r="P30" s="218">
        <v>1</v>
      </c>
      <c r="Q30" s="218">
        <v>1</v>
      </c>
      <c r="R30" s="218" t="s">
        <v>265</v>
      </c>
      <c r="S30" s="218" t="s">
        <v>346</v>
      </c>
      <c r="T30" s="218" t="s">
        <v>318</v>
      </c>
      <c r="U30" s="219" t="s">
        <v>319</v>
      </c>
    </row>
    <row r="31" spans="1:21" ht="28" x14ac:dyDescent="0.15">
      <c r="A31" s="213">
        <v>60013</v>
      </c>
      <c r="B31" s="214" t="str">
        <f ca="1">VLOOKUP($A31,OFFSET([2]quests!$A$1,0,0,COUNTA([2]quests!$A:$A),MATCH(B$1,[2]quests!$1:$1,0)-MATCH($A$1,[2]quests!$1:$1,0)+1),MATCH(B$1,[2]quests!$1:$1,0)-MATCH($A$1,[2]quests!$1:$1,0)+1,FALSE)</f>
        <v>オイラーチャレンジ</v>
      </c>
      <c r="C31" s="214" t="str">
        <f ca="1">VLOOKUP($A31,OFFSET([2]quests!$A$1,0,0,COUNTA([2]quests!$A:$A),MATCH(C$1,[2]quests!$1:$1,0)-MATCH($A$1,[2]quests!$1:$1,0)+1),MATCH(C$1,[2]quests!$1:$1,0)-MATCH($A$1,[2]quests!$1:$1,0)+1,FALSE)</f>
        <v>ランキング1（再開催版）</v>
      </c>
      <c r="D31" s="213">
        <v>6</v>
      </c>
      <c r="E31" s="215">
        <v>10</v>
      </c>
      <c r="F31" s="216" t="str">
        <f t="shared" si="2"/>
        <v>600130010</v>
      </c>
      <c r="G31" s="217" t="str">
        <f>F31&amp;TEXT(COUNTIF(F$2:F31,F31),"00")</f>
        <v>60013001005</v>
      </c>
      <c r="H31" s="218" t="s">
        <v>333</v>
      </c>
      <c r="I31" s="218">
        <v>346</v>
      </c>
      <c r="J31" s="218">
        <v>1</v>
      </c>
      <c r="K31" s="218">
        <v>0</v>
      </c>
      <c r="L31" s="218">
        <v>0</v>
      </c>
      <c r="M31" s="218">
        <v>0</v>
      </c>
      <c r="N31" s="218">
        <v>0</v>
      </c>
      <c r="O31" s="218">
        <v>1</v>
      </c>
      <c r="P31" s="218">
        <v>1</v>
      </c>
      <c r="Q31" s="218">
        <v>1</v>
      </c>
      <c r="R31" s="218" t="s">
        <v>265</v>
      </c>
      <c r="S31" s="218" t="s">
        <v>347</v>
      </c>
      <c r="T31" s="218" t="s">
        <v>318</v>
      </c>
      <c r="U31" s="219" t="s">
        <v>319</v>
      </c>
    </row>
    <row r="32" spans="1:21" ht="28" x14ac:dyDescent="0.15">
      <c r="A32" s="213">
        <v>60013</v>
      </c>
      <c r="B32" s="214" t="str">
        <f ca="1">VLOOKUP($A32,OFFSET([2]quests!$A$1,0,0,COUNTA([2]quests!$A:$A),MATCH(B$1,[2]quests!$1:$1,0)-MATCH($A$1,[2]quests!$1:$1,0)+1),MATCH(B$1,[2]quests!$1:$1,0)-MATCH($A$1,[2]quests!$1:$1,0)+1,FALSE)</f>
        <v>オイラーチャレンジ</v>
      </c>
      <c r="C32" s="214" t="str">
        <f ca="1">VLOOKUP($A32,OFFSET([2]quests!$A$1,0,0,COUNTA([2]quests!$A:$A),MATCH(C$1,[2]quests!$1:$1,0)-MATCH($A$1,[2]quests!$1:$1,0)+1),MATCH(C$1,[2]quests!$1:$1,0)-MATCH($A$1,[2]quests!$1:$1,0)+1,FALSE)</f>
        <v>ランキング1（再開催版）</v>
      </c>
      <c r="D32" s="213">
        <v>6</v>
      </c>
      <c r="E32" s="215">
        <v>10</v>
      </c>
      <c r="F32" s="216" t="str">
        <f t="shared" si="2"/>
        <v>600130010</v>
      </c>
      <c r="G32" s="217" t="str">
        <f>F32&amp;TEXT(COUNTIF(F$2:F32,F32),"00")</f>
        <v>60013001006</v>
      </c>
      <c r="H32" s="218" t="s">
        <v>331</v>
      </c>
      <c r="I32" s="218">
        <v>3</v>
      </c>
      <c r="J32" s="218" t="s">
        <v>165</v>
      </c>
      <c r="K32" s="218">
        <v>0</v>
      </c>
      <c r="L32" s="218">
        <v>0</v>
      </c>
      <c r="M32" s="218">
        <v>0</v>
      </c>
      <c r="N32" s="218">
        <v>0</v>
      </c>
      <c r="O32" s="218">
        <v>1</v>
      </c>
      <c r="P32" s="218">
        <v>1</v>
      </c>
      <c r="Q32" s="218">
        <v>1</v>
      </c>
      <c r="R32" s="218" t="s">
        <v>265</v>
      </c>
      <c r="S32" s="218" t="s">
        <v>348</v>
      </c>
      <c r="T32" s="218" t="s">
        <v>318</v>
      </c>
      <c r="U32" s="219" t="s">
        <v>319</v>
      </c>
    </row>
    <row r="33" spans="1:21" ht="28" x14ac:dyDescent="0.15">
      <c r="A33" s="213">
        <v>60013</v>
      </c>
      <c r="B33" s="214" t="str">
        <f ca="1">VLOOKUP($A33,OFFSET([2]quests!$A$1,0,0,COUNTA([2]quests!$A:$A),MATCH(B$1,[2]quests!$1:$1,0)-MATCH($A$1,[2]quests!$1:$1,0)+1),MATCH(B$1,[2]quests!$1:$1,0)-MATCH($A$1,[2]quests!$1:$1,0)+1,FALSE)</f>
        <v>オイラーチャレンジ</v>
      </c>
      <c r="C33" s="214" t="str">
        <f ca="1">VLOOKUP($A33,OFFSET([2]quests!$A$1,0,0,COUNTA([2]quests!$A:$A),MATCH(C$1,[2]quests!$1:$1,0)-MATCH($A$1,[2]quests!$1:$1,0)+1),MATCH(C$1,[2]quests!$1:$1,0)-MATCH($A$1,[2]quests!$1:$1,0)+1,FALSE)</f>
        <v>ランキング1（再開催版）</v>
      </c>
      <c r="D33" s="213">
        <v>6</v>
      </c>
      <c r="E33" s="215">
        <v>10</v>
      </c>
      <c r="F33" s="216" t="str">
        <f t="shared" si="2"/>
        <v>600130010</v>
      </c>
      <c r="G33" s="217" t="str">
        <f>F33&amp;TEXT(COUNTIF(F$2:F33,F33),"00")</f>
        <v>60013001007</v>
      </c>
      <c r="H33" s="218" t="s">
        <v>342</v>
      </c>
      <c r="I33" s="218">
        <v>2000</v>
      </c>
      <c r="J33" s="218" t="s">
        <v>165</v>
      </c>
      <c r="K33" s="218">
        <v>0</v>
      </c>
      <c r="L33" s="218">
        <v>0</v>
      </c>
      <c r="M33" s="218">
        <v>0</v>
      </c>
      <c r="N33" s="218">
        <v>0</v>
      </c>
      <c r="O33" s="218">
        <v>1</v>
      </c>
      <c r="P33" s="218">
        <v>1</v>
      </c>
      <c r="Q33" s="218">
        <v>1</v>
      </c>
      <c r="R33" s="218" t="s">
        <v>265</v>
      </c>
      <c r="S33" s="218" t="s">
        <v>343</v>
      </c>
      <c r="T33" s="218" t="s">
        <v>318</v>
      </c>
      <c r="U33" s="219" t="s">
        <v>319</v>
      </c>
    </row>
    <row r="34" spans="1:21" ht="28" x14ac:dyDescent="0.15">
      <c r="A34" s="213">
        <v>60013</v>
      </c>
      <c r="B34" s="214" t="str">
        <f ca="1">VLOOKUP($A34,OFFSET([2]quests!$A$1,0,0,COUNTA([2]quests!$A:$A),MATCH(B$1,[2]quests!$1:$1,0)-MATCH($A$1,[2]quests!$1:$1,0)+1),MATCH(B$1,[2]quests!$1:$1,0)-MATCH($A$1,[2]quests!$1:$1,0)+1,FALSE)</f>
        <v>オイラーチャレンジ</v>
      </c>
      <c r="C34" s="214" t="str">
        <f ca="1">VLOOKUP($A34,OFFSET([2]quests!$A$1,0,0,COUNTA([2]quests!$A:$A),MATCH(C$1,[2]quests!$1:$1,0)-MATCH($A$1,[2]quests!$1:$1,0)+1),MATCH(C$1,[2]quests!$1:$1,0)-MATCH($A$1,[2]quests!$1:$1,0)+1,FALSE)</f>
        <v>ランキング1（再開催版）</v>
      </c>
      <c r="D34" s="213">
        <v>11</v>
      </c>
      <c r="E34" s="215">
        <v>25</v>
      </c>
      <c r="F34" s="216" t="str">
        <f t="shared" si="2"/>
        <v>600130025</v>
      </c>
      <c r="G34" s="217" t="str">
        <f>F34&amp;TEXT(COUNTIF(F$2:F34,F34),"00")</f>
        <v>60013002501</v>
      </c>
      <c r="H34" s="218" t="s">
        <v>331</v>
      </c>
      <c r="I34" s="218">
        <v>3</v>
      </c>
      <c r="J34" s="218" t="s">
        <v>165</v>
      </c>
      <c r="K34" s="218">
        <v>0</v>
      </c>
      <c r="L34" s="218">
        <v>0</v>
      </c>
      <c r="M34" s="218">
        <v>0</v>
      </c>
      <c r="N34" s="218">
        <v>0</v>
      </c>
      <c r="O34" s="218">
        <v>1</v>
      </c>
      <c r="P34" s="218">
        <v>1</v>
      </c>
      <c r="Q34" s="218">
        <v>1</v>
      </c>
      <c r="R34" s="218" t="s">
        <v>265</v>
      </c>
      <c r="S34" s="218" t="s">
        <v>348</v>
      </c>
      <c r="T34" s="218" t="s">
        <v>318</v>
      </c>
      <c r="U34" s="219" t="s">
        <v>319</v>
      </c>
    </row>
    <row r="35" spans="1:21" ht="28" x14ac:dyDescent="0.15">
      <c r="A35" s="213">
        <v>60013</v>
      </c>
      <c r="B35" s="214" t="str">
        <f ca="1">VLOOKUP($A35,OFFSET([2]quests!$A$1,0,0,COUNTA([2]quests!$A:$A),MATCH(B$1,[2]quests!$1:$1,0)-MATCH($A$1,[2]quests!$1:$1,0)+1),MATCH(B$1,[2]quests!$1:$1,0)-MATCH($A$1,[2]quests!$1:$1,0)+1,FALSE)</f>
        <v>オイラーチャレンジ</v>
      </c>
      <c r="C35" s="214" t="str">
        <f ca="1">VLOOKUP($A35,OFFSET([2]quests!$A$1,0,0,COUNTA([2]quests!$A:$A),MATCH(C$1,[2]quests!$1:$1,0)-MATCH($A$1,[2]quests!$1:$1,0)+1),MATCH(C$1,[2]quests!$1:$1,0)-MATCH($A$1,[2]quests!$1:$1,0)+1,FALSE)</f>
        <v>ランキング1（再開催版）</v>
      </c>
      <c r="D35" s="213">
        <v>11</v>
      </c>
      <c r="E35" s="215">
        <v>25</v>
      </c>
      <c r="F35" s="216" t="str">
        <f t="shared" si="2"/>
        <v>600130025</v>
      </c>
      <c r="G35" s="217" t="str">
        <f>F35&amp;TEXT(COUNTIF(F$2:F35,F35),"00")</f>
        <v>60013002502</v>
      </c>
      <c r="H35" s="218" t="s">
        <v>342</v>
      </c>
      <c r="I35" s="218">
        <v>2000</v>
      </c>
      <c r="J35" s="218" t="s">
        <v>165</v>
      </c>
      <c r="K35" s="218">
        <v>0</v>
      </c>
      <c r="L35" s="218">
        <v>0</v>
      </c>
      <c r="M35" s="218">
        <v>0</v>
      </c>
      <c r="N35" s="218">
        <v>0</v>
      </c>
      <c r="O35" s="218">
        <v>1</v>
      </c>
      <c r="P35" s="218">
        <v>1</v>
      </c>
      <c r="Q35" s="218">
        <v>1</v>
      </c>
      <c r="R35" s="218" t="s">
        <v>265</v>
      </c>
      <c r="S35" s="218" t="s">
        <v>343</v>
      </c>
      <c r="T35" s="218" t="s">
        <v>318</v>
      </c>
      <c r="U35" s="219" t="s">
        <v>319</v>
      </c>
    </row>
    <row r="36" spans="1:21" ht="28" x14ac:dyDescent="0.15">
      <c r="A36" s="213">
        <v>60013</v>
      </c>
      <c r="B36" s="214" t="str">
        <f ca="1">VLOOKUP($A36,OFFSET([2]quests!$A$1,0,0,COUNTA([2]quests!$A:$A),MATCH(B$1,[2]quests!$1:$1,0)-MATCH($A$1,[2]quests!$1:$1,0)+1),MATCH(B$1,[2]quests!$1:$1,0)-MATCH($A$1,[2]quests!$1:$1,0)+1,FALSE)</f>
        <v>オイラーチャレンジ</v>
      </c>
      <c r="C36" s="214" t="str">
        <f ca="1">VLOOKUP($A36,OFFSET([2]quests!$A$1,0,0,COUNTA([2]quests!$A:$A),MATCH(C$1,[2]quests!$1:$1,0)-MATCH($A$1,[2]quests!$1:$1,0)+1),MATCH(C$1,[2]quests!$1:$1,0)-MATCH($A$1,[2]quests!$1:$1,0)+1,FALSE)</f>
        <v>ランキング1（再開催版）</v>
      </c>
      <c r="D36" s="213">
        <v>11</v>
      </c>
      <c r="E36" s="215">
        <v>25</v>
      </c>
      <c r="F36" s="216" t="str">
        <f t="shared" si="2"/>
        <v>600130025</v>
      </c>
      <c r="G36" s="217" t="str">
        <f>F36&amp;TEXT(COUNTIF(F$2:F36,F36),"00")</f>
        <v>60013002503</v>
      </c>
      <c r="H36" s="218" t="s">
        <v>349</v>
      </c>
      <c r="I36" s="218">
        <v>200000</v>
      </c>
      <c r="J36" s="218" t="s">
        <v>165</v>
      </c>
      <c r="K36" s="218">
        <v>0</v>
      </c>
      <c r="L36" s="218">
        <v>0</v>
      </c>
      <c r="M36" s="218">
        <v>0</v>
      </c>
      <c r="N36" s="218">
        <v>0</v>
      </c>
      <c r="O36" s="218">
        <v>1</v>
      </c>
      <c r="P36" s="218">
        <v>1</v>
      </c>
      <c r="Q36" s="218">
        <v>1</v>
      </c>
      <c r="R36" s="218" t="s">
        <v>265</v>
      </c>
      <c r="S36" s="218" t="s">
        <v>350</v>
      </c>
      <c r="T36" s="218" t="s">
        <v>318</v>
      </c>
      <c r="U36" s="219" t="s">
        <v>319</v>
      </c>
    </row>
    <row r="37" spans="1:21" ht="28" x14ac:dyDescent="0.15">
      <c r="A37" s="213">
        <v>60013</v>
      </c>
      <c r="B37" s="214" t="str">
        <f ca="1">VLOOKUP($A37,OFFSET([2]quests!$A$1,0,0,COUNTA([2]quests!$A:$A),MATCH(B$1,[2]quests!$1:$1,0)-MATCH($A$1,[2]quests!$1:$1,0)+1),MATCH(B$1,[2]quests!$1:$1,0)-MATCH($A$1,[2]quests!$1:$1,0)+1,FALSE)</f>
        <v>オイラーチャレンジ</v>
      </c>
      <c r="C37" s="214" t="str">
        <f ca="1">VLOOKUP($A37,OFFSET([2]quests!$A$1,0,0,COUNTA([2]quests!$A:$A),MATCH(C$1,[2]quests!$1:$1,0)-MATCH($A$1,[2]quests!$1:$1,0)+1),MATCH(C$1,[2]quests!$1:$1,0)-MATCH($A$1,[2]quests!$1:$1,0)+1,FALSE)</f>
        <v>ランキング1（再開催版）</v>
      </c>
      <c r="D37" s="213">
        <v>26</v>
      </c>
      <c r="E37" s="215">
        <v>35</v>
      </c>
      <c r="F37" s="216" t="str">
        <f t="shared" si="2"/>
        <v>600130035</v>
      </c>
      <c r="G37" s="217" t="str">
        <f>F37&amp;TEXT(COUNTIF(F$2:F37,F37),"00")</f>
        <v>60013003501</v>
      </c>
      <c r="H37" s="218" t="s">
        <v>331</v>
      </c>
      <c r="I37" s="218">
        <v>2</v>
      </c>
      <c r="J37" s="218" t="s">
        <v>165</v>
      </c>
      <c r="K37" s="218">
        <v>0</v>
      </c>
      <c r="L37" s="218">
        <v>0</v>
      </c>
      <c r="M37" s="218">
        <v>0</v>
      </c>
      <c r="N37" s="218">
        <v>0</v>
      </c>
      <c r="O37" s="218">
        <v>1</v>
      </c>
      <c r="P37" s="218">
        <v>1</v>
      </c>
      <c r="Q37" s="218">
        <v>1</v>
      </c>
      <c r="R37" s="218" t="s">
        <v>265</v>
      </c>
      <c r="S37" s="218" t="s">
        <v>351</v>
      </c>
      <c r="T37" s="218" t="s">
        <v>318</v>
      </c>
      <c r="U37" s="219" t="s">
        <v>319</v>
      </c>
    </row>
    <row r="38" spans="1:21" ht="28" x14ac:dyDescent="0.15">
      <c r="A38" s="213">
        <v>60013</v>
      </c>
      <c r="B38" s="214" t="str">
        <f ca="1">VLOOKUP($A38,OFFSET([2]quests!$A$1,0,0,COUNTA([2]quests!$A:$A),MATCH(B$1,[2]quests!$1:$1,0)-MATCH($A$1,[2]quests!$1:$1,0)+1),MATCH(B$1,[2]quests!$1:$1,0)-MATCH($A$1,[2]quests!$1:$1,0)+1,FALSE)</f>
        <v>オイラーチャレンジ</v>
      </c>
      <c r="C38" s="214" t="str">
        <f ca="1">VLOOKUP($A38,OFFSET([2]quests!$A$1,0,0,COUNTA([2]quests!$A:$A),MATCH(C$1,[2]quests!$1:$1,0)-MATCH($A$1,[2]quests!$1:$1,0)+1),MATCH(C$1,[2]quests!$1:$1,0)-MATCH($A$1,[2]quests!$1:$1,0)+1,FALSE)</f>
        <v>ランキング1（再開催版）</v>
      </c>
      <c r="D38" s="213">
        <v>26</v>
      </c>
      <c r="E38" s="215">
        <v>35</v>
      </c>
      <c r="F38" s="216" t="str">
        <f t="shared" si="2"/>
        <v>600130035</v>
      </c>
      <c r="G38" s="217" t="str">
        <f>F38&amp;TEXT(COUNTIF(F$2:F38,F38),"00")</f>
        <v>60013003502</v>
      </c>
      <c r="H38" s="218" t="s">
        <v>342</v>
      </c>
      <c r="I38" s="218">
        <v>1000</v>
      </c>
      <c r="J38" s="218" t="s">
        <v>165</v>
      </c>
      <c r="K38" s="218">
        <v>0</v>
      </c>
      <c r="L38" s="218">
        <v>0</v>
      </c>
      <c r="M38" s="218">
        <v>0</v>
      </c>
      <c r="N38" s="218">
        <v>0</v>
      </c>
      <c r="O38" s="218">
        <v>1</v>
      </c>
      <c r="P38" s="218">
        <v>1</v>
      </c>
      <c r="Q38" s="218">
        <v>1</v>
      </c>
      <c r="R38" s="218" t="s">
        <v>265</v>
      </c>
      <c r="S38" s="218" t="s">
        <v>352</v>
      </c>
      <c r="T38" s="218" t="s">
        <v>318</v>
      </c>
      <c r="U38" s="219" t="s">
        <v>319</v>
      </c>
    </row>
    <row r="39" spans="1:21" ht="28" x14ac:dyDescent="0.15">
      <c r="A39" s="213">
        <v>60013</v>
      </c>
      <c r="B39" s="214" t="str">
        <f ca="1">VLOOKUP($A39,OFFSET([2]quests!$A$1,0,0,COUNTA([2]quests!$A:$A),MATCH(B$1,[2]quests!$1:$1,0)-MATCH($A$1,[2]quests!$1:$1,0)+1),MATCH(B$1,[2]quests!$1:$1,0)-MATCH($A$1,[2]quests!$1:$1,0)+1,FALSE)</f>
        <v>オイラーチャレンジ</v>
      </c>
      <c r="C39" s="214" t="str">
        <f ca="1">VLOOKUP($A39,OFFSET([2]quests!$A$1,0,0,COUNTA([2]quests!$A:$A),MATCH(C$1,[2]quests!$1:$1,0)-MATCH($A$1,[2]quests!$1:$1,0)+1),MATCH(C$1,[2]quests!$1:$1,0)-MATCH($A$1,[2]quests!$1:$1,0)+1,FALSE)</f>
        <v>ランキング1（再開催版）</v>
      </c>
      <c r="D39" s="213">
        <v>26</v>
      </c>
      <c r="E39" s="215">
        <v>35</v>
      </c>
      <c r="F39" s="216" t="str">
        <f t="shared" si="2"/>
        <v>600130035</v>
      </c>
      <c r="G39" s="217" t="str">
        <f>F39&amp;TEXT(COUNTIF(F$2:F39,F39),"00")</f>
        <v>60013003503</v>
      </c>
      <c r="H39" s="218" t="s">
        <v>349</v>
      </c>
      <c r="I39" s="218">
        <v>150000</v>
      </c>
      <c r="J39" s="218" t="s">
        <v>165</v>
      </c>
      <c r="K39" s="218">
        <v>0</v>
      </c>
      <c r="L39" s="218">
        <v>0</v>
      </c>
      <c r="M39" s="218">
        <v>0</v>
      </c>
      <c r="N39" s="218">
        <v>0</v>
      </c>
      <c r="O39" s="218">
        <v>1</v>
      </c>
      <c r="P39" s="218">
        <v>1</v>
      </c>
      <c r="Q39" s="218">
        <v>1</v>
      </c>
      <c r="R39" s="218" t="s">
        <v>265</v>
      </c>
      <c r="S39" s="218" t="s">
        <v>353</v>
      </c>
      <c r="T39" s="218" t="s">
        <v>318</v>
      </c>
      <c r="U39" s="219" t="s">
        <v>319</v>
      </c>
    </row>
    <row r="40" spans="1:21" ht="28" x14ac:dyDescent="0.15">
      <c r="A40" s="213">
        <v>60013</v>
      </c>
      <c r="B40" s="214" t="str">
        <f ca="1">VLOOKUP($A40,OFFSET([2]quests!$A$1,0,0,COUNTA([2]quests!$A:$A),MATCH(B$1,[2]quests!$1:$1,0)-MATCH($A$1,[2]quests!$1:$1,0)+1),MATCH(B$1,[2]quests!$1:$1,0)-MATCH($A$1,[2]quests!$1:$1,0)+1,FALSE)</f>
        <v>オイラーチャレンジ</v>
      </c>
      <c r="C40" s="214" t="str">
        <f ca="1">VLOOKUP($A40,OFFSET([2]quests!$A$1,0,0,COUNTA([2]quests!$A:$A),MATCH(C$1,[2]quests!$1:$1,0)-MATCH($A$1,[2]quests!$1:$1,0)+1),MATCH(C$1,[2]quests!$1:$1,0)-MATCH($A$1,[2]quests!$1:$1,0)+1,FALSE)</f>
        <v>ランキング1（再開催版）</v>
      </c>
      <c r="D40" s="213">
        <v>36</v>
      </c>
      <c r="E40" s="215">
        <v>1000</v>
      </c>
      <c r="F40" s="216" t="str">
        <f t="shared" si="2"/>
        <v>600131000</v>
      </c>
      <c r="G40" s="217" t="str">
        <f>F40&amp;TEXT(COUNTIF(F$2:F40,F40),"00")</f>
        <v>60013100001</v>
      </c>
      <c r="H40" s="218" t="s">
        <v>331</v>
      </c>
      <c r="I40" s="218">
        <v>1</v>
      </c>
      <c r="J40" s="218" t="s">
        <v>165</v>
      </c>
      <c r="K40" s="218">
        <v>0</v>
      </c>
      <c r="L40" s="218">
        <v>0</v>
      </c>
      <c r="M40" s="218">
        <v>0</v>
      </c>
      <c r="N40" s="218">
        <v>0</v>
      </c>
      <c r="O40" s="218">
        <v>1</v>
      </c>
      <c r="P40" s="218">
        <v>1</v>
      </c>
      <c r="Q40" s="218">
        <v>1</v>
      </c>
      <c r="R40" s="218" t="s">
        <v>265</v>
      </c>
      <c r="S40" s="218" t="s">
        <v>354</v>
      </c>
      <c r="T40" s="218" t="s">
        <v>318</v>
      </c>
      <c r="U40" s="219" t="s">
        <v>319</v>
      </c>
    </row>
    <row r="41" spans="1:21" ht="28" x14ac:dyDescent="0.15">
      <c r="A41" s="213">
        <v>60013</v>
      </c>
      <c r="B41" s="214" t="str">
        <f ca="1">VLOOKUP($A41,OFFSET([2]quests!$A$1,0,0,COUNTA([2]quests!$A:$A),MATCH(B$1,[2]quests!$1:$1,0)-MATCH($A$1,[2]quests!$1:$1,0)+1),MATCH(B$1,[2]quests!$1:$1,0)-MATCH($A$1,[2]quests!$1:$1,0)+1,FALSE)</f>
        <v>オイラーチャレンジ</v>
      </c>
      <c r="C41" s="214" t="str">
        <f ca="1">VLOOKUP($A41,OFFSET([2]quests!$A$1,0,0,COUNTA([2]quests!$A:$A),MATCH(C$1,[2]quests!$1:$1,0)-MATCH($A$1,[2]quests!$1:$1,0)+1),MATCH(C$1,[2]quests!$1:$1,0)-MATCH($A$1,[2]quests!$1:$1,0)+1,FALSE)</f>
        <v>ランキング1（再開催版）</v>
      </c>
      <c r="D41" s="213">
        <v>36</v>
      </c>
      <c r="E41" s="215">
        <v>1000</v>
      </c>
      <c r="F41" s="216" t="str">
        <f t="shared" si="2"/>
        <v>600131000</v>
      </c>
      <c r="G41" s="217" t="str">
        <f>F41&amp;TEXT(COUNTIF(F$2:F41,F41),"00")</f>
        <v>60013100002</v>
      </c>
      <c r="H41" s="218" t="s">
        <v>342</v>
      </c>
      <c r="I41" s="218">
        <v>1000</v>
      </c>
      <c r="J41" s="218" t="s">
        <v>165</v>
      </c>
      <c r="K41" s="218">
        <v>0</v>
      </c>
      <c r="L41" s="218">
        <v>0</v>
      </c>
      <c r="M41" s="218">
        <v>0</v>
      </c>
      <c r="N41" s="218">
        <v>0</v>
      </c>
      <c r="O41" s="218">
        <v>1</v>
      </c>
      <c r="P41" s="218">
        <v>1</v>
      </c>
      <c r="Q41" s="218">
        <v>1</v>
      </c>
      <c r="R41" s="218" t="s">
        <v>265</v>
      </c>
      <c r="S41" s="218" t="s">
        <v>352</v>
      </c>
      <c r="T41" s="218" t="s">
        <v>318</v>
      </c>
      <c r="U41" s="219" t="s">
        <v>319</v>
      </c>
    </row>
    <row r="42" spans="1:21" ht="28" x14ac:dyDescent="0.15">
      <c r="A42" s="213">
        <v>60013</v>
      </c>
      <c r="B42" s="214" t="str">
        <f ca="1">VLOOKUP($A42,OFFSET([2]quests!$A$1,0,0,COUNTA([2]quests!$A:$A),MATCH(B$1,[2]quests!$1:$1,0)-MATCH($A$1,[2]quests!$1:$1,0)+1),MATCH(B$1,[2]quests!$1:$1,0)-MATCH($A$1,[2]quests!$1:$1,0)+1,FALSE)</f>
        <v>オイラーチャレンジ</v>
      </c>
      <c r="C42" s="214" t="str">
        <f ca="1">VLOOKUP($A42,OFFSET([2]quests!$A$1,0,0,COUNTA([2]quests!$A:$A),MATCH(C$1,[2]quests!$1:$1,0)-MATCH($A$1,[2]quests!$1:$1,0)+1),MATCH(C$1,[2]quests!$1:$1,0)-MATCH($A$1,[2]quests!$1:$1,0)+1,FALSE)</f>
        <v>ランキング1（再開催版）</v>
      </c>
      <c r="D42" s="213">
        <v>36</v>
      </c>
      <c r="E42" s="215">
        <v>1000</v>
      </c>
      <c r="F42" s="216" t="str">
        <f t="shared" si="2"/>
        <v>600131000</v>
      </c>
      <c r="G42" s="217" t="str">
        <f>F42&amp;TEXT(COUNTIF(F$2:F42,F42),"00")</f>
        <v>60013100003</v>
      </c>
      <c r="H42" s="218" t="s">
        <v>349</v>
      </c>
      <c r="I42" s="218">
        <v>100000</v>
      </c>
      <c r="J42" s="218" t="s">
        <v>165</v>
      </c>
      <c r="K42" s="218">
        <v>0</v>
      </c>
      <c r="L42" s="218">
        <v>0</v>
      </c>
      <c r="M42" s="218">
        <v>0</v>
      </c>
      <c r="N42" s="218">
        <v>0</v>
      </c>
      <c r="O42" s="218">
        <v>1</v>
      </c>
      <c r="P42" s="218">
        <v>1</v>
      </c>
      <c r="Q42" s="218">
        <v>1</v>
      </c>
      <c r="R42" s="218" t="s">
        <v>265</v>
      </c>
      <c r="S42" s="218" t="s">
        <v>355</v>
      </c>
      <c r="T42" s="218" t="s">
        <v>318</v>
      </c>
      <c r="U42" s="219" t="s">
        <v>319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BG32"/>
  <sheetViews>
    <sheetView showGridLines="0" zoomScale="75" zoomScaleNormal="75" zoomScalePageLayoutView="75" workbookViewId="0">
      <pane xSplit="17" ySplit="1" topLeftCell="R7" activePane="bottomRight" state="frozen"/>
      <selection pane="topRight" activeCell="N1" sqref="N1"/>
      <selection pane="bottomLeft" activeCell="A2" sqref="A2"/>
      <selection pane="bottomRight" activeCell="O41" sqref="O41"/>
    </sheetView>
  </sheetViews>
  <sheetFormatPr baseColWidth="12" defaultColWidth="13" defaultRowHeight="21" customHeight="1" outlineLevelCol="1" x14ac:dyDescent="0.15"/>
  <cols>
    <col min="1" max="1" width="15.83203125" style="12" bestFit="1" customWidth="1"/>
    <col min="2" max="2" width="10.83203125" style="3" bestFit="1" customWidth="1"/>
    <col min="3" max="3" width="10.6640625" style="3" bestFit="1" customWidth="1"/>
    <col min="4" max="4" width="13" style="8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5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7" bestFit="1" customWidth="1" outlineLevel="1"/>
    <col min="30" max="30" width="8" style="8" bestFit="1" customWidth="1" outlineLevel="1"/>
    <col min="31" max="31" width="12" style="8" bestFit="1" customWidth="1" outlineLevel="1"/>
    <col min="32" max="32" width="15" style="6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59" s="23" customFormat="1" ht="21" customHeight="1" thickBot="1" x14ac:dyDescent="0.2">
      <c r="A1" s="15" t="s">
        <v>29</v>
      </c>
      <c r="B1" s="16" t="s">
        <v>0</v>
      </c>
      <c r="C1" s="16" t="s">
        <v>1</v>
      </c>
      <c r="D1" s="17" t="s">
        <v>28</v>
      </c>
      <c r="E1" s="18" t="s">
        <v>20</v>
      </c>
      <c r="F1" s="18" t="s">
        <v>20</v>
      </c>
      <c r="G1" s="16" t="s">
        <v>19</v>
      </c>
      <c r="H1" s="17" t="s">
        <v>35</v>
      </c>
      <c r="I1" s="17" t="s">
        <v>14</v>
      </c>
      <c r="J1" s="17" t="s">
        <v>15</v>
      </c>
      <c r="K1" s="24" t="s">
        <v>53</v>
      </c>
      <c r="L1" s="25" t="s">
        <v>2</v>
      </c>
      <c r="M1" s="19" t="s">
        <v>21</v>
      </c>
      <c r="N1" s="17" t="s">
        <v>24</v>
      </c>
      <c r="O1" s="17" t="s">
        <v>23</v>
      </c>
      <c r="P1" s="20" t="s">
        <v>26</v>
      </c>
      <c r="Q1" s="18" t="s">
        <v>25</v>
      </c>
      <c r="R1" s="16" t="s">
        <v>3</v>
      </c>
      <c r="S1" s="14" t="s">
        <v>48</v>
      </c>
      <c r="T1" s="14" t="s">
        <v>50</v>
      </c>
      <c r="U1" s="14" t="s">
        <v>52</v>
      </c>
      <c r="V1" s="17" t="s">
        <v>31</v>
      </c>
      <c r="W1" s="16" t="s">
        <v>4</v>
      </c>
      <c r="X1" s="16" t="s">
        <v>5</v>
      </c>
      <c r="Y1" s="16" t="s">
        <v>6</v>
      </c>
      <c r="Z1" s="16" t="s">
        <v>7</v>
      </c>
      <c r="AA1" s="16" t="s">
        <v>8</v>
      </c>
      <c r="AB1" s="21" t="s">
        <v>9</v>
      </c>
      <c r="AC1" s="22" t="s">
        <v>16</v>
      </c>
      <c r="AD1" s="22" t="s">
        <v>17</v>
      </c>
      <c r="AE1" s="22" t="s">
        <v>27</v>
      </c>
      <c r="AF1" s="21" t="s">
        <v>10</v>
      </c>
      <c r="AG1" s="16" t="s">
        <v>11</v>
      </c>
      <c r="AH1" s="16" t="s">
        <v>12</v>
      </c>
      <c r="AI1" s="16" t="s">
        <v>38</v>
      </c>
      <c r="AJ1" s="16" t="s">
        <v>40</v>
      </c>
      <c r="AK1" s="16" t="s">
        <v>42</v>
      </c>
      <c r="AL1" s="16" t="s">
        <v>44</v>
      </c>
      <c r="AM1" s="16" t="s">
        <v>46</v>
      </c>
      <c r="AN1" s="24" t="s">
        <v>174</v>
      </c>
    </row>
    <row r="2" spans="1:59" s="225" customFormat="1" ht="21" customHeight="1" x14ac:dyDescent="0.15">
      <c r="A2" s="221" t="str">
        <f>B2&amp;"_"&amp;C2&amp;"-"&amp;G2&amp;"/"&amp;L2&amp;"&lt;lv"&amp;R2&amp;"&gt;s"&amp;AA2</f>
        <v>60013_1-1/27&lt;lv30&gt;s1</v>
      </c>
      <c r="B2" s="222">
        <v>60013</v>
      </c>
      <c r="C2" s="141">
        <v>1</v>
      </c>
      <c r="D2" s="143" t="str">
        <f>B2&amp;"_"&amp;C2</f>
        <v>60013_1</v>
      </c>
      <c r="E2" s="140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140" t="str">
        <f ca="1">VLOOKUP($D2,OFFSET([2]stages!$A$1,0,0,COUNTA([2]stages!$A:$A),MATCH(F$1,[2]stages!$2:$2,0)-MATCH($D$1,[2]stages!$2:$2,0)+1),MATCH(F$1,[2]stages!$2:$2,0)-MATCH($D$1,[2]stages!$2:$2,0)+1,FALSE)</f>
        <v>【中級】オイラーチャレンジ</v>
      </c>
      <c r="G2" s="141">
        <v>1</v>
      </c>
      <c r="H2" s="141" t="str">
        <f>B2&amp;"_"&amp;C2&amp;"-"&amp;G2</f>
        <v>60013_1-1</v>
      </c>
      <c r="I2" s="144" t="e">
        <v>#VALUE!</v>
      </c>
      <c r="J2" s="144" t="e">
        <v>#VALUE!</v>
      </c>
      <c r="K2" s="144" t="s">
        <v>165</v>
      </c>
      <c r="L2" s="141">
        <v>27</v>
      </c>
      <c r="M2" s="140" t="str">
        <f ca="1">VLOOKUP($L2,OFFSET([3]enemies!$A$1,0,0,COUNTA([3]enemies!$A:$A),MATCH(M$1,[3]enemies!$1:$1,0)-MATCH($L$1,[3]enemies!$1:$1,0)+1),MATCH(M$1,[3]enemies!$1:$1,0)-MATCH($L$1,[3]enemies!$1:$1,0)+1,FALSE)</f>
        <v>パトライン</v>
      </c>
      <c r="N2" s="140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40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40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40">
        <f ca="1">VLOOKUP($L2,OFFSET([3]enemies!$A$1,0,0,COUNTA([3]enemies!$A:$A),MATCH(Q$1,[3]enemies!$1:$1,0)-MATCH($L$1,[3]enemies!$1:$1,0)+1),MATCH(Q$1,[3]enemies!$1:$1,0)-MATCH($L$1,[3]enemies!$1:$1,0)+1,FALSE)</f>
        <v>15</v>
      </c>
      <c r="R2" s="223">
        <v>30</v>
      </c>
      <c r="S2" s="224">
        <v>1.2</v>
      </c>
      <c r="T2" s="224">
        <v>1.8</v>
      </c>
      <c r="U2" s="223">
        <v>0</v>
      </c>
      <c r="V2" s="140"/>
      <c r="W2" s="140">
        <v>0</v>
      </c>
      <c r="X2" s="225">
        <v>0</v>
      </c>
      <c r="Y2" s="225">
        <v>100</v>
      </c>
      <c r="Z2" s="225">
        <v>0</v>
      </c>
      <c r="AA2" s="226">
        <v>1</v>
      </c>
      <c r="AB2" s="227">
        <f>L2</f>
        <v>27</v>
      </c>
      <c r="AC2" s="140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" s="140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140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98">
        <v>1</v>
      </c>
      <c r="AG2" s="227">
        <f ca="1">AD2</f>
        <v>1</v>
      </c>
      <c r="AH2" s="225">
        <v>0</v>
      </c>
      <c r="AI2" s="98">
        <v>0</v>
      </c>
      <c r="AJ2" s="98">
        <v>0</v>
      </c>
      <c r="AK2" s="98">
        <v>0</v>
      </c>
      <c r="AL2" s="98">
        <v>0</v>
      </c>
      <c r="AM2" s="98">
        <v>1</v>
      </c>
      <c r="AN2" s="228">
        <v>1</v>
      </c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</row>
    <row r="3" spans="1:59" s="56" customFormat="1" ht="21" customHeight="1" x14ac:dyDescent="0.15">
      <c r="A3" s="229" t="str">
        <f t="shared" ref="A3:A5" si="0">B3&amp;"_"&amp;C3&amp;"-"&amp;G3&amp;"/"&amp;L3&amp;"&lt;lv"&amp;R3&amp;"&gt;s"&amp;AA3</f>
        <v>60013_1-1/27&lt;lv31&gt;s2</v>
      </c>
      <c r="B3" s="230">
        <v>60013</v>
      </c>
      <c r="C3" s="105">
        <v>1</v>
      </c>
      <c r="D3" s="9" t="str">
        <f t="shared" ref="D3:D5" si="1">B3&amp;"_"&amp;C3</f>
        <v>60013_1</v>
      </c>
      <c r="E3" s="11" t="str">
        <f ca="1">VLOOKUP($B3,OFFSET([2]quests!$A$1,0,0,COUNTA([2]quests!$A:$A),MATCH(E$1,[2]quests!$1:$1,0)-MATCH($B$1,[2]quests!$1:$1,0)+1),MATCH(E$1,[2]quests!$1:$1,0)-MATCH($B$1,[2]quests!$1:$1,0)+1,FALSE)</f>
        <v>オイラーチャレンジ</v>
      </c>
      <c r="F3" s="11" t="str">
        <f ca="1">VLOOKUP($D3,OFFSET([2]stages!$A$1,0,0,COUNTA([2]stages!$A:$A),MATCH(F$1,[2]stages!$2:$2,0)-MATCH($D$1,[2]stages!$2:$2,0)+1),MATCH(F$1,[2]stages!$2:$2,0)-MATCH($D$1,[2]stages!$2:$2,0)+1,FALSE)</f>
        <v>【中級】オイラーチャレンジ</v>
      </c>
      <c r="G3" s="105">
        <v>1</v>
      </c>
      <c r="H3" s="105" t="str">
        <f t="shared" ref="H3:H5" si="2">B3&amp;"_"&amp;C3&amp;"-"&amp;G3</f>
        <v>60013_1-1</v>
      </c>
      <c r="I3" s="26" t="e">
        <v>#VALUE!</v>
      </c>
      <c r="J3" s="26" t="e">
        <v>#VALUE!</v>
      </c>
      <c r="K3" s="26" t="s">
        <v>165</v>
      </c>
      <c r="L3" s="105">
        <v>27</v>
      </c>
      <c r="M3" s="11" t="str">
        <f ca="1">VLOOKUP($L3,OFFSET([3]enemies!$A$1,0,0,COUNTA([3]enemies!$A:$A),MATCH(M$1,[3]enemies!$1:$1,0)-MATCH($L$1,[3]enemies!$1:$1,0)+1),MATCH(M$1,[3]enemies!$1:$1,0)-MATCH($L$1,[3]enemies!$1:$1,0)+1,FALSE)</f>
        <v>パトライン</v>
      </c>
      <c r="N3" s="11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1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1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1">
        <f ca="1">VLOOKUP($L3,OFFSET([3]enemies!$A$1,0,0,COUNTA([3]enemies!$A:$A),MATCH(Q$1,[3]enemies!$1:$1,0)-MATCH($L$1,[3]enemies!$1:$1,0)+1),MATCH(Q$1,[3]enemies!$1:$1,0)-MATCH($L$1,[3]enemies!$1:$1,0)+1,FALSE)</f>
        <v>15</v>
      </c>
      <c r="R3" s="231">
        <v>31</v>
      </c>
      <c r="S3" s="232">
        <v>1.2</v>
      </c>
      <c r="T3" s="232">
        <v>1.8</v>
      </c>
      <c r="U3" s="231">
        <v>0</v>
      </c>
      <c r="V3" s="11"/>
      <c r="W3" s="11">
        <v>0</v>
      </c>
      <c r="X3" s="56">
        <v>0</v>
      </c>
      <c r="Y3" s="56">
        <v>100</v>
      </c>
      <c r="Z3" s="56">
        <v>0</v>
      </c>
      <c r="AA3" s="233">
        <v>2</v>
      </c>
      <c r="AB3" s="234">
        <f t="shared" ref="AB3:AB5" si="3">L3</f>
        <v>27</v>
      </c>
      <c r="AC3" s="11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" s="11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11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106">
        <v>1</v>
      </c>
      <c r="AG3" s="234">
        <f t="shared" ref="AG3:AG5" ca="1" si="4">AD3</f>
        <v>1</v>
      </c>
      <c r="AH3" s="5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1</v>
      </c>
      <c r="AN3" s="235">
        <v>1</v>
      </c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  <c r="BF3" s="149"/>
      <c r="BG3" s="149"/>
    </row>
    <row r="4" spans="1:59" s="56" customFormat="1" ht="21" customHeight="1" x14ac:dyDescent="0.15">
      <c r="A4" s="229" t="str">
        <f t="shared" si="0"/>
        <v>60013_1-1/27&lt;lv32&gt;s2</v>
      </c>
      <c r="B4" s="230">
        <v>60013</v>
      </c>
      <c r="C4" s="105">
        <v>1</v>
      </c>
      <c r="D4" s="9" t="str">
        <f t="shared" si="1"/>
        <v>60013_1</v>
      </c>
      <c r="E4" s="11" t="str">
        <f ca="1">VLOOKUP($B4,OFFSET([2]quests!$A$1,0,0,COUNTA([2]quests!$A:$A),MATCH(E$1,[2]quests!$1:$1,0)-MATCH($B$1,[2]quests!$1:$1,0)+1),MATCH(E$1,[2]quests!$1:$1,0)-MATCH($B$1,[2]quests!$1:$1,0)+1,FALSE)</f>
        <v>オイラーチャレンジ</v>
      </c>
      <c r="F4" s="11" t="str">
        <f ca="1">VLOOKUP($D4,OFFSET([2]stages!$A$1,0,0,COUNTA([2]stages!$A:$A),MATCH(F$1,[2]stages!$2:$2,0)-MATCH($D$1,[2]stages!$2:$2,0)+1),MATCH(F$1,[2]stages!$2:$2,0)-MATCH($D$1,[2]stages!$2:$2,0)+1,FALSE)</f>
        <v>【中級】オイラーチャレンジ</v>
      </c>
      <c r="G4" s="105">
        <v>1</v>
      </c>
      <c r="H4" s="105" t="str">
        <f t="shared" si="2"/>
        <v>60013_1-1</v>
      </c>
      <c r="I4" s="26" t="e">
        <v>#VALUE!</v>
      </c>
      <c r="J4" s="26" t="e">
        <v>#VALUE!</v>
      </c>
      <c r="K4" s="26" t="s">
        <v>356</v>
      </c>
      <c r="L4" s="105">
        <v>27</v>
      </c>
      <c r="M4" s="11" t="str">
        <f ca="1">VLOOKUP($L4,OFFSET([3]enemies!$A$1,0,0,COUNTA([3]enemies!$A:$A),MATCH(M$1,[3]enemies!$1:$1,0)-MATCH($L$1,[3]enemies!$1:$1,0)+1),MATCH(M$1,[3]enemies!$1:$1,0)-MATCH($L$1,[3]enemies!$1:$1,0)+1,FALSE)</f>
        <v>パトライン</v>
      </c>
      <c r="N4" s="11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1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1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1">
        <f ca="1">VLOOKUP($L4,OFFSET([3]enemies!$A$1,0,0,COUNTA([3]enemies!$A:$A),MATCH(Q$1,[3]enemies!$1:$1,0)-MATCH($L$1,[3]enemies!$1:$1,0)+1),MATCH(Q$1,[3]enemies!$1:$1,0)-MATCH($L$1,[3]enemies!$1:$1,0)+1,FALSE)</f>
        <v>15</v>
      </c>
      <c r="R4" s="231">
        <v>32</v>
      </c>
      <c r="S4" s="232">
        <v>1.2</v>
      </c>
      <c r="T4" s="232">
        <v>1.8</v>
      </c>
      <c r="U4" s="231">
        <v>0</v>
      </c>
      <c r="V4" s="11"/>
      <c r="W4" s="11">
        <v>0</v>
      </c>
      <c r="X4" s="56">
        <v>0</v>
      </c>
      <c r="Y4" s="56">
        <v>100</v>
      </c>
      <c r="Z4" s="56">
        <v>0</v>
      </c>
      <c r="AA4" s="233">
        <v>2</v>
      </c>
      <c r="AB4" s="234">
        <f t="shared" si="3"/>
        <v>27</v>
      </c>
      <c r="AC4" s="11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4" s="11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11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6">
        <v>1</v>
      </c>
      <c r="AG4" s="234">
        <f t="shared" ca="1" si="4"/>
        <v>1</v>
      </c>
      <c r="AH4" s="5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1</v>
      </c>
      <c r="AN4" s="235">
        <v>1</v>
      </c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  <c r="BF4" s="149"/>
      <c r="BG4" s="149"/>
    </row>
    <row r="5" spans="1:59" s="56" customFormat="1" ht="21" customHeight="1" x14ac:dyDescent="0.15">
      <c r="A5" s="229" t="str">
        <f t="shared" si="0"/>
        <v>60013_1-1/27&lt;lv33&gt;s3</v>
      </c>
      <c r="B5" s="230">
        <v>60013</v>
      </c>
      <c r="C5" s="105">
        <v>1</v>
      </c>
      <c r="D5" s="9" t="str">
        <f t="shared" si="1"/>
        <v>60013_1</v>
      </c>
      <c r="E5" s="11" t="str">
        <f ca="1">VLOOKUP($B5,OFFSET([2]quests!$A$1,0,0,COUNTA([2]quests!$A:$A),MATCH(E$1,[2]quests!$1:$1,0)-MATCH($B$1,[2]quests!$1:$1,0)+1),MATCH(E$1,[2]quests!$1:$1,0)-MATCH($B$1,[2]quests!$1:$1,0)+1,FALSE)</f>
        <v>オイラーチャレンジ</v>
      </c>
      <c r="F5" s="11" t="str">
        <f ca="1">VLOOKUP($D5,OFFSET([2]stages!$A$1,0,0,COUNTA([2]stages!$A:$A),MATCH(F$1,[2]stages!$2:$2,0)-MATCH($D$1,[2]stages!$2:$2,0)+1),MATCH(F$1,[2]stages!$2:$2,0)-MATCH($D$1,[2]stages!$2:$2,0)+1,FALSE)</f>
        <v>【中級】オイラーチャレンジ</v>
      </c>
      <c r="G5" s="105">
        <v>1</v>
      </c>
      <c r="H5" s="105" t="str">
        <f t="shared" si="2"/>
        <v>60013_1-1</v>
      </c>
      <c r="I5" s="26" t="e">
        <v>#VALUE!</v>
      </c>
      <c r="J5" s="26" t="e">
        <v>#VALUE!</v>
      </c>
      <c r="K5" s="26" t="s">
        <v>165</v>
      </c>
      <c r="L5" s="105">
        <v>27</v>
      </c>
      <c r="M5" s="11" t="str">
        <f ca="1">VLOOKUP($L5,OFFSET([3]enemies!$A$1,0,0,COUNTA([3]enemies!$A:$A),MATCH(M$1,[3]enemies!$1:$1,0)-MATCH($L$1,[3]enemies!$1:$1,0)+1),MATCH(M$1,[3]enemies!$1:$1,0)-MATCH($L$1,[3]enemies!$1:$1,0)+1,FALSE)</f>
        <v>パトライン</v>
      </c>
      <c r="N5" s="11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1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1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1">
        <f ca="1">VLOOKUP($L5,OFFSET([3]enemies!$A$1,0,0,COUNTA([3]enemies!$A:$A),MATCH(Q$1,[3]enemies!$1:$1,0)-MATCH($L$1,[3]enemies!$1:$1,0)+1),MATCH(Q$1,[3]enemies!$1:$1,0)-MATCH($L$1,[3]enemies!$1:$1,0)+1,FALSE)</f>
        <v>15</v>
      </c>
      <c r="R5" s="231">
        <v>33</v>
      </c>
      <c r="S5" s="232">
        <v>1.2</v>
      </c>
      <c r="T5" s="232">
        <v>1.8</v>
      </c>
      <c r="U5" s="231">
        <v>0</v>
      </c>
      <c r="V5" s="11"/>
      <c r="W5" s="11">
        <v>0</v>
      </c>
      <c r="X5" s="56">
        <v>0</v>
      </c>
      <c r="Y5" s="56">
        <v>100</v>
      </c>
      <c r="Z5" s="56">
        <v>0</v>
      </c>
      <c r="AA5" s="233">
        <v>3</v>
      </c>
      <c r="AB5" s="234">
        <f t="shared" si="3"/>
        <v>27</v>
      </c>
      <c r="AC5" s="11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5" s="11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11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06">
        <v>1</v>
      </c>
      <c r="AG5" s="234">
        <f t="shared" ca="1" si="4"/>
        <v>1</v>
      </c>
      <c r="AH5" s="5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1</v>
      </c>
      <c r="AN5" s="235">
        <v>1</v>
      </c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  <c r="BF5" s="149"/>
      <c r="BG5" s="149"/>
    </row>
    <row r="6" spans="1:59" s="56" customFormat="1" ht="21" customHeight="1" x14ac:dyDescent="0.15">
      <c r="A6" s="229" t="str">
        <f>B6&amp;"_"&amp;C6&amp;"-"&amp;G6&amp;"/"&amp;L6&amp;"&lt;lv"&amp;R6&amp;"&gt;s"&amp;AA6</f>
        <v>60013_1-2/35&lt;lv31&gt;s2</v>
      </c>
      <c r="B6" s="230">
        <v>60013</v>
      </c>
      <c r="C6" s="105">
        <v>1</v>
      </c>
      <c r="D6" s="9" t="str">
        <f>B6&amp;"_"&amp;C6</f>
        <v>60013_1</v>
      </c>
      <c r="E6" s="11" t="str">
        <f ca="1">VLOOKUP($B6,OFFSET([2]quests!$A$1,0,0,COUNTA([2]quests!$A:$A),MATCH(E$1,[2]quests!$1:$1,0)-MATCH($B$1,[2]quests!$1:$1,0)+1),MATCH(E$1,[2]quests!$1:$1,0)-MATCH($B$1,[2]quests!$1:$1,0)+1,FALSE)</f>
        <v>オイラーチャレンジ</v>
      </c>
      <c r="F6" s="11" t="str">
        <f ca="1">VLOOKUP($D6,OFFSET([2]stages!$A$1,0,0,COUNTA([2]stages!$A:$A),MATCH(F$1,[2]stages!$2:$2,0)-MATCH($D$1,[2]stages!$2:$2,0)+1),MATCH(F$1,[2]stages!$2:$2,0)-MATCH($D$1,[2]stages!$2:$2,0)+1,FALSE)</f>
        <v>【中級】オイラーチャレンジ</v>
      </c>
      <c r="G6" s="105">
        <v>2</v>
      </c>
      <c r="H6" s="105" t="str">
        <f>B6&amp;"_"&amp;C6&amp;"-"&amp;G6</f>
        <v>60013_1-2</v>
      </c>
      <c r="I6" s="26" t="e">
        <v>#VALUE!</v>
      </c>
      <c r="J6" s="26" t="e">
        <v>#VALUE!</v>
      </c>
      <c r="K6" s="26" t="s">
        <v>165</v>
      </c>
      <c r="L6" s="105">
        <v>35</v>
      </c>
      <c r="M6" s="11" t="str">
        <f ca="1">VLOOKUP($L6,OFFSET([3]enemies!$A$1,0,0,COUNTA([3]enemies!$A:$A),MATCH(M$1,[3]enemies!$1:$1,0)-MATCH($L$1,[3]enemies!$1:$1,0)+1),MATCH(M$1,[3]enemies!$1:$1,0)-MATCH($L$1,[3]enemies!$1:$1,0)+1,FALSE)</f>
        <v>F2</v>
      </c>
      <c r="N6" s="11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1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1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1">
        <f ca="1">VLOOKUP($L6,OFFSET([3]enemies!$A$1,0,0,COUNTA([3]enemies!$A:$A),MATCH(Q$1,[3]enemies!$1:$1,0)-MATCH($L$1,[3]enemies!$1:$1,0)+1),MATCH(Q$1,[3]enemies!$1:$1,0)-MATCH($L$1,[3]enemies!$1:$1,0)+1,FALSE)</f>
        <v>15</v>
      </c>
      <c r="R6" s="231">
        <v>31</v>
      </c>
      <c r="S6" s="232">
        <v>1.2</v>
      </c>
      <c r="T6" s="232">
        <v>2</v>
      </c>
      <c r="U6" s="231">
        <v>0</v>
      </c>
      <c r="V6" s="11"/>
      <c r="W6" s="236">
        <v>60013001</v>
      </c>
      <c r="X6" s="56">
        <v>0</v>
      </c>
      <c r="Y6" s="56">
        <v>100</v>
      </c>
      <c r="Z6" s="56">
        <v>0</v>
      </c>
      <c r="AA6" s="237">
        <v>2</v>
      </c>
      <c r="AB6" s="234">
        <f>L6</f>
        <v>35</v>
      </c>
      <c r="AC6" s="11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F2</v>
      </c>
      <c r="AD6" s="11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11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106">
        <v>1</v>
      </c>
      <c r="AG6" s="234">
        <f ca="1">AD6</f>
        <v>2</v>
      </c>
      <c r="AH6" s="5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1</v>
      </c>
      <c r="AN6" s="235">
        <v>1</v>
      </c>
      <c r="AO6" s="149"/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  <c r="BE6" s="149"/>
      <c r="BF6" s="149"/>
      <c r="BG6" s="149"/>
    </row>
    <row r="7" spans="1:59" s="56" customFormat="1" ht="21" customHeight="1" x14ac:dyDescent="0.15">
      <c r="A7" s="229" t="str">
        <f t="shared" ref="A7:A32" si="5">B7&amp;"_"&amp;C7&amp;"-"&amp;G7&amp;"/"&amp;L7&amp;"&lt;lv"&amp;R7&amp;"&gt;s"&amp;AA7</f>
        <v>60013_1-2/35&lt;lv32&gt;s3</v>
      </c>
      <c r="B7" s="230">
        <v>60013</v>
      </c>
      <c r="C7" s="105">
        <v>1</v>
      </c>
      <c r="D7" s="9" t="str">
        <f t="shared" ref="D7:D32" si="6">B7&amp;"_"&amp;C7</f>
        <v>60013_1</v>
      </c>
      <c r="E7" s="11" t="str">
        <f ca="1">VLOOKUP($B7,OFFSET([2]quests!$A$1,0,0,COUNTA([2]quests!$A:$A),MATCH(E$1,[2]quests!$1:$1,0)-MATCH($B$1,[2]quests!$1:$1,0)+1),MATCH(E$1,[2]quests!$1:$1,0)-MATCH($B$1,[2]quests!$1:$1,0)+1,FALSE)</f>
        <v>オイラーチャレンジ</v>
      </c>
      <c r="F7" s="11" t="str">
        <f ca="1">VLOOKUP($D7,OFFSET([2]stages!$A$1,0,0,COUNTA([2]stages!$A:$A),MATCH(F$1,[2]stages!$2:$2,0)-MATCH($D$1,[2]stages!$2:$2,0)+1),MATCH(F$1,[2]stages!$2:$2,0)-MATCH($D$1,[2]stages!$2:$2,0)+1,FALSE)</f>
        <v>【中級】オイラーチャレンジ</v>
      </c>
      <c r="G7" s="105">
        <v>2</v>
      </c>
      <c r="H7" s="105" t="str">
        <f t="shared" ref="H7:H32" si="7">B7&amp;"_"&amp;C7&amp;"-"&amp;G7</f>
        <v>60013_1-2</v>
      </c>
      <c r="I7" s="26" t="e">
        <v>#VALUE!</v>
      </c>
      <c r="J7" s="26" t="e">
        <v>#VALUE!</v>
      </c>
      <c r="K7" s="26" t="s">
        <v>165</v>
      </c>
      <c r="L7" s="105">
        <v>35</v>
      </c>
      <c r="M7" s="11" t="str">
        <f ca="1">VLOOKUP($L7,OFFSET([3]enemies!$A$1,0,0,COUNTA([3]enemies!$A:$A),MATCH(M$1,[3]enemies!$1:$1,0)-MATCH($L$1,[3]enemies!$1:$1,0)+1),MATCH(M$1,[3]enemies!$1:$1,0)-MATCH($L$1,[3]enemies!$1:$1,0)+1,FALSE)</f>
        <v>F2</v>
      </c>
      <c r="N7" s="11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1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1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1">
        <f ca="1">VLOOKUP($L7,OFFSET([3]enemies!$A$1,0,0,COUNTA([3]enemies!$A:$A),MATCH(Q$1,[3]enemies!$1:$1,0)-MATCH($L$1,[3]enemies!$1:$1,0)+1),MATCH(Q$1,[3]enemies!$1:$1,0)-MATCH($L$1,[3]enemies!$1:$1,0)+1,FALSE)</f>
        <v>15</v>
      </c>
      <c r="R7" s="231">
        <v>32</v>
      </c>
      <c r="S7" s="232">
        <v>1.2</v>
      </c>
      <c r="T7" s="232">
        <v>2</v>
      </c>
      <c r="U7" s="231">
        <v>0</v>
      </c>
      <c r="V7" s="11"/>
      <c r="W7" s="236">
        <v>60013001</v>
      </c>
      <c r="X7" s="56">
        <v>0</v>
      </c>
      <c r="Y7" s="56">
        <v>100</v>
      </c>
      <c r="Z7" s="56">
        <v>0</v>
      </c>
      <c r="AA7" s="237">
        <v>3</v>
      </c>
      <c r="AB7" s="234">
        <f t="shared" ref="AB7:AB32" si="8">L7</f>
        <v>35</v>
      </c>
      <c r="AC7" s="11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F2</v>
      </c>
      <c r="AD7" s="11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11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106">
        <v>1</v>
      </c>
      <c r="AG7" s="234">
        <f t="shared" ref="AG7:AG32" ca="1" si="9">AD7</f>
        <v>2</v>
      </c>
      <c r="AH7" s="5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1</v>
      </c>
      <c r="AN7" s="235">
        <v>1</v>
      </c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</row>
    <row r="8" spans="1:59" s="56" customFormat="1" ht="21" customHeight="1" thickBot="1" x14ac:dyDescent="0.2">
      <c r="A8" s="229" t="str">
        <f t="shared" si="5"/>
        <v>60013_1-2/35&lt;lv33&gt;s4</v>
      </c>
      <c r="B8" s="230">
        <v>60013</v>
      </c>
      <c r="C8" s="105">
        <v>1</v>
      </c>
      <c r="D8" s="9" t="str">
        <f t="shared" si="6"/>
        <v>60013_1</v>
      </c>
      <c r="E8" s="11" t="str">
        <f ca="1">VLOOKUP($B8,OFFSET([2]quests!$A$1,0,0,COUNTA([2]quests!$A:$A),MATCH(E$1,[2]quests!$1:$1,0)-MATCH($B$1,[2]quests!$1:$1,0)+1),MATCH(E$1,[2]quests!$1:$1,0)-MATCH($B$1,[2]quests!$1:$1,0)+1,FALSE)</f>
        <v>オイラーチャレンジ</v>
      </c>
      <c r="F8" s="11" t="str">
        <f ca="1">VLOOKUP($D8,OFFSET([2]stages!$A$1,0,0,COUNTA([2]stages!$A:$A),MATCH(F$1,[2]stages!$2:$2,0)-MATCH($D$1,[2]stages!$2:$2,0)+1),MATCH(F$1,[2]stages!$2:$2,0)-MATCH($D$1,[2]stages!$2:$2,0)+1,FALSE)</f>
        <v>【中級】オイラーチャレンジ</v>
      </c>
      <c r="G8" s="105">
        <v>2</v>
      </c>
      <c r="H8" s="105" t="str">
        <f t="shared" si="7"/>
        <v>60013_1-2</v>
      </c>
      <c r="I8" s="26" t="e">
        <v>#VALUE!</v>
      </c>
      <c r="J8" s="26" t="e">
        <v>#VALUE!</v>
      </c>
      <c r="K8" s="26" t="s">
        <v>165</v>
      </c>
      <c r="L8" s="105">
        <v>35</v>
      </c>
      <c r="M8" s="11" t="str">
        <f ca="1">VLOOKUP($L8,OFFSET([3]enemies!$A$1,0,0,COUNTA([3]enemies!$A:$A),MATCH(M$1,[3]enemies!$1:$1,0)-MATCH($L$1,[3]enemies!$1:$1,0)+1),MATCH(M$1,[3]enemies!$1:$1,0)-MATCH($L$1,[3]enemies!$1:$1,0)+1,FALSE)</f>
        <v>F2</v>
      </c>
      <c r="N8" s="11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1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1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1">
        <f ca="1">VLOOKUP($L8,OFFSET([3]enemies!$A$1,0,0,COUNTA([3]enemies!$A:$A),MATCH(Q$1,[3]enemies!$1:$1,0)-MATCH($L$1,[3]enemies!$1:$1,0)+1),MATCH(Q$1,[3]enemies!$1:$1,0)-MATCH($L$1,[3]enemies!$1:$1,0)+1,FALSE)</f>
        <v>15</v>
      </c>
      <c r="R8" s="231">
        <v>33</v>
      </c>
      <c r="S8" s="232">
        <v>1.2</v>
      </c>
      <c r="T8" s="232">
        <v>2</v>
      </c>
      <c r="U8" s="231">
        <v>0</v>
      </c>
      <c r="V8" s="11"/>
      <c r="W8" s="236">
        <v>60013001</v>
      </c>
      <c r="X8" s="56">
        <v>0</v>
      </c>
      <c r="Y8" s="56">
        <v>100</v>
      </c>
      <c r="Z8" s="56">
        <v>0</v>
      </c>
      <c r="AA8" s="237">
        <v>4</v>
      </c>
      <c r="AB8" s="234">
        <f t="shared" si="8"/>
        <v>35</v>
      </c>
      <c r="AC8" s="11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F2</v>
      </c>
      <c r="AD8" s="11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11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106">
        <v>1</v>
      </c>
      <c r="AG8" s="234">
        <f t="shared" ca="1" si="9"/>
        <v>2</v>
      </c>
      <c r="AH8" s="5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1</v>
      </c>
      <c r="AN8" s="235">
        <v>1</v>
      </c>
      <c r="AO8" s="149"/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</row>
    <row r="9" spans="1:59" s="246" customFormat="1" ht="21" customHeight="1" x14ac:dyDescent="0.15">
      <c r="A9" s="238" t="str">
        <f t="shared" si="5"/>
        <v>60013_1-3/436&lt;lv40&gt;s2</v>
      </c>
      <c r="B9" s="230">
        <v>60013</v>
      </c>
      <c r="C9" s="105">
        <v>1</v>
      </c>
      <c r="D9" s="9" t="str">
        <f t="shared" si="6"/>
        <v>60013_1</v>
      </c>
      <c r="E9" s="239" t="str">
        <f ca="1">VLOOKUP($B9,OFFSET([2]quests!$A$1,0,0,COUNTA([2]quests!$A:$A),MATCH(E$1,[2]quests!$1:$1,0)-MATCH($B$1,[2]quests!$1:$1,0)+1),MATCH(E$1,[2]quests!$1:$1,0)-MATCH($B$1,[2]quests!$1:$1,0)+1,FALSE)</f>
        <v>オイラーチャレンジ</v>
      </c>
      <c r="F9" s="239" t="str">
        <f ca="1">VLOOKUP($D9,OFFSET([2]stages!$A$1,0,0,COUNTA([2]stages!$A:$A),MATCH(F$1,[2]stages!$2:$2,0)-MATCH($D$1,[2]stages!$2:$2,0)+1),MATCH(F$1,[2]stages!$2:$2,0)-MATCH($D$1,[2]stages!$2:$2,0)+1,FALSE)</f>
        <v>【中級】オイラーチャレンジ</v>
      </c>
      <c r="G9" s="105">
        <v>3</v>
      </c>
      <c r="H9" s="105" t="str">
        <f t="shared" si="7"/>
        <v>60013_1-3</v>
      </c>
      <c r="I9" s="240" t="e">
        <v>#VALUE!</v>
      </c>
      <c r="J9" s="240" t="e">
        <v>#VALUE!</v>
      </c>
      <c r="K9" s="26" t="s">
        <v>165</v>
      </c>
      <c r="L9" s="105">
        <v>436</v>
      </c>
      <c r="M9" s="241" t="str">
        <f ca="1">VLOOKUP($L9,OFFSET([3]enemies!$A$1,0,0,COUNTA([3]enemies!$A:$A),MATCH(M$1,[3]enemies!$1:$1,0)-MATCH($L$1,[3]enemies!$1:$1,0)+1),MATCH(M$1,[3]enemies!$1:$1,0)-MATCH($L$1,[3]enemies!$1:$1,0)+1,FALSE)</f>
        <v>カカシ</v>
      </c>
      <c r="N9" s="241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241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241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241">
        <f ca="1">VLOOKUP($L9,OFFSET([3]enemies!$A$1,0,0,COUNTA([3]enemies!$A:$A),MATCH(Q$1,[3]enemies!$1:$1,0)-MATCH($L$1,[3]enemies!$1:$1,0)+1),MATCH(Q$1,[3]enemies!$1:$1,0)-MATCH($L$1,[3]enemies!$1:$1,0)+1,FALSE)</f>
        <v>25</v>
      </c>
      <c r="R9" s="242">
        <v>40</v>
      </c>
      <c r="S9" s="243">
        <v>1</v>
      </c>
      <c r="T9" s="243">
        <v>1</v>
      </c>
      <c r="U9" s="242">
        <v>0</v>
      </c>
      <c r="V9" s="239"/>
      <c r="W9" s="244">
        <v>60013004</v>
      </c>
      <c r="X9" s="245">
        <v>1</v>
      </c>
      <c r="Y9" s="245">
        <v>100</v>
      </c>
      <c r="Z9" s="245">
        <v>2</v>
      </c>
      <c r="AA9" s="237">
        <v>2</v>
      </c>
      <c r="AB9" s="234">
        <f t="shared" si="8"/>
        <v>436</v>
      </c>
      <c r="AC9" s="239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カカシ</v>
      </c>
      <c r="AD9" s="239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239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106">
        <v>1</v>
      </c>
      <c r="AG9" s="234">
        <f t="shared" ca="1" si="9"/>
        <v>3</v>
      </c>
      <c r="AH9" s="56">
        <v>0</v>
      </c>
      <c r="AI9" s="98">
        <v>0</v>
      </c>
      <c r="AJ9" s="98">
        <v>0</v>
      </c>
      <c r="AK9" s="98">
        <v>0</v>
      </c>
      <c r="AL9" s="98">
        <v>0</v>
      </c>
      <c r="AM9" s="98">
        <v>1</v>
      </c>
      <c r="AN9" s="228">
        <v>1</v>
      </c>
      <c r="AO9" s="149"/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  <c r="BE9" s="149"/>
      <c r="BF9" s="149"/>
      <c r="BG9" s="149"/>
    </row>
    <row r="10" spans="1:59" s="246" customFormat="1" ht="21" customHeight="1" x14ac:dyDescent="0.15">
      <c r="A10" s="238" t="str">
        <f t="shared" si="5"/>
        <v>60013_1-3/280&lt;lv40&gt;s3</v>
      </c>
      <c r="B10" s="230">
        <v>60013</v>
      </c>
      <c r="C10" s="105">
        <v>1</v>
      </c>
      <c r="D10" s="9" t="str">
        <f t="shared" si="6"/>
        <v>60013_1</v>
      </c>
      <c r="E10" s="239" t="str">
        <f ca="1">VLOOKUP($B10,OFFSET([2]quests!$A$1,0,0,COUNTA([2]quests!$A:$A),MATCH(E$1,[2]quests!$1:$1,0)-MATCH($B$1,[2]quests!$1:$1,0)+1),MATCH(E$1,[2]quests!$1:$1,0)-MATCH($B$1,[2]quests!$1:$1,0)+1,FALSE)</f>
        <v>オイラーチャレンジ</v>
      </c>
      <c r="F10" s="239" t="str">
        <f ca="1">VLOOKUP($D10,OFFSET([2]stages!$A$1,0,0,COUNTA([2]stages!$A:$A),MATCH(F$1,[2]stages!$2:$2,0)-MATCH($D$1,[2]stages!$2:$2,0)+1),MATCH(F$1,[2]stages!$2:$2,0)-MATCH($D$1,[2]stages!$2:$2,0)+1,FALSE)</f>
        <v>【中級】オイラーチャレンジ</v>
      </c>
      <c r="G10" s="105">
        <v>3</v>
      </c>
      <c r="H10" s="105" t="str">
        <f t="shared" si="7"/>
        <v>60013_1-3</v>
      </c>
      <c r="I10" s="240" t="e">
        <v>#VALUE!</v>
      </c>
      <c r="J10" s="240" t="e">
        <v>#VALUE!</v>
      </c>
      <c r="K10" s="26" t="s">
        <v>165</v>
      </c>
      <c r="L10" s="105">
        <v>280</v>
      </c>
      <c r="M10" s="241" t="str">
        <f ca="1">VLOOKUP($L10,OFFSET([3]enemies!$A$1,0,0,COUNTA([3]enemies!$A:$A),MATCH(M$1,[3]enemies!$1:$1,0)-MATCH($L$1,[3]enemies!$1:$1,0)+1),MATCH(M$1,[3]enemies!$1:$1,0)-MATCH($L$1,[3]enemies!$1:$1,0)+1,FALSE)</f>
        <v>リンドブルム</v>
      </c>
      <c r="N10" s="241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241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241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241">
        <f ca="1">VLOOKUP($L10,OFFSET([3]enemies!$A$1,0,0,COUNTA([3]enemies!$A:$A),MATCH(Q$1,[3]enemies!$1:$1,0)-MATCH($L$1,[3]enemies!$1:$1,0)+1),MATCH(Q$1,[3]enemies!$1:$1,0)-MATCH($L$1,[3]enemies!$1:$1,0)+1,FALSE)</f>
        <v>20</v>
      </c>
      <c r="R10" s="242">
        <v>40</v>
      </c>
      <c r="S10" s="243">
        <v>1</v>
      </c>
      <c r="T10" s="243">
        <v>1</v>
      </c>
      <c r="U10" s="242">
        <v>0</v>
      </c>
      <c r="V10" s="239"/>
      <c r="W10" s="236">
        <v>60013005</v>
      </c>
      <c r="X10" s="245">
        <v>1</v>
      </c>
      <c r="Y10" s="245">
        <v>100</v>
      </c>
      <c r="Z10" s="245">
        <v>1</v>
      </c>
      <c r="AA10" s="237">
        <v>3</v>
      </c>
      <c r="AB10" s="234">
        <f t="shared" si="8"/>
        <v>280</v>
      </c>
      <c r="AC10" s="239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10" s="239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239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Drop2W</v>
      </c>
      <c r="AF10" s="106">
        <v>1</v>
      </c>
      <c r="AG10" s="234">
        <f t="shared" ca="1" si="9"/>
        <v>3</v>
      </c>
      <c r="AH10" s="5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1</v>
      </c>
      <c r="AN10" s="235">
        <v>1</v>
      </c>
      <c r="AO10" s="149"/>
      <c r="AP10" s="149"/>
      <c r="AQ10" s="149"/>
      <c r="AR10" s="149"/>
      <c r="AS10" s="149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</row>
    <row r="11" spans="1:59" s="260" customFormat="1" ht="21" customHeight="1" thickBot="1" x14ac:dyDescent="0.2">
      <c r="A11" s="247" t="str">
        <f t="shared" ca="1" si="5"/>
        <v>60013_1-4/378&lt;lv50&gt;s3</v>
      </c>
      <c r="B11" s="248">
        <v>60013</v>
      </c>
      <c r="C11" s="152">
        <v>1</v>
      </c>
      <c r="D11" s="154" t="str">
        <f t="shared" si="6"/>
        <v>60013_1</v>
      </c>
      <c r="E11" s="249" t="str">
        <f ca="1">VLOOKUP($B11,OFFSET([2]quests!$A$1,0,0,COUNTA([2]quests!$A:$A),MATCH(E$1,[2]quests!$1:$1,0)-MATCH($B$1,[2]quests!$1:$1,0)+1),MATCH(E$1,[2]quests!$1:$1,0)-MATCH($B$1,[2]quests!$1:$1,0)+1,FALSE)</f>
        <v>オイラーチャレンジ</v>
      </c>
      <c r="F11" s="249" t="str">
        <f ca="1">VLOOKUP($D11,OFFSET([2]stages!$A$1,0,0,COUNTA([2]stages!$A:$A),MATCH(F$1,[2]stages!$2:$2,0)-MATCH($D$1,[2]stages!$2:$2,0)+1),MATCH(F$1,[2]stages!$2:$2,0)-MATCH($D$1,[2]stages!$2:$2,0)+1,FALSE)</f>
        <v>【中級】オイラーチャレンジ</v>
      </c>
      <c r="G11" s="152">
        <v>4</v>
      </c>
      <c r="H11" s="152" t="str">
        <f t="shared" si="7"/>
        <v>60013_1-4</v>
      </c>
      <c r="I11" s="250" t="e">
        <v>#VALUE!</v>
      </c>
      <c r="J11" s="250" t="e">
        <v>#VALUE!</v>
      </c>
      <c r="K11" s="155">
        <v>1</v>
      </c>
      <c r="L11" s="152">
        <v>378</v>
      </c>
      <c r="M11" s="251" t="str">
        <f ca="1">VLOOKUP($L11,OFFSET([3]enemies!$A$1,0,0,COUNTA([3]enemies!$A:$A),MATCH(M$1,[3]enemies!$1:$1,0)-MATCH($L$1,[3]enemies!$1:$1,0)+1),MATCH(M$1,[3]enemies!$1:$1,0)-MATCH($L$1,[3]enemies!$1:$1,0)+1,FALSE)</f>
        <v>オイラー</v>
      </c>
      <c r="N11" s="251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251" t="str">
        <f ca="1">VLOOKUP($L11,OFFSET([4]characters!$A$1,0,0,COUNTA([4]characters!$A:$A),MATCH(O$1,[4]characters!$1:$1,0)-MATCH($L$1,[4]characters!$1:$1,0)+1),MATCH(O$1,[4]characters!$1:$1,0)-MATCH($L$1,[4]characters!$1:$1,0)+1,FALSE)</f>
        <v>PremiumSSS</v>
      </c>
      <c r="P11" s="251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251">
        <f ca="1">VLOOKUP($L11,OFFSET([3]enemies!$A$1,0,0,COUNTA([3]enemies!$A:$A),MATCH(Q$1,[3]enemies!$1:$1,0)-MATCH($L$1,[3]enemies!$1:$1,0)+1),MATCH(Q$1,[3]enemies!$1:$1,0)-MATCH($L$1,[3]enemies!$1:$1,0)+1,FALSE)</f>
        <v>30</v>
      </c>
      <c r="R11" s="252">
        <v>50</v>
      </c>
      <c r="S11" s="253">
        <v>1</v>
      </c>
      <c r="T11" s="253">
        <v>0.8</v>
      </c>
      <c r="U11" s="252">
        <v>0</v>
      </c>
      <c r="V11" s="249"/>
      <c r="W11" s="254">
        <v>60013006</v>
      </c>
      <c r="X11" s="255">
        <v>0</v>
      </c>
      <c r="Y11" s="255">
        <v>100</v>
      </c>
      <c r="Z11" s="255">
        <v>1</v>
      </c>
      <c r="AA11" s="256">
        <f ca="1">VLOOKUP($L11,OFFSET([3]enemies!$A$1,0,0,COUNTA([3]enemies!$A:$A),MATCH(AA$1,[3]enemies!$1:$1,0)-MATCH($L$1,[3]enemies!$1:$1,0)+1),MATCH(AA$1,[3]enemies!$1:$1,0)-MATCH($L$1,[3]enemies!$1:$1,0)+1,FALSE)</f>
        <v>3</v>
      </c>
      <c r="AB11" s="257">
        <f t="shared" si="8"/>
        <v>378</v>
      </c>
      <c r="AC11" s="249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11" s="249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249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1" s="160">
        <v>1</v>
      </c>
      <c r="AG11" s="257">
        <f t="shared" ca="1" si="9"/>
        <v>4</v>
      </c>
      <c r="AH11" s="258">
        <v>0</v>
      </c>
      <c r="AI11" s="160">
        <v>0</v>
      </c>
      <c r="AJ11" s="160">
        <v>0</v>
      </c>
      <c r="AK11" s="160">
        <v>0</v>
      </c>
      <c r="AL11" s="160">
        <v>0</v>
      </c>
      <c r="AM11" s="160">
        <v>1</v>
      </c>
      <c r="AN11" s="259">
        <v>1</v>
      </c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</row>
    <row r="12" spans="1:59" s="225" customFormat="1" ht="21" customHeight="1" x14ac:dyDescent="0.15">
      <c r="A12" s="221" t="str">
        <f t="shared" si="5"/>
        <v>60013_2-1/28&lt;lv50&gt;s1</v>
      </c>
      <c r="B12" s="222">
        <v>60013</v>
      </c>
      <c r="C12" s="141">
        <v>2</v>
      </c>
      <c r="D12" s="143" t="str">
        <f t="shared" si="6"/>
        <v>60013_2</v>
      </c>
      <c r="E12" s="140" t="str">
        <f ca="1">VLOOKUP($B12,OFFSET([2]quests!$A$1,0,0,COUNTA([2]quests!$A:$A),MATCH(E$1,[2]quests!$1:$1,0)-MATCH($B$1,[2]quests!$1:$1,0)+1),MATCH(E$1,[2]quests!$1:$1,0)-MATCH($B$1,[2]quests!$1:$1,0)+1,FALSE)</f>
        <v>オイラーチャレンジ</v>
      </c>
      <c r="F12" s="140" t="str">
        <f ca="1">VLOOKUP($D12,OFFSET([2]stages!$A$1,0,0,COUNTA([2]stages!$A:$A),MATCH(F$1,[2]stages!$2:$2,0)-MATCH($D$1,[2]stages!$2:$2,0)+1),MATCH(F$1,[2]stages!$2:$2,0)-MATCH($D$1,[2]stages!$2:$2,0)+1,FALSE)</f>
        <v>【超級】オイラーチャレンジ</v>
      </c>
      <c r="G12" s="141">
        <v>1</v>
      </c>
      <c r="H12" s="141" t="str">
        <f t="shared" si="7"/>
        <v>60013_2-1</v>
      </c>
      <c r="I12" s="144" t="e">
        <v>#VALUE!</v>
      </c>
      <c r="J12" s="144" t="e">
        <v>#VALUE!</v>
      </c>
      <c r="K12" s="144" t="s">
        <v>165</v>
      </c>
      <c r="L12" s="141">
        <v>28</v>
      </c>
      <c r="M12" s="140" t="str">
        <f ca="1">VLOOKUP($L12,OFFSET([3]enemies!$A$1,0,0,COUNTA([3]enemies!$A:$A),MATCH(M$1,[3]enemies!$1:$1,0)-MATCH($L$1,[3]enemies!$1:$1,0)+1),MATCH(M$1,[3]enemies!$1:$1,0)-MATCH($L$1,[3]enemies!$1:$1,0)+1,FALSE)</f>
        <v>現場急行 パトラインカスタム</v>
      </c>
      <c r="N12" s="140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40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40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40">
        <f ca="1">VLOOKUP($L12,OFFSET([3]enemies!$A$1,0,0,COUNTA([3]enemies!$A:$A),MATCH(Q$1,[3]enemies!$1:$1,0)-MATCH($L$1,[3]enemies!$1:$1,0)+1),MATCH(Q$1,[3]enemies!$1:$1,0)-MATCH($L$1,[3]enemies!$1:$1,0)+1,FALSE)</f>
        <v>15</v>
      </c>
      <c r="R12" s="223">
        <v>50</v>
      </c>
      <c r="S12" s="224">
        <v>1.4</v>
      </c>
      <c r="T12" s="224">
        <v>2.5</v>
      </c>
      <c r="U12" s="223">
        <v>0</v>
      </c>
      <c r="V12" s="140"/>
      <c r="W12" s="140">
        <v>0</v>
      </c>
      <c r="X12" s="225">
        <v>0</v>
      </c>
      <c r="Y12" s="225">
        <v>100</v>
      </c>
      <c r="Z12" s="225">
        <v>0</v>
      </c>
      <c r="AA12" s="226">
        <v>1</v>
      </c>
      <c r="AB12" s="227">
        <f t="shared" si="8"/>
        <v>28</v>
      </c>
      <c r="AC12" s="140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2" s="140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140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98">
        <v>1</v>
      </c>
      <c r="AG12" s="227">
        <f t="shared" ca="1" si="9"/>
        <v>2</v>
      </c>
      <c r="AH12" s="225">
        <v>0</v>
      </c>
      <c r="AI12" s="98">
        <v>0</v>
      </c>
      <c r="AJ12" s="98">
        <v>0</v>
      </c>
      <c r="AK12" s="98">
        <v>0</v>
      </c>
      <c r="AL12" s="98">
        <v>0</v>
      </c>
      <c r="AM12" s="98">
        <v>1</v>
      </c>
      <c r="AN12" s="228">
        <v>1</v>
      </c>
      <c r="AO12" s="149"/>
      <c r="AP12" s="149"/>
      <c r="AQ12" s="149"/>
      <c r="AR12" s="149"/>
      <c r="AS12" s="149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49"/>
      <c r="BE12" s="149"/>
      <c r="BF12" s="149"/>
      <c r="BG12" s="149"/>
    </row>
    <row r="13" spans="1:59" s="56" customFormat="1" ht="21" customHeight="1" x14ac:dyDescent="0.15">
      <c r="A13" s="229" t="str">
        <f t="shared" si="5"/>
        <v>60013_2-1/28&lt;lv51&gt;s2</v>
      </c>
      <c r="B13" s="230">
        <v>60013</v>
      </c>
      <c r="C13" s="105">
        <v>2</v>
      </c>
      <c r="D13" s="9" t="str">
        <f t="shared" si="6"/>
        <v>60013_2</v>
      </c>
      <c r="E13" s="11" t="str">
        <f ca="1">VLOOKUP($B13,OFFSET([2]quests!$A$1,0,0,COUNTA([2]quests!$A:$A),MATCH(E$1,[2]quests!$1:$1,0)-MATCH($B$1,[2]quests!$1:$1,0)+1),MATCH(E$1,[2]quests!$1:$1,0)-MATCH($B$1,[2]quests!$1:$1,0)+1,FALSE)</f>
        <v>オイラーチャレンジ</v>
      </c>
      <c r="F13" s="11" t="str">
        <f ca="1">VLOOKUP($D13,OFFSET([2]stages!$A$1,0,0,COUNTA([2]stages!$A:$A),MATCH(F$1,[2]stages!$2:$2,0)-MATCH($D$1,[2]stages!$2:$2,0)+1),MATCH(F$1,[2]stages!$2:$2,0)-MATCH($D$1,[2]stages!$2:$2,0)+1,FALSE)</f>
        <v>【超級】オイラーチャレンジ</v>
      </c>
      <c r="G13" s="105">
        <v>1</v>
      </c>
      <c r="H13" s="105" t="str">
        <f t="shared" si="7"/>
        <v>60013_2-1</v>
      </c>
      <c r="I13" s="26" t="e">
        <v>#VALUE!</v>
      </c>
      <c r="J13" s="26" t="e">
        <v>#VALUE!</v>
      </c>
      <c r="K13" s="26" t="s">
        <v>165</v>
      </c>
      <c r="L13" s="105">
        <v>28</v>
      </c>
      <c r="M13" s="11" t="str">
        <f ca="1">VLOOKUP($L13,OFFSET([3]enemies!$A$1,0,0,COUNTA([3]enemies!$A:$A),MATCH(M$1,[3]enemies!$1:$1,0)-MATCH($L$1,[3]enemies!$1:$1,0)+1),MATCH(M$1,[3]enemies!$1:$1,0)-MATCH($L$1,[3]enemies!$1:$1,0)+1,FALSE)</f>
        <v>現場急行 パトラインカスタム</v>
      </c>
      <c r="N13" s="11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1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1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1">
        <f ca="1">VLOOKUP($L13,OFFSET([3]enemies!$A$1,0,0,COUNTA([3]enemies!$A:$A),MATCH(Q$1,[3]enemies!$1:$1,0)-MATCH($L$1,[3]enemies!$1:$1,0)+1),MATCH(Q$1,[3]enemies!$1:$1,0)-MATCH($L$1,[3]enemies!$1:$1,0)+1,FALSE)</f>
        <v>15</v>
      </c>
      <c r="R13" s="231">
        <v>51</v>
      </c>
      <c r="S13" s="232">
        <v>1.4</v>
      </c>
      <c r="T13" s="232">
        <v>2.5</v>
      </c>
      <c r="U13" s="231">
        <v>0</v>
      </c>
      <c r="V13" s="11"/>
      <c r="W13" s="11">
        <v>0</v>
      </c>
      <c r="X13" s="56">
        <v>0</v>
      </c>
      <c r="Y13" s="56">
        <v>100</v>
      </c>
      <c r="Z13" s="56">
        <v>0</v>
      </c>
      <c r="AA13" s="233">
        <v>2</v>
      </c>
      <c r="AB13" s="234">
        <f t="shared" si="8"/>
        <v>28</v>
      </c>
      <c r="AC13" s="11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3" s="11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11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06">
        <v>1</v>
      </c>
      <c r="AG13" s="234">
        <f t="shared" ca="1" si="9"/>
        <v>2</v>
      </c>
      <c r="AH13" s="5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1</v>
      </c>
      <c r="AN13" s="235">
        <v>1</v>
      </c>
      <c r="AO13" s="149"/>
      <c r="AP13" s="149"/>
      <c r="AQ13" s="149"/>
      <c r="AR13" s="149"/>
      <c r="AS13" s="149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49"/>
      <c r="BE13" s="149"/>
      <c r="BF13" s="149"/>
      <c r="BG13" s="149"/>
    </row>
    <row r="14" spans="1:59" s="56" customFormat="1" ht="21" customHeight="1" x14ac:dyDescent="0.15">
      <c r="A14" s="229" t="str">
        <f t="shared" si="5"/>
        <v>60013_2-1/28&lt;lv52&gt;s2</v>
      </c>
      <c r="B14" s="230">
        <v>60013</v>
      </c>
      <c r="C14" s="105">
        <v>2</v>
      </c>
      <c r="D14" s="9" t="str">
        <f t="shared" si="6"/>
        <v>60013_2</v>
      </c>
      <c r="E14" s="11" t="str">
        <f ca="1">VLOOKUP($B14,OFFSET([2]quests!$A$1,0,0,COUNTA([2]quests!$A:$A),MATCH(E$1,[2]quests!$1:$1,0)-MATCH($B$1,[2]quests!$1:$1,0)+1),MATCH(E$1,[2]quests!$1:$1,0)-MATCH($B$1,[2]quests!$1:$1,0)+1,FALSE)</f>
        <v>オイラーチャレンジ</v>
      </c>
      <c r="F14" s="11" t="str">
        <f ca="1">VLOOKUP($D14,OFFSET([2]stages!$A$1,0,0,COUNTA([2]stages!$A:$A),MATCH(F$1,[2]stages!$2:$2,0)-MATCH($D$1,[2]stages!$2:$2,0)+1),MATCH(F$1,[2]stages!$2:$2,0)-MATCH($D$1,[2]stages!$2:$2,0)+1,FALSE)</f>
        <v>【超級】オイラーチャレンジ</v>
      </c>
      <c r="G14" s="105">
        <v>1</v>
      </c>
      <c r="H14" s="105" t="str">
        <f t="shared" si="7"/>
        <v>60013_2-1</v>
      </c>
      <c r="I14" s="26" t="e">
        <v>#VALUE!</v>
      </c>
      <c r="J14" s="26" t="e">
        <v>#VALUE!</v>
      </c>
      <c r="K14" s="26" t="s">
        <v>357</v>
      </c>
      <c r="L14" s="105">
        <v>28</v>
      </c>
      <c r="M14" s="11" t="str">
        <f ca="1">VLOOKUP($L14,OFFSET([3]enemies!$A$1,0,0,COUNTA([3]enemies!$A:$A),MATCH(M$1,[3]enemies!$1:$1,0)-MATCH($L$1,[3]enemies!$1:$1,0)+1),MATCH(M$1,[3]enemies!$1:$1,0)-MATCH($L$1,[3]enemies!$1:$1,0)+1,FALSE)</f>
        <v>現場急行 パトラインカスタム</v>
      </c>
      <c r="N14" s="11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1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1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1">
        <f ca="1">VLOOKUP($L14,OFFSET([3]enemies!$A$1,0,0,COUNTA([3]enemies!$A:$A),MATCH(Q$1,[3]enemies!$1:$1,0)-MATCH($L$1,[3]enemies!$1:$1,0)+1),MATCH(Q$1,[3]enemies!$1:$1,0)-MATCH($L$1,[3]enemies!$1:$1,0)+1,FALSE)</f>
        <v>15</v>
      </c>
      <c r="R14" s="231">
        <v>52</v>
      </c>
      <c r="S14" s="232">
        <v>1.4</v>
      </c>
      <c r="T14" s="232">
        <v>2.5</v>
      </c>
      <c r="U14" s="231">
        <v>0</v>
      </c>
      <c r="V14" s="11"/>
      <c r="W14" s="11">
        <v>0</v>
      </c>
      <c r="X14" s="56">
        <v>0</v>
      </c>
      <c r="Y14" s="56">
        <v>100</v>
      </c>
      <c r="Z14" s="56">
        <v>0</v>
      </c>
      <c r="AA14" s="233">
        <v>2</v>
      </c>
      <c r="AB14" s="234">
        <f t="shared" si="8"/>
        <v>28</v>
      </c>
      <c r="AC14" s="11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4" s="11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11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106">
        <v>1</v>
      </c>
      <c r="AG14" s="234">
        <f t="shared" ca="1" si="9"/>
        <v>2</v>
      </c>
      <c r="AH14" s="5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1</v>
      </c>
      <c r="AN14" s="235">
        <v>1</v>
      </c>
      <c r="AO14" s="149"/>
      <c r="AP14" s="149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</row>
    <row r="15" spans="1:59" s="258" customFormat="1" ht="21" customHeight="1" thickBot="1" x14ac:dyDescent="0.2">
      <c r="A15" s="229" t="str">
        <f t="shared" si="5"/>
        <v>60013_2-1/28&lt;lv53&gt;s3</v>
      </c>
      <c r="B15" s="230">
        <v>60013</v>
      </c>
      <c r="C15" s="105">
        <v>2</v>
      </c>
      <c r="D15" s="9" t="str">
        <f t="shared" si="6"/>
        <v>60013_2</v>
      </c>
      <c r="E15" s="11" t="str">
        <f ca="1">VLOOKUP($B15,OFFSET([2]quests!$A$1,0,0,COUNTA([2]quests!$A:$A),MATCH(E$1,[2]quests!$1:$1,0)-MATCH($B$1,[2]quests!$1:$1,0)+1),MATCH(E$1,[2]quests!$1:$1,0)-MATCH($B$1,[2]quests!$1:$1,0)+1,FALSE)</f>
        <v>オイラーチャレンジ</v>
      </c>
      <c r="F15" s="11" t="str">
        <f ca="1">VLOOKUP($D15,OFFSET([2]stages!$A$1,0,0,COUNTA([2]stages!$A:$A),MATCH(F$1,[2]stages!$2:$2,0)-MATCH($D$1,[2]stages!$2:$2,0)+1),MATCH(F$1,[2]stages!$2:$2,0)-MATCH($D$1,[2]stages!$2:$2,0)+1,FALSE)</f>
        <v>【超級】オイラーチャレンジ</v>
      </c>
      <c r="G15" s="105">
        <v>1</v>
      </c>
      <c r="H15" s="105" t="str">
        <f t="shared" si="7"/>
        <v>60013_2-1</v>
      </c>
      <c r="I15" s="26" t="e">
        <v>#VALUE!</v>
      </c>
      <c r="J15" s="26" t="e">
        <v>#VALUE!</v>
      </c>
      <c r="K15" s="26" t="s">
        <v>165</v>
      </c>
      <c r="L15" s="105">
        <v>28</v>
      </c>
      <c r="M15" s="11" t="str">
        <f ca="1">VLOOKUP($L15,OFFSET([3]enemies!$A$1,0,0,COUNTA([3]enemies!$A:$A),MATCH(M$1,[3]enemies!$1:$1,0)-MATCH($L$1,[3]enemies!$1:$1,0)+1),MATCH(M$1,[3]enemies!$1:$1,0)-MATCH($L$1,[3]enemies!$1:$1,0)+1,FALSE)</f>
        <v>現場急行 パトラインカスタム</v>
      </c>
      <c r="N15" s="11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1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1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1">
        <f ca="1">VLOOKUP($L15,OFFSET([3]enemies!$A$1,0,0,COUNTA([3]enemies!$A:$A),MATCH(Q$1,[3]enemies!$1:$1,0)-MATCH($L$1,[3]enemies!$1:$1,0)+1),MATCH(Q$1,[3]enemies!$1:$1,0)-MATCH($L$1,[3]enemies!$1:$1,0)+1,FALSE)</f>
        <v>15</v>
      </c>
      <c r="R15" s="231">
        <v>53</v>
      </c>
      <c r="S15" s="232">
        <v>1.4</v>
      </c>
      <c r="T15" s="232">
        <v>2.5</v>
      </c>
      <c r="U15" s="231">
        <v>0</v>
      </c>
      <c r="V15" s="11"/>
      <c r="W15" s="11">
        <v>0</v>
      </c>
      <c r="X15" s="56">
        <v>0</v>
      </c>
      <c r="Y15" s="56">
        <v>100</v>
      </c>
      <c r="Z15" s="56">
        <v>0</v>
      </c>
      <c r="AA15" s="233">
        <v>3</v>
      </c>
      <c r="AB15" s="234">
        <f t="shared" si="8"/>
        <v>28</v>
      </c>
      <c r="AC15" s="11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5" s="11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11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106">
        <v>1</v>
      </c>
      <c r="AG15" s="234">
        <f t="shared" ca="1" si="9"/>
        <v>2</v>
      </c>
      <c r="AH15" s="56">
        <v>0</v>
      </c>
      <c r="AI15" s="160">
        <v>0</v>
      </c>
      <c r="AJ15" s="160">
        <v>0</v>
      </c>
      <c r="AK15" s="160">
        <v>0</v>
      </c>
      <c r="AL15" s="160">
        <v>0</v>
      </c>
      <c r="AM15" s="160">
        <v>1</v>
      </c>
      <c r="AN15" s="259">
        <v>1</v>
      </c>
      <c r="AO15" s="149"/>
      <c r="AP15" s="149"/>
      <c r="AQ15" s="149"/>
      <c r="AR15" s="149"/>
      <c r="AS15" s="149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49"/>
      <c r="BE15" s="149"/>
      <c r="BF15" s="149"/>
      <c r="BG15" s="149"/>
    </row>
    <row r="16" spans="1:59" s="146" customFormat="1" ht="21" customHeight="1" x14ac:dyDescent="0.15">
      <c r="A16" s="238" t="str">
        <f t="shared" si="5"/>
        <v>60013_2-2/36&lt;lv50&gt;s4</v>
      </c>
      <c r="B16" s="230">
        <v>60013</v>
      </c>
      <c r="C16" s="105">
        <v>2</v>
      </c>
      <c r="D16" s="9" t="str">
        <f t="shared" si="6"/>
        <v>60013_2</v>
      </c>
      <c r="E16" s="239" t="str">
        <f ca="1">VLOOKUP($B16,OFFSET([2]quests!$A$1,0,0,COUNTA([2]quests!$A:$A),MATCH(E$1,[2]quests!$1:$1,0)-MATCH($B$1,[2]quests!$1:$1,0)+1),MATCH(E$1,[2]quests!$1:$1,0)-MATCH($B$1,[2]quests!$1:$1,0)+1,FALSE)</f>
        <v>オイラーチャレンジ</v>
      </c>
      <c r="F16" s="239" t="str">
        <f ca="1">VLOOKUP($D16,OFFSET([2]stages!$A$1,0,0,COUNTA([2]stages!$A:$A),MATCH(F$1,[2]stages!$2:$2,0)-MATCH($D$1,[2]stages!$2:$2,0)+1),MATCH(F$1,[2]stages!$2:$2,0)-MATCH($D$1,[2]stages!$2:$2,0)+1,FALSE)</f>
        <v>【超級】オイラーチャレンジ</v>
      </c>
      <c r="G16" s="105">
        <v>2</v>
      </c>
      <c r="H16" s="105" t="str">
        <f t="shared" si="7"/>
        <v>60013_2-2</v>
      </c>
      <c r="I16" s="240" t="e">
        <v>#VALUE!</v>
      </c>
      <c r="J16" s="240" t="e">
        <v>#VALUE!</v>
      </c>
      <c r="K16" s="26" t="s">
        <v>165</v>
      </c>
      <c r="L16" s="105">
        <v>36</v>
      </c>
      <c r="M16" s="241" t="str">
        <f ca="1">VLOOKUP($L16,OFFSET([3]enemies!$A$1,0,0,COUNTA([3]enemies!$A:$A),MATCH(M$1,[3]enemies!$1:$1,0)-MATCH($L$1,[3]enemies!$1:$1,0)+1),MATCH(M$1,[3]enemies!$1:$1,0)-MATCH($L$1,[3]enemies!$1:$1,0)+1,FALSE)</f>
        <v>オフィス追尾型移動地雷F3</v>
      </c>
      <c r="N16" s="241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241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241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241">
        <f ca="1">VLOOKUP($L16,OFFSET([3]enemies!$A$1,0,0,COUNTA([3]enemies!$A:$A),MATCH(Q$1,[3]enemies!$1:$1,0)-MATCH($L$1,[3]enemies!$1:$1,0)+1),MATCH(Q$1,[3]enemies!$1:$1,0)-MATCH($L$1,[3]enemies!$1:$1,0)+1,FALSE)</f>
        <v>20</v>
      </c>
      <c r="R16" s="242">
        <v>50</v>
      </c>
      <c r="S16" s="243">
        <v>0.6</v>
      </c>
      <c r="T16" s="243">
        <v>0.4</v>
      </c>
      <c r="U16" s="242">
        <v>0</v>
      </c>
      <c r="V16" s="239"/>
      <c r="W16" s="236">
        <v>60013001</v>
      </c>
      <c r="X16" s="245">
        <v>0</v>
      </c>
      <c r="Y16" s="245">
        <v>100</v>
      </c>
      <c r="Z16" s="245">
        <v>0</v>
      </c>
      <c r="AA16" s="237">
        <v>4</v>
      </c>
      <c r="AB16" s="234">
        <f t="shared" si="8"/>
        <v>36</v>
      </c>
      <c r="AC16" s="239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6" s="239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239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06">
        <v>1</v>
      </c>
      <c r="AG16" s="234">
        <f t="shared" ca="1" si="9"/>
        <v>3</v>
      </c>
      <c r="AH16" s="56">
        <v>0</v>
      </c>
      <c r="AI16" s="98">
        <v>0</v>
      </c>
      <c r="AJ16" s="98">
        <v>0</v>
      </c>
      <c r="AK16" s="98">
        <v>0</v>
      </c>
      <c r="AL16" s="98">
        <v>0</v>
      </c>
      <c r="AM16" s="98">
        <v>1</v>
      </c>
      <c r="AN16" s="228">
        <v>1</v>
      </c>
      <c r="AO16" s="149"/>
      <c r="AP16" s="149"/>
      <c r="AQ16" s="149"/>
      <c r="AR16" s="149"/>
      <c r="AS16" s="149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49"/>
      <c r="BE16" s="149"/>
      <c r="BF16" s="149"/>
      <c r="BG16" s="149"/>
    </row>
    <row r="17" spans="1:59" s="149" customFormat="1" ht="21" customHeight="1" x14ac:dyDescent="0.15">
      <c r="A17" s="238" t="str">
        <f t="shared" si="5"/>
        <v>60013_2-2/36&lt;lv51&gt;s4</v>
      </c>
      <c r="B17" s="230">
        <v>60013</v>
      </c>
      <c r="C17" s="105">
        <v>2</v>
      </c>
      <c r="D17" s="9" t="str">
        <f t="shared" si="6"/>
        <v>60013_2</v>
      </c>
      <c r="E17" s="239" t="str">
        <f ca="1">VLOOKUP($B17,OFFSET([2]quests!$A$1,0,0,COUNTA([2]quests!$A:$A),MATCH(E$1,[2]quests!$1:$1,0)-MATCH($B$1,[2]quests!$1:$1,0)+1),MATCH(E$1,[2]quests!$1:$1,0)-MATCH($B$1,[2]quests!$1:$1,0)+1,FALSE)</f>
        <v>オイラーチャレンジ</v>
      </c>
      <c r="F17" s="239" t="str">
        <f ca="1">VLOOKUP($D17,OFFSET([2]stages!$A$1,0,0,COUNTA([2]stages!$A:$A),MATCH(F$1,[2]stages!$2:$2,0)-MATCH($D$1,[2]stages!$2:$2,0)+1),MATCH(F$1,[2]stages!$2:$2,0)-MATCH($D$1,[2]stages!$2:$2,0)+1,FALSE)</f>
        <v>【超級】オイラーチャレンジ</v>
      </c>
      <c r="G17" s="105">
        <v>2</v>
      </c>
      <c r="H17" s="105" t="str">
        <f t="shared" si="7"/>
        <v>60013_2-2</v>
      </c>
      <c r="I17" s="240" t="e">
        <v>#VALUE!</v>
      </c>
      <c r="J17" s="240" t="e">
        <v>#VALUE!</v>
      </c>
      <c r="K17" s="26" t="s">
        <v>165</v>
      </c>
      <c r="L17" s="105">
        <v>36</v>
      </c>
      <c r="M17" s="241" t="str">
        <f ca="1">VLOOKUP($L17,OFFSET([3]enemies!$A$1,0,0,COUNTA([3]enemies!$A:$A),MATCH(M$1,[3]enemies!$1:$1,0)-MATCH($L$1,[3]enemies!$1:$1,0)+1),MATCH(M$1,[3]enemies!$1:$1,0)-MATCH($L$1,[3]enemies!$1:$1,0)+1,FALSE)</f>
        <v>オフィス追尾型移動地雷F3</v>
      </c>
      <c r="N17" s="241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241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241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241">
        <f ca="1">VLOOKUP($L17,OFFSET([3]enemies!$A$1,0,0,COUNTA([3]enemies!$A:$A),MATCH(Q$1,[3]enemies!$1:$1,0)-MATCH($L$1,[3]enemies!$1:$1,0)+1),MATCH(Q$1,[3]enemies!$1:$1,0)-MATCH($L$1,[3]enemies!$1:$1,0)+1,FALSE)</f>
        <v>20</v>
      </c>
      <c r="R17" s="242">
        <v>51</v>
      </c>
      <c r="S17" s="243">
        <v>0.6</v>
      </c>
      <c r="T17" s="243">
        <v>0.4</v>
      </c>
      <c r="U17" s="242">
        <v>0</v>
      </c>
      <c r="V17" s="239"/>
      <c r="W17" s="236">
        <v>60013001</v>
      </c>
      <c r="X17" s="245">
        <v>0</v>
      </c>
      <c r="Y17" s="245">
        <v>100</v>
      </c>
      <c r="Z17" s="245">
        <v>0</v>
      </c>
      <c r="AA17" s="237">
        <v>4</v>
      </c>
      <c r="AB17" s="234">
        <f t="shared" si="8"/>
        <v>36</v>
      </c>
      <c r="AC17" s="239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7" s="239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239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106">
        <v>1</v>
      </c>
      <c r="AG17" s="234">
        <f t="shared" ca="1" si="9"/>
        <v>3</v>
      </c>
      <c r="AH17" s="56">
        <v>0</v>
      </c>
      <c r="AI17" s="261">
        <v>0</v>
      </c>
      <c r="AJ17" s="261">
        <v>0</v>
      </c>
      <c r="AK17" s="261">
        <v>0</v>
      </c>
      <c r="AL17" s="261">
        <v>0</v>
      </c>
      <c r="AM17" s="261">
        <v>1</v>
      </c>
      <c r="AN17" s="262">
        <v>1</v>
      </c>
    </row>
    <row r="18" spans="1:59" s="157" customFormat="1" ht="21" customHeight="1" thickBot="1" x14ac:dyDescent="0.2">
      <c r="A18" s="238" t="str">
        <f t="shared" si="5"/>
        <v>60013_2-2/36&lt;lv52&gt;s4</v>
      </c>
      <c r="B18" s="230">
        <v>60013</v>
      </c>
      <c r="C18" s="105">
        <v>2</v>
      </c>
      <c r="D18" s="9" t="str">
        <f t="shared" si="6"/>
        <v>60013_2</v>
      </c>
      <c r="E18" s="239" t="str">
        <f ca="1">VLOOKUP($B18,OFFSET([2]quests!$A$1,0,0,COUNTA([2]quests!$A:$A),MATCH(E$1,[2]quests!$1:$1,0)-MATCH($B$1,[2]quests!$1:$1,0)+1),MATCH(E$1,[2]quests!$1:$1,0)-MATCH($B$1,[2]quests!$1:$1,0)+1,FALSE)</f>
        <v>オイラーチャレンジ</v>
      </c>
      <c r="F18" s="239" t="str">
        <f ca="1">VLOOKUP($D18,OFFSET([2]stages!$A$1,0,0,COUNTA([2]stages!$A:$A),MATCH(F$1,[2]stages!$2:$2,0)-MATCH($D$1,[2]stages!$2:$2,0)+1),MATCH(F$1,[2]stages!$2:$2,0)-MATCH($D$1,[2]stages!$2:$2,0)+1,FALSE)</f>
        <v>【超級】オイラーチャレンジ</v>
      </c>
      <c r="G18" s="105">
        <v>2</v>
      </c>
      <c r="H18" s="105" t="str">
        <f t="shared" si="7"/>
        <v>60013_2-2</v>
      </c>
      <c r="I18" s="240" t="e">
        <v>#VALUE!</v>
      </c>
      <c r="J18" s="240" t="e">
        <v>#VALUE!</v>
      </c>
      <c r="K18" s="26" t="s">
        <v>165</v>
      </c>
      <c r="L18" s="105">
        <v>36</v>
      </c>
      <c r="M18" s="241" t="str">
        <f ca="1">VLOOKUP($L18,OFFSET([3]enemies!$A$1,0,0,COUNTA([3]enemies!$A:$A),MATCH(M$1,[3]enemies!$1:$1,0)-MATCH($L$1,[3]enemies!$1:$1,0)+1),MATCH(M$1,[3]enemies!$1:$1,0)-MATCH($L$1,[3]enemies!$1:$1,0)+1,FALSE)</f>
        <v>オフィス追尾型移動地雷F3</v>
      </c>
      <c r="N18" s="241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241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241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241">
        <f ca="1">VLOOKUP($L18,OFFSET([3]enemies!$A$1,0,0,COUNTA([3]enemies!$A:$A),MATCH(Q$1,[3]enemies!$1:$1,0)-MATCH($L$1,[3]enemies!$1:$1,0)+1),MATCH(Q$1,[3]enemies!$1:$1,0)-MATCH($L$1,[3]enemies!$1:$1,0)+1,FALSE)</f>
        <v>20</v>
      </c>
      <c r="R18" s="242">
        <v>52</v>
      </c>
      <c r="S18" s="243">
        <v>0.6</v>
      </c>
      <c r="T18" s="243">
        <v>0.4</v>
      </c>
      <c r="U18" s="242">
        <v>0</v>
      </c>
      <c r="V18" s="239"/>
      <c r="W18" s="236">
        <v>60013001</v>
      </c>
      <c r="X18" s="245">
        <v>0</v>
      </c>
      <c r="Y18" s="245">
        <v>100</v>
      </c>
      <c r="Z18" s="245">
        <v>0</v>
      </c>
      <c r="AA18" s="237">
        <v>4</v>
      </c>
      <c r="AB18" s="234">
        <f t="shared" si="8"/>
        <v>36</v>
      </c>
      <c r="AC18" s="239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8" s="239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239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106">
        <v>1</v>
      </c>
      <c r="AG18" s="234">
        <f t="shared" ca="1" si="9"/>
        <v>3</v>
      </c>
      <c r="AH18" s="56">
        <v>0</v>
      </c>
      <c r="AI18" s="263">
        <v>0</v>
      </c>
      <c r="AJ18" s="263">
        <v>0</v>
      </c>
      <c r="AK18" s="263">
        <v>0</v>
      </c>
      <c r="AL18" s="263">
        <v>0</v>
      </c>
      <c r="AM18" s="263">
        <v>1</v>
      </c>
      <c r="AN18" s="264">
        <v>1</v>
      </c>
      <c r="AO18" s="149"/>
      <c r="AP18" s="149"/>
      <c r="AQ18" s="149"/>
      <c r="AR18" s="149"/>
      <c r="AS18" s="149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49"/>
      <c r="BE18" s="149"/>
      <c r="BF18" s="149"/>
      <c r="BG18" s="149"/>
    </row>
    <row r="19" spans="1:59" s="146" customFormat="1" ht="21" customHeight="1" x14ac:dyDescent="0.15">
      <c r="A19" s="238" t="str">
        <f t="shared" si="5"/>
        <v>60013_2-3/437&lt;lv50&gt;s2</v>
      </c>
      <c r="B19" s="230">
        <v>60013</v>
      </c>
      <c r="C19" s="105">
        <v>2</v>
      </c>
      <c r="D19" s="9" t="str">
        <f t="shared" si="6"/>
        <v>60013_2</v>
      </c>
      <c r="E19" s="239" t="str">
        <f ca="1">VLOOKUP($B19,OFFSET([2]quests!$A$1,0,0,COUNTA([2]quests!$A:$A),MATCH(E$1,[2]quests!$1:$1,0)-MATCH($B$1,[2]quests!$1:$1,0)+1),MATCH(E$1,[2]quests!$1:$1,0)-MATCH($B$1,[2]quests!$1:$1,0)+1,FALSE)</f>
        <v>オイラーチャレンジ</v>
      </c>
      <c r="F19" s="239" t="str">
        <f ca="1">VLOOKUP($D19,OFFSET([2]stages!$A$1,0,0,COUNTA([2]stages!$A:$A),MATCH(F$1,[2]stages!$2:$2,0)-MATCH($D$1,[2]stages!$2:$2,0)+1),MATCH(F$1,[2]stages!$2:$2,0)-MATCH($D$1,[2]stages!$2:$2,0)+1,FALSE)</f>
        <v>【超級】オイラーチャレンジ</v>
      </c>
      <c r="G19" s="105">
        <v>3</v>
      </c>
      <c r="H19" s="105" t="str">
        <f t="shared" si="7"/>
        <v>60013_2-3</v>
      </c>
      <c r="I19" s="240" t="e">
        <v>#VALUE!</v>
      </c>
      <c r="J19" s="240" t="e">
        <v>#VALUE!</v>
      </c>
      <c r="K19" s="26" t="s">
        <v>165</v>
      </c>
      <c r="L19" s="105">
        <v>437</v>
      </c>
      <c r="M19" s="241" t="str">
        <f ca="1">VLOOKUP($L19,OFFSET([3]enemies!$A$1,0,0,COUNTA([3]enemies!$A:$A),MATCH(M$1,[3]enemies!$1:$1,0)-MATCH($L$1,[3]enemies!$1:$1,0)+1),MATCH(M$1,[3]enemies!$1:$1,0)-MATCH($L$1,[3]enemies!$1:$1,0)+1,FALSE)</f>
        <v>忘却者 カカシ</v>
      </c>
      <c r="N19" s="241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241" t="str">
        <f ca="1">VLOOKUP($L19,OFFSET([4]characters!$A$1,0,0,COUNTA([4]characters!$A:$A),MATCH(O$1,[4]characters!$1:$1,0)-MATCH($L$1,[4]characters!$1:$1,0)+1),MATCH(O$1,[4]characters!$1:$1,0)-MATCH($L$1,[4]characters!$1:$1,0)+1,FALSE)</f>
        <v>PremiumS</v>
      </c>
      <c r="P19" s="241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241">
        <f ca="1">VLOOKUP($L19,OFFSET([3]enemies!$A$1,0,0,COUNTA([3]enemies!$A:$A),MATCH(Q$1,[3]enemies!$1:$1,0)-MATCH($L$1,[3]enemies!$1:$1,0)+1),MATCH(Q$1,[3]enemies!$1:$1,0)-MATCH($L$1,[3]enemies!$1:$1,0)+1,FALSE)</f>
        <v>30</v>
      </c>
      <c r="R19" s="242">
        <v>50</v>
      </c>
      <c r="S19" s="243">
        <v>1.6</v>
      </c>
      <c r="T19" s="243">
        <v>1.2</v>
      </c>
      <c r="U19" s="242">
        <v>0</v>
      </c>
      <c r="V19" s="239"/>
      <c r="W19" s="244">
        <v>60013004</v>
      </c>
      <c r="X19" s="245">
        <v>1</v>
      </c>
      <c r="Y19" s="245">
        <v>100</v>
      </c>
      <c r="Z19" s="245">
        <v>2</v>
      </c>
      <c r="AA19" s="237">
        <v>2</v>
      </c>
      <c r="AB19" s="234">
        <f t="shared" si="8"/>
        <v>437</v>
      </c>
      <c r="AC19" s="239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19" s="239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239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9" s="106">
        <v>1</v>
      </c>
      <c r="AG19" s="234">
        <f t="shared" ca="1" si="9"/>
        <v>4</v>
      </c>
      <c r="AH19" s="56">
        <v>0</v>
      </c>
      <c r="AI19" s="98">
        <v>0</v>
      </c>
      <c r="AJ19" s="98">
        <v>0</v>
      </c>
      <c r="AK19" s="98">
        <v>0</v>
      </c>
      <c r="AL19" s="98">
        <v>0</v>
      </c>
      <c r="AM19" s="98">
        <v>1</v>
      </c>
      <c r="AN19" s="228">
        <v>1</v>
      </c>
      <c r="AO19" s="149"/>
      <c r="AP19" s="149"/>
      <c r="AQ19" s="149"/>
      <c r="AR19" s="149"/>
      <c r="AS19" s="149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49"/>
      <c r="BE19" s="149"/>
      <c r="BF19" s="149"/>
      <c r="BG19" s="149"/>
    </row>
    <row r="20" spans="1:59" s="157" customFormat="1" ht="21" customHeight="1" thickBot="1" x14ac:dyDescent="0.2">
      <c r="A20" s="238" t="str">
        <f t="shared" si="5"/>
        <v>60013_2-3/281&lt;lv50&gt;s3</v>
      </c>
      <c r="B20" s="230">
        <v>60013</v>
      </c>
      <c r="C20" s="105">
        <v>2</v>
      </c>
      <c r="D20" s="9" t="str">
        <f t="shared" si="6"/>
        <v>60013_2</v>
      </c>
      <c r="E20" s="239" t="str">
        <f ca="1">VLOOKUP($B20,OFFSET([2]quests!$A$1,0,0,COUNTA([2]quests!$A:$A),MATCH(E$1,[2]quests!$1:$1,0)-MATCH($B$1,[2]quests!$1:$1,0)+1),MATCH(E$1,[2]quests!$1:$1,0)-MATCH($B$1,[2]quests!$1:$1,0)+1,FALSE)</f>
        <v>オイラーチャレンジ</v>
      </c>
      <c r="F20" s="239" t="str">
        <f ca="1">VLOOKUP($D20,OFFSET([2]stages!$A$1,0,0,COUNTA([2]stages!$A:$A),MATCH(F$1,[2]stages!$2:$2,0)-MATCH($D$1,[2]stages!$2:$2,0)+1),MATCH(F$1,[2]stages!$2:$2,0)-MATCH($D$1,[2]stages!$2:$2,0)+1,FALSE)</f>
        <v>【超級】オイラーチャレンジ</v>
      </c>
      <c r="G20" s="105">
        <v>3</v>
      </c>
      <c r="H20" s="105" t="str">
        <f t="shared" si="7"/>
        <v>60013_2-3</v>
      </c>
      <c r="I20" s="240" t="e">
        <v>#VALUE!</v>
      </c>
      <c r="J20" s="240" t="e">
        <v>#VALUE!</v>
      </c>
      <c r="K20" s="26" t="s">
        <v>165</v>
      </c>
      <c r="L20" s="105">
        <v>281</v>
      </c>
      <c r="M20" s="241" t="str">
        <f ca="1">VLOOKUP($L20,OFFSET([3]enemies!$A$1,0,0,COUNTA([3]enemies!$A:$A),MATCH(M$1,[3]enemies!$1:$1,0)-MATCH($L$1,[3]enemies!$1:$1,0)+1),MATCH(M$1,[3]enemies!$1:$1,0)-MATCH($L$1,[3]enemies!$1:$1,0)+1,FALSE)</f>
        <v>リンドブルム・コンデンス</v>
      </c>
      <c r="N20" s="241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241" t="str">
        <f ca="1">VLOOKUP($L20,OFFSET([4]characters!$A$1,0,0,COUNTA([4]characters!$A:$A),MATCH(O$1,[4]characters!$1:$1,0)-MATCH($L$1,[4]characters!$1:$1,0)+1),MATCH(O$1,[4]characters!$1:$1,0)-MATCH($L$1,[4]characters!$1:$1,0)+1,FALSE)</f>
        <v>DropWizW</v>
      </c>
      <c r="P20" s="241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241">
        <f ca="1">VLOOKUP($L20,OFFSET([3]enemies!$A$1,0,0,COUNTA([3]enemies!$A:$A),MATCH(Q$1,[3]enemies!$1:$1,0)-MATCH($L$1,[3]enemies!$1:$1,0)+1),MATCH(Q$1,[3]enemies!$1:$1,0)-MATCH($L$1,[3]enemies!$1:$1,0)+1,FALSE)</f>
        <v>30</v>
      </c>
      <c r="R20" s="242">
        <v>50</v>
      </c>
      <c r="S20" s="243">
        <v>1.2</v>
      </c>
      <c r="T20" s="243">
        <v>1.1000000000000001</v>
      </c>
      <c r="U20" s="242">
        <v>0</v>
      </c>
      <c r="V20" s="239"/>
      <c r="W20" s="236">
        <v>60013005</v>
      </c>
      <c r="X20" s="245">
        <v>1</v>
      </c>
      <c r="Y20" s="245">
        <v>100</v>
      </c>
      <c r="Z20" s="245">
        <v>1</v>
      </c>
      <c r="AA20" s="237">
        <v>3</v>
      </c>
      <c r="AB20" s="234">
        <f t="shared" si="8"/>
        <v>281</v>
      </c>
      <c r="AC20" s="239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20" s="239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239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20" s="106">
        <v>1</v>
      </c>
      <c r="AG20" s="234">
        <f t="shared" ca="1" si="9"/>
        <v>4</v>
      </c>
      <c r="AH20" s="56">
        <v>0</v>
      </c>
      <c r="AI20" s="160">
        <v>0</v>
      </c>
      <c r="AJ20" s="160">
        <v>0</v>
      </c>
      <c r="AK20" s="160">
        <v>0</v>
      </c>
      <c r="AL20" s="160">
        <v>0</v>
      </c>
      <c r="AM20" s="160">
        <v>1</v>
      </c>
      <c r="AN20" s="259">
        <v>1</v>
      </c>
      <c r="AO20" s="149"/>
      <c r="AP20" s="149"/>
      <c r="AQ20" s="149"/>
      <c r="AR20" s="149"/>
      <c r="AS20" s="149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</row>
    <row r="21" spans="1:59" s="149" customFormat="1" ht="21" customHeight="1" thickBot="1" x14ac:dyDescent="0.2">
      <c r="A21" s="247" t="str">
        <f t="shared" ca="1" si="5"/>
        <v>60013_2-4/378&lt;lv50&gt;s3</v>
      </c>
      <c r="B21" s="248">
        <v>60013</v>
      </c>
      <c r="C21" s="152">
        <v>2</v>
      </c>
      <c r="D21" s="154" t="str">
        <f t="shared" si="6"/>
        <v>60013_2</v>
      </c>
      <c r="E21" s="249" t="str">
        <f ca="1">VLOOKUP($B21,OFFSET([2]quests!$A$1,0,0,COUNTA([2]quests!$A:$A),MATCH(E$1,[2]quests!$1:$1,0)-MATCH($B$1,[2]quests!$1:$1,0)+1),MATCH(E$1,[2]quests!$1:$1,0)-MATCH($B$1,[2]quests!$1:$1,0)+1,FALSE)</f>
        <v>オイラーチャレンジ</v>
      </c>
      <c r="F21" s="249" t="str">
        <f ca="1">VLOOKUP($D21,OFFSET([2]stages!$A$1,0,0,COUNTA([2]stages!$A:$A),MATCH(F$1,[2]stages!$2:$2,0)-MATCH($D$1,[2]stages!$2:$2,0)+1),MATCH(F$1,[2]stages!$2:$2,0)-MATCH($D$1,[2]stages!$2:$2,0)+1,FALSE)</f>
        <v>【超級】オイラーチャレンジ</v>
      </c>
      <c r="G21" s="152">
        <v>4</v>
      </c>
      <c r="H21" s="152" t="str">
        <f t="shared" si="7"/>
        <v>60013_2-4</v>
      </c>
      <c r="I21" s="250" t="e">
        <v>#VALUE!</v>
      </c>
      <c r="J21" s="250" t="e">
        <v>#VALUE!</v>
      </c>
      <c r="K21" s="155">
        <v>2</v>
      </c>
      <c r="L21" s="152">
        <v>378</v>
      </c>
      <c r="M21" s="251" t="str">
        <f ca="1">VLOOKUP($L21,OFFSET([3]enemies!$A$1,0,0,COUNTA([3]enemies!$A:$A),MATCH(M$1,[3]enemies!$1:$1,0)-MATCH($L$1,[3]enemies!$1:$1,0)+1),MATCH(M$1,[3]enemies!$1:$1,0)-MATCH($L$1,[3]enemies!$1:$1,0)+1,FALSE)</f>
        <v>オイラー</v>
      </c>
      <c r="N21" s="251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251" t="str">
        <f ca="1">VLOOKUP($L21,OFFSET([4]characters!$A$1,0,0,COUNTA([4]characters!$A:$A),MATCH(O$1,[4]characters!$1:$1,0)-MATCH($L$1,[4]characters!$1:$1,0)+1),MATCH(O$1,[4]characters!$1:$1,0)-MATCH($L$1,[4]characters!$1:$1,0)+1,FALSE)</f>
        <v>PremiumSSS</v>
      </c>
      <c r="P21" s="251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251">
        <f ca="1">VLOOKUP($L21,OFFSET([3]enemies!$A$1,0,0,COUNTA([3]enemies!$A:$A),MATCH(Q$1,[3]enemies!$1:$1,0)-MATCH($L$1,[3]enemies!$1:$1,0)+1),MATCH(Q$1,[3]enemies!$1:$1,0)-MATCH($L$1,[3]enemies!$1:$1,0)+1,FALSE)</f>
        <v>30</v>
      </c>
      <c r="R21" s="252">
        <v>50</v>
      </c>
      <c r="S21" s="253">
        <v>1.5</v>
      </c>
      <c r="T21" s="253">
        <v>1.1000000000000001</v>
      </c>
      <c r="U21" s="252">
        <v>0</v>
      </c>
      <c r="V21" s="249"/>
      <c r="W21" s="254">
        <v>60013006</v>
      </c>
      <c r="X21" s="255">
        <v>0</v>
      </c>
      <c r="Y21" s="255">
        <v>100</v>
      </c>
      <c r="Z21" s="255">
        <v>1</v>
      </c>
      <c r="AA21" s="256">
        <f ca="1">VLOOKUP($L21,OFFSET([3]enemies!$A$1,0,0,COUNTA([3]enemies!$A:$A),MATCH(AA$1,[3]enemies!$1:$1,0)-MATCH($L$1,[3]enemies!$1:$1,0)+1),MATCH(AA$1,[3]enemies!$1:$1,0)-MATCH($L$1,[3]enemies!$1:$1,0)+1,FALSE)</f>
        <v>3</v>
      </c>
      <c r="AB21" s="257">
        <f t="shared" si="8"/>
        <v>378</v>
      </c>
      <c r="AC21" s="249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21" s="249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249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1" s="160">
        <v>1</v>
      </c>
      <c r="AG21" s="257">
        <f t="shared" ca="1" si="9"/>
        <v>4</v>
      </c>
      <c r="AH21" s="258">
        <v>0</v>
      </c>
      <c r="AI21" s="265">
        <v>0</v>
      </c>
      <c r="AJ21" s="265">
        <v>0</v>
      </c>
      <c r="AK21" s="265">
        <v>0</v>
      </c>
      <c r="AL21" s="265">
        <v>0</v>
      </c>
      <c r="AM21" s="265">
        <v>1</v>
      </c>
      <c r="AN21" s="266">
        <v>1</v>
      </c>
    </row>
    <row r="22" spans="1:59" s="225" customFormat="1" ht="21" customHeight="1" x14ac:dyDescent="0.15">
      <c r="A22" s="221" t="str">
        <f t="shared" si="5"/>
        <v>60013_3-1/28&lt;lv60&gt;s2</v>
      </c>
      <c r="B22" s="222">
        <v>60013</v>
      </c>
      <c r="C22" s="141">
        <v>3</v>
      </c>
      <c r="D22" s="143" t="str">
        <f t="shared" si="6"/>
        <v>60013_3</v>
      </c>
      <c r="E22" s="140" t="str">
        <f ca="1">VLOOKUP($B22,OFFSET([2]quests!$A$1,0,0,COUNTA([2]quests!$A:$A),MATCH(E$1,[2]quests!$1:$1,0)-MATCH($B$1,[2]quests!$1:$1,0)+1),MATCH(E$1,[2]quests!$1:$1,0)-MATCH($B$1,[2]quests!$1:$1,0)+1,FALSE)</f>
        <v>オイラーチャレンジ</v>
      </c>
      <c r="F22" s="140" t="str">
        <f ca="1">VLOOKUP($D22,OFFSET([2]stages!$A$1,0,0,COUNTA([2]stages!$A:$A),MATCH(F$1,[2]stages!$2:$2,0)-MATCH($D$1,[2]stages!$2:$2,0)+1),MATCH(F$1,[2]stages!$2:$2,0)-MATCH($D$1,[2]stages!$2:$2,0)+1,FALSE)</f>
        <v>【ウィザード級】オイラーチャレンジ</v>
      </c>
      <c r="G22" s="141">
        <v>1</v>
      </c>
      <c r="H22" s="141" t="str">
        <f t="shared" si="7"/>
        <v>60013_3-1</v>
      </c>
      <c r="I22" s="144" t="e">
        <v>#VALUE!</v>
      </c>
      <c r="J22" s="144" t="e">
        <v>#VALUE!</v>
      </c>
      <c r="K22" s="144" t="s">
        <v>165</v>
      </c>
      <c r="L22" s="141">
        <v>28</v>
      </c>
      <c r="M22" s="140" t="str">
        <f ca="1">VLOOKUP($L22,OFFSET([3]enemies!$A$1,0,0,COUNTA([3]enemies!$A:$A),MATCH(M$1,[3]enemies!$1:$1,0)-MATCH($L$1,[3]enemies!$1:$1,0)+1),MATCH(M$1,[3]enemies!$1:$1,0)-MATCH($L$1,[3]enemies!$1:$1,0)+1,FALSE)</f>
        <v>現場急行 パトラインカスタム</v>
      </c>
      <c r="N22" s="140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40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40" t="str">
        <f ca="1">VLOOKUP($L22,OFFSET([3]enemies!$A$1,0,0,COUNTA([3]enemies!$A:$A),MATCH(P$1,[3]enemies!$1:$1,0)-MATCH($L$1,[3]enemies!$1:$1,0)+1),MATCH(P$1,[3]enemies!$1:$1,0)-MATCH($L$1,[3]enemies!$1:$1,0)+1,FALSE)</f>
        <v>machine</v>
      </c>
      <c r="Q22" s="140">
        <f ca="1">VLOOKUP($L22,OFFSET([3]enemies!$A$1,0,0,COUNTA([3]enemies!$A:$A),MATCH(Q$1,[3]enemies!$1:$1,0)-MATCH($L$1,[3]enemies!$1:$1,0)+1),MATCH(Q$1,[3]enemies!$1:$1,0)-MATCH($L$1,[3]enemies!$1:$1,0)+1,FALSE)</f>
        <v>15</v>
      </c>
      <c r="R22" s="223">
        <v>60</v>
      </c>
      <c r="S22" s="224">
        <v>1.8</v>
      </c>
      <c r="T22" s="224">
        <v>1.5</v>
      </c>
      <c r="U22" s="223">
        <v>0</v>
      </c>
      <c r="V22" s="140"/>
      <c r="W22" s="140">
        <v>0</v>
      </c>
      <c r="X22" s="225">
        <v>1</v>
      </c>
      <c r="Y22" s="225">
        <v>100</v>
      </c>
      <c r="Z22" s="225">
        <v>0</v>
      </c>
      <c r="AA22" s="226">
        <v>2</v>
      </c>
      <c r="AB22" s="227">
        <f t="shared" si="8"/>
        <v>28</v>
      </c>
      <c r="AC22" s="140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2" s="140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140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98">
        <v>1</v>
      </c>
      <c r="AG22" s="227">
        <f t="shared" ca="1" si="9"/>
        <v>2</v>
      </c>
      <c r="AH22" s="98">
        <v>0</v>
      </c>
      <c r="AI22" s="98">
        <v>0</v>
      </c>
      <c r="AJ22" s="98">
        <v>0</v>
      </c>
      <c r="AK22" s="98">
        <v>0</v>
      </c>
      <c r="AL22" s="98">
        <v>0</v>
      </c>
      <c r="AM22" s="98">
        <v>1</v>
      </c>
      <c r="AN22" s="228">
        <v>1</v>
      </c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</row>
    <row r="23" spans="1:59" s="56" customFormat="1" ht="21" customHeight="1" x14ac:dyDescent="0.15">
      <c r="A23" s="229" t="str">
        <f t="shared" si="5"/>
        <v>60013_3-1/28&lt;lv61&gt;s3</v>
      </c>
      <c r="B23" s="230">
        <v>60013</v>
      </c>
      <c r="C23" s="105">
        <v>3</v>
      </c>
      <c r="D23" s="9" t="str">
        <f t="shared" si="6"/>
        <v>60013_3</v>
      </c>
      <c r="E23" s="11" t="str">
        <f ca="1">VLOOKUP($B23,OFFSET([2]quests!$A$1,0,0,COUNTA([2]quests!$A:$A),MATCH(E$1,[2]quests!$1:$1,0)-MATCH($B$1,[2]quests!$1:$1,0)+1),MATCH(E$1,[2]quests!$1:$1,0)-MATCH($B$1,[2]quests!$1:$1,0)+1,FALSE)</f>
        <v>オイラーチャレンジ</v>
      </c>
      <c r="F23" s="11" t="str">
        <f ca="1">VLOOKUP($D23,OFFSET([2]stages!$A$1,0,0,COUNTA([2]stages!$A:$A),MATCH(F$1,[2]stages!$2:$2,0)-MATCH($D$1,[2]stages!$2:$2,0)+1),MATCH(F$1,[2]stages!$2:$2,0)-MATCH($D$1,[2]stages!$2:$2,0)+1,FALSE)</f>
        <v>【ウィザード級】オイラーチャレンジ</v>
      </c>
      <c r="G23" s="105">
        <v>1</v>
      </c>
      <c r="H23" s="105" t="str">
        <f t="shared" si="7"/>
        <v>60013_3-1</v>
      </c>
      <c r="I23" s="26" t="e">
        <v>#VALUE!</v>
      </c>
      <c r="J23" s="26" t="e">
        <v>#VALUE!</v>
      </c>
      <c r="K23" s="26" t="s">
        <v>358</v>
      </c>
      <c r="L23" s="105">
        <v>28</v>
      </c>
      <c r="M23" s="11" t="str">
        <f ca="1">VLOOKUP($L23,OFFSET([3]enemies!$A$1,0,0,COUNTA([3]enemies!$A:$A),MATCH(M$1,[3]enemies!$1:$1,0)-MATCH($L$1,[3]enemies!$1:$1,0)+1),MATCH(M$1,[3]enemies!$1:$1,0)-MATCH($L$1,[3]enemies!$1:$1,0)+1,FALSE)</f>
        <v>現場急行 パトラインカスタム</v>
      </c>
      <c r="N23" s="11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1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1" t="str">
        <f ca="1">VLOOKUP($L23,OFFSET([3]enemies!$A$1,0,0,COUNTA([3]enemies!$A:$A),MATCH(P$1,[3]enemies!$1:$1,0)-MATCH($L$1,[3]enemies!$1:$1,0)+1),MATCH(P$1,[3]enemies!$1:$1,0)-MATCH($L$1,[3]enemies!$1:$1,0)+1,FALSE)</f>
        <v>machine</v>
      </c>
      <c r="Q23" s="11">
        <f ca="1">VLOOKUP($L23,OFFSET([3]enemies!$A$1,0,0,COUNTA([3]enemies!$A:$A),MATCH(Q$1,[3]enemies!$1:$1,0)-MATCH($L$1,[3]enemies!$1:$1,0)+1),MATCH(Q$1,[3]enemies!$1:$1,0)-MATCH($L$1,[3]enemies!$1:$1,0)+1,FALSE)</f>
        <v>15</v>
      </c>
      <c r="R23" s="231">
        <v>61</v>
      </c>
      <c r="S23" s="232">
        <v>1.7</v>
      </c>
      <c r="T23" s="232">
        <v>2.8</v>
      </c>
      <c r="U23" s="231">
        <v>0</v>
      </c>
      <c r="V23" s="11"/>
      <c r="W23" s="11">
        <v>0</v>
      </c>
      <c r="X23" s="56">
        <v>1</v>
      </c>
      <c r="Y23" s="56">
        <v>100</v>
      </c>
      <c r="Z23" s="56">
        <v>0</v>
      </c>
      <c r="AA23" s="233">
        <v>3</v>
      </c>
      <c r="AB23" s="234">
        <f t="shared" si="8"/>
        <v>28</v>
      </c>
      <c r="AC23" s="11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3" s="11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11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106">
        <v>1</v>
      </c>
      <c r="AG23" s="234">
        <f t="shared" ca="1" si="9"/>
        <v>2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1</v>
      </c>
      <c r="AN23" s="235">
        <v>1</v>
      </c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49"/>
      <c r="BG23" s="149"/>
    </row>
    <row r="24" spans="1:59" s="56" customFormat="1" ht="21" customHeight="1" x14ac:dyDescent="0.15">
      <c r="A24" s="229" t="str">
        <f t="shared" si="5"/>
        <v>60013_3-1/28&lt;lv62&gt;s3</v>
      </c>
      <c r="B24" s="230">
        <v>60013</v>
      </c>
      <c r="C24" s="105">
        <v>3</v>
      </c>
      <c r="D24" s="9" t="str">
        <f t="shared" si="6"/>
        <v>60013_3</v>
      </c>
      <c r="E24" s="11" t="str">
        <f ca="1">VLOOKUP($B24,OFFSET([2]quests!$A$1,0,0,COUNTA([2]quests!$A:$A),MATCH(E$1,[2]quests!$1:$1,0)-MATCH($B$1,[2]quests!$1:$1,0)+1),MATCH(E$1,[2]quests!$1:$1,0)-MATCH($B$1,[2]quests!$1:$1,0)+1,FALSE)</f>
        <v>オイラーチャレンジ</v>
      </c>
      <c r="F24" s="11" t="str">
        <f ca="1">VLOOKUP($D24,OFFSET([2]stages!$A$1,0,0,COUNTA([2]stages!$A:$A),MATCH(F$1,[2]stages!$2:$2,0)-MATCH($D$1,[2]stages!$2:$2,0)+1),MATCH(F$1,[2]stages!$2:$2,0)-MATCH($D$1,[2]stages!$2:$2,0)+1,FALSE)</f>
        <v>【ウィザード級】オイラーチャレンジ</v>
      </c>
      <c r="G24" s="105">
        <v>1</v>
      </c>
      <c r="H24" s="105" t="str">
        <f t="shared" si="7"/>
        <v>60013_3-1</v>
      </c>
      <c r="I24" s="26" t="e">
        <v>#VALUE!</v>
      </c>
      <c r="J24" s="26" t="e">
        <v>#VALUE!</v>
      </c>
      <c r="K24" s="26" t="s">
        <v>165</v>
      </c>
      <c r="L24" s="105">
        <v>28</v>
      </c>
      <c r="M24" s="11" t="str">
        <f ca="1">VLOOKUP($L24,OFFSET([3]enemies!$A$1,0,0,COUNTA([3]enemies!$A:$A),MATCH(M$1,[3]enemies!$1:$1,0)-MATCH($L$1,[3]enemies!$1:$1,0)+1),MATCH(M$1,[3]enemies!$1:$1,0)-MATCH($L$1,[3]enemies!$1:$1,0)+1,FALSE)</f>
        <v>現場急行 パトラインカスタム</v>
      </c>
      <c r="N24" s="11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1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1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1">
        <f ca="1">VLOOKUP($L24,OFFSET([3]enemies!$A$1,0,0,COUNTA([3]enemies!$A:$A),MATCH(Q$1,[3]enemies!$1:$1,0)-MATCH($L$1,[3]enemies!$1:$1,0)+1),MATCH(Q$1,[3]enemies!$1:$1,0)-MATCH($L$1,[3]enemies!$1:$1,0)+1,FALSE)</f>
        <v>15</v>
      </c>
      <c r="R24" s="231">
        <v>62</v>
      </c>
      <c r="S24" s="232">
        <v>1.7</v>
      </c>
      <c r="T24" s="232">
        <v>2.8</v>
      </c>
      <c r="U24" s="231">
        <v>0</v>
      </c>
      <c r="V24" s="11"/>
      <c r="W24" s="11">
        <v>0</v>
      </c>
      <c r="X24" s="56">
        <v>1</v>
      </c>
      <c r="Y24" s="56">
        <v>100</v>
      </c>
      <c r="Z24" s="56">
        <v>0</v>
      </c>
      <c r="AA24" s="233">
        <v>3</v>
      </c>
      <c r="AB24" s="234">
        <f t="shared" si="8"/>
        <v>28</v>
      </c>
      <c r="AC24" s="11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4" s="11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11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106">
        <v>1</v>
      </c>
      <c r="AG24" s="234">
        <f t="shared" ca="1" si="9"/>
        <v>2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1</v>
      </c>
      <c r="AN24" s="235">
        <v>1</v>
      </c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49"/>
      <c r="BG24" s="149"/>
    </row>
    <row r="25" spans="1:59" s="258" customFormat="1" ht="21" customHeight="1" thickBot="1" x14ac:dyDescent="0.2">
      <c r="A25" s="229" t="str">
        <f t="shared" si="5"/>
        <v>60013_3-1/28&lt;lv63&gt;s3</v>
      </c>
      <c r="B25" s="230">
        <v>60013</v>
      </c>
      <c r="C25" s="105">
        <v>3</v>
      </c>
      <c r="D25" s="9" t="str">
        <f t="shared" si="6"/>
        <v>60013_3</v>
      </c>
      <c r="E25" s="11" t="str">
        <f ca="1">VLOOKUP($B25,OFFSET([2]quests!$A$1,0,0,COUNTA([2]quests!$A:$A),MATCH(E$1,[2]quests!$1:$1,0)-MATCH($B$1,[2]quests!$1:$1,0)+1),MATCH(E$1,[2]quests!$1:$1,0)-MATCH($B$1,[2]quests!$1:$1,0)+1,FALSE)</f>
        <v>オイラーチャレンジ</v>
      </c>
      <c r="F25" s="11" t="str">
        <f ca="1">VLOOKUP($D25,OFFSET([2]stages!$A$1,0,0,COUNTA([2]stages!$A:$A),MATCH(F$1,[2]stages!$2:$2,0)-MATCH($D$1,[2]stages!$2:$2,0)+1),MATCH(F$1,[2]stages!$2:$2,0)-MATCH($D$1,[2]stages!$2:$2,0)+1,FALSE)</f>
        <v>【ウィザード級】オイラーチャレンジ</v>
      </c>
      <c r="G25" s="105">
        <v>1</v>
      </c>
      <c r="H25" s="105" t="str">
        <f t="shared" si="7"/>
        <v>60013_3-1</v>
      </c>
      <c r="I25" s="26" t="e">
        <v>#VALUE!</v>
      </c>
      <c r="J25" s="26" t="e">
        <v>#VALUE!</v>
      </c>
      <c r="K25" s="26" t="s">
        <v>359</v>
      </c>
      <c r="L25" s="105">
        <v>28</v>
      </c>
      <c r="M25" s="11" t="str">
        <f ca="1">VLOOKUP($L25,OFFSET([3]enemies!$A$1,0,0,COUNTA([3]enemies!$A:$A),MATCH(M$1,[3]enemies!$1:$1,0)-MATCH($L$1,[3]enemies!$1:$1,0)+1),MATCH(M$1,[3]enemies!$1:$1,0)-MATCH($L$1,[3]enemies!$1:$1,0)+1,FALSE)</f>
        <v>現場急行 パトラインカスタム</v>
      </c>
      <c r="N25" s="11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1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1" t="str">
        <f ca="1">VLOOKUP($L25,OFFSET([3]enemies!$A$1,0,0,COUNTA([3]enemies!$A:$A),MATCH(P$1,[3]enemies!$1:$1,0)-MATCH($L$1,[3]enemies!$1:$1,0)+1),MATCH(P$1,[3]enemies!$1:$1,0)-MATCH($L$1,[3]enemies!$1:$1,0)+1,FALSE)</f>
        <v>machine</v>
      </c>
      <c r="Q25" s="11">
        <f ca="1">VLOOKUP($L25,OFFSET([3]enemies!$A$1,0,0,COUNTA([3]enemies!$A:$A),MATCH(Q$1,[3]enemies!$1:$1,0)-MATCH($L$1,[3]enemies!$1:$1,0)+1),MATCH(Q$1,[3]enemies!$1:$1,0)-MATCH($L$1,[3]enemies!$1:$1,0)+1,FALSE)</f>
        <v>15</v>
      </c>
      <c r="R25" s="231">
        <v>63</v>
      </c>
      <c r="S25" s="232">
        <v>1.6</v>
      </c>
      <c r="T25" s="232">
        <v>3.8</v>
      </c>
      <c r="U25" s="231">
        <v>0</v>
      </c>
      <c r="V25" s="11"/>
      <c r="W25" s="11">
        <v>0</v>
      </c>
      <c r="X25" s="56">
        <v>1</v>
      </c>
      <c r="Y25" s="56">
        <v>100</v>
      </c>
      <c r="Z25" s="56">
        <v>0</v>
      </c>
      <c r="AA25" s="233">
        <v>3</v>
      </c>
      <c r="AB25" s="234">
        <f t="shared" si="8"/>
        <v>28</v>
      </c>
      <c r="AC25" s="11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5" s="11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11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106">
        <v>1</v>
      </c>
      <c r="AG25" s="234">
        <f t="shared" ca="1" si="9"/>
        <v>2</v>
      </c>
      <c r="AH25" s="106">
        <v>0</v>
      </c>
      <c r="AI25" s="160">
        <v>0</v>
      </c>
      <c r="AJ25" s="160">
        <v>0</v>
      </c>
      <c r="AK25" s="160">
        <v>0</v>
      </c>
      <c r="AL25" s="160">
        <v>0</v>
      </c>
      <c r="AM25" s="160">
        <v>1</v>
      </c>
      <c r="AN25" s="259">
        <v>1</v>
      </c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49"/>
      <c r="BG25" s="149"/>
    </row>
    <row r="26" spans="1:59" s="149" customFormat="1" ht="21" customHeight="1" x14ac:dyDescent="0.15">
      <c r="A26" s="238" t="str">
        <f t="shared" si="5"/>
        <v>60013_3-2/36&lt;lv40&gt;s4</v>
      </c>
      <c r="B26" s="230">
        <v>60013</v>
      </c>
      <c r="C26" s="105">
        <v>3</v>
      </c>
      <c r="D26" s="9" t="str">
        <f t="shared" si="6"/>
        <v>60013_3</v>
      </c>
      <c r="E26" s="239" t="str">
        <f ca="1">VLOOKUP($B26,OFFSET([2]quests!$A$1,0,0,COUNTA([2]quests!$A:$A),MATCH(E$1,[2]quests!$1:$1,0)-MATCH($B$1,[2]quests!$1:$1,0)+1),MATCH(E$1,[2]quests!$1:$1,0)-MATCH($B$1,[2]quests!$1:$1,0)+1,FALSE)</f>
        <v>オイラーチャレンジ</v>
      </c>
      <c r="F26" s="239" t="str">
        <f ca="1">VLOOKUP($D26,OFFSET([2]stages!$A$1,0,0,COUNTA([2]stages!$A:$A),MATCH(F$1,[2]stages!$2:$2,0)-MATCH($D$1,[2]stages!$2:$2,0)+1),MATCH(F$1,[2]stages!$2:$2,0)-MATCH($D$1,[2]stages!$2:$2,0)+1,FALSE)</f>
        <v>【ウィザード級】オイラーチャレンジ</v>
      </c>
      <c r="G26" s="105">
        <v>2</v>
      </c>
      <c r="H26" s="105" t="str">
        <f t="shared" si="7"/>
        <v>60013_3-2</v>
      </c>
      <c r="I26" s="240" t="e">
        <v>#VALUE!</v>
      </c>
      <c r="J26" s="240" t="e">
        <v>#VALUE!</v>
      </c>
      <c r="K26" s="26" t="s">
        <v>165</v>
      </c>
      <c r="L26" s="105">
        <v>36</v>
      </c>
      <c r="M26" s="241" t="str">
        <f ca="1">VLOOKUP($L26,OFFSET([3]enemies!$A$1,0,0,COUNTA([3]enemies!$A:$A),MATCH(M$1,[3]enemies!$1:$1,0)-MATCH($L$1,[3]enemies!$1:$1,0)+1),MATCH(M$1,[3]enemies!$1:$1,0)-MATCH($L$1,[3]enemies!$1:$1,0)+1,FALSE)</f>
        <v>オフィス追尾型移動地雷F3</v>
      </c>
      <c r="N26" s="241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241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241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241">
        <f ca="1">VLOOKUP($L26,OFFSET([3]enemies!$A$1,0,0,COUNTA([3]enemies!$A:$A),MATCH(Q$1,[3]enemies!$1:$1,0)-MATCH($L$1,[3]enemies!$1:$1,0)+1),MATCH(Q$1,[3]enemies!$1:$1,0)-MATCH($L$1,[3]enemies!$1:$1,0)+1,FALSE)</f>
        <v>20</v>
      </c>
      <c r="R26" s="231">
        <v>40</v>
      </c>
      <c r="S26" s="243">
        <v>1</v>
      </c>
      <c r="T26" s="243">
        <v>0.5</v>
      </c>
      <c r="U26" s="242">
        <v>0</v>
      </c>
      <c r="V26" s="239"/>
      <c r="W26" s="236">
        <v>60013001</v>
      </c>
      <c r="X26" s="245">
        <v>0</v>
      </c>
      <c r="Y26" s="245">
        <v>100</v>
      </c>
      <c r="Z26" s="245">
        <v>0</v>
      </c>
      <c r="AA26" s="237">
        <v>4</v>
      </c>
      <c r="AB26" s="234">
        <f t="shared" si="8"/>
        <v>36</v>
      </c>
      <c r="AC26" s="239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6" s="239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239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106">
        <v>1</v>
      </c>
      <c r="AG26" s="234">
        <f t="shared" ca="1" si="9"/>
        <v>3</v>
      </c>
      <c r="AH26" s="106">
        <v>0</v>
      </c>
      <c r="AI26" s="261">
        <v>0</v>
      </c>
      <c r="AJ26" s="261">
        <v>0</v>
      </c>
      <c r="AK26" s="261">
        <v>0</v>
      </c>
      <c r="AL26" s="261">
        <v>0</v>
      </c>
      <c r="AM26" s="261">
        <v>1</v>
      </c>
      <c r="AN26" s="262">
        <v>1</v>
      </c>
    </row>
    <row r="27" spans="1:59" s="149" customFormat="1" ht="21" customHeight="1" x14ac:dyDescent="0.15">
      <c r="A27" s="238" t="str">
        <f t="shared" si="5"/>
        <v>60013_3-2/36&lt;lv41&gt;s4</v>
      </c>
      <c r="B27" s="230">
        <v>60013</v>
      </c>
      <c r="C27" s="105">
        <v>3</v>
      </c>
      <c r="D27" s="9" t="str">
        <f t="shared" si="6"/>
        <v>60013_3</v>
      </c>
      <c r="E27" s="239" t="str">
        <f ca="1">VLOOKUP($B27,OFFSET([2]quests!$A$1,0,0,COUNTA([2]quests!$A:$A),MATCH(E$1,[2]quests!$1:$1,0)-MATCH($B$1,[2]quests!$1:$1,0)+1),MATCH(E$1,[2]quests!$1:$1,0)-MATCH($B$1,[2]quests!$1:$1,0)+1,FALSE)</f>
        <v>オイラーチャレンジ</v>
      </c>
      <c r="F27" s="239" t="str">
        <f ca="1">VLOOKUP($D27,OFFSET([2]stages!$A$1,0,0,COUNTA([2]stages!$A:$A),MATCH(F$1,[2]stages!$2:$2,0)-MATCH($D$1,[2]stages!$2:$2,0)+1),MATCH(F$1,[2]stages!$2:$2,0)-MATCH($D$1,[2]stages!$2:$2,0)+1,FALSE)</f>
        <v>【ウィザード級】オイラーチャレンジ</v>
      </c>
      <c r="G27" s="105">
        <v>2</v>
      </c>
      <c r="H27" s="105" t="str">
        <f t="shared" si="7"/>
        <v>60013_3-2</v>
      </c>
      <c r="I27" s="240" t="e">
        <v>#VALUE!</v>
      </c>
      <c r="J27" s="240" t="e">
        <v>#VALUE!</v>
      </c>
      <c r="K27" s="26" t="s">
        <v>165</v>
      </c>
      <c r="L27" s="105">
        <v>36</v>
      </c>
      <c r="M27" s="241" t="str">
        <f ca="1">VLOOKUP($L27,OFFSET([3]enemies!$A$1,0,0,COUNTA([3]enemies!$A:$A),MATCH(M$1,[3]enemies!$1:$1,0)-MATCH($L$1,[3]enemies!$1:$1,0)+1),MATCH(M$1,[3]enemies!$1:$1,0)-MATCH($L$1,[3]enemies!$1:$1,0)+1,FALSE)</f>
        <v>オフィス追尾型移動地雷F3</v>
      </c>
      <c r="N27" s="241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241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241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241">
        <f ca="1">VLOOKUP($L27,OFFSET([3]enemies!$A$1,0,0,COUNTA([3]enemies!$A:$A),MATCH(Q$1,[3]enemies!$1:$1,0)-MATCH($L$1,[3]enemies!$1:$1,0)+1),MATCH(Q$1,[3]enemies!$1:$1,0)-MATCH($L$1,[3]enemies!$1:$1,0)+1,FALSE)</f>
        <v>20</v>
      </c>
      <c r="R27" s="231">
        <v>41</v>
      </c>
      <c r="S27" s="243">
        <v>1</v>
      </c>
      <c r="T27" s="243">
        <v>0.5</v>
      </c>
      <c r="U27" s="242">
        <v>0</v>
      </c>
      <c r="V27" s="239"/>
      <c r="W27" s="236">
        <v>60013001</v>
      </c>
      <c r="X27" s="245">
        <v>0</v>
      </c>
      <c r="Y27" s="245">
        <v>100</v>
      </c>
      <c r="Z27" s="245">
        <v>0</v>
      </c>
      <c r="AA27" s="237">
        <v>4</v>
      </c>
      <c r="AB27" s="234">
        <f t="shared" si="8"/>
        <v>36</v>
      </c>
      <c r="AC27" s="239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7" s="239">
        <f ca="1">VLOOKUP($AB27,OFFSET([4]characters!$A$1,0,0,COUNTA([4]characters!$A:$A),MATCH(AD$1,[4]characters!$1:$1,0)-MATCH("character_id",[4]characters!$1:$1,0)+1),MATCH(AD$1,[4]characters!$1:$1,0)-MATCH("character_id",[4]characters!$1:$1,0)+1,FALSE)</f>
        <v>3</v>
      </c>
      <c r="AE27" s="239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106">
        <v>1</v>
      </c>
      <c r="AG27" s="234">
        <f t="shared" ca="1" si="9"/>
        <v>3</v>
      </c>
      <c r="AH27" s="106">
        <v>0</v>
      </c>
      <c r="AI27" s="261">
        <v>0</v>
      </c>
      <c r="AJ27" s="261">
        <v>0</v>
      </c>
      <c r="AK27" s="261">
        <v>0</v>
      </c>
      <c r="AL27" s="261">
        <v>0</v>
      </c>
      <c r="AM27" s="261">
        <v>1</v>
      </c>
      <c r="AN27" s="262">
        <v>1</v>
      </c>
    </row>
    <row r="28" spans="1:59" s="157" customFormat="1" ht="21" customHeight="1" thickBot="1" x14ac:dyDescent="0.2">
      <c r="A28" s="238" t="str">
        <f t="shared" si="5"/>
        <v>60013_3-2/36&lt;lv42&gt;s4</v>
      </c>
      <c r="B28" s="230">
        <v>60013</v>
      </c>
      <c r="C28" s="105">
        <v>3</v>
      </c>
      <c r="D28" s="9" t="str">
        <f t="shared" si="6"/>
        <v>60013_3</v>
      </c>
      <c r="E28" s="239" t="str">
        <f ca="1">VLOOKUP($B28,OFFSET([2]quests!$A$1,0,0,COUNTA([2]quests!$A:$A),MATCH(E$1,[2]quests!$1:$1,0)-MATCH($B$1,[2]quests!$1:$1,0)+1),MATCH(E$1,[2]quests!$1:$1,0)-MATCH($B$1,[2]quests!$1:$1,0)+1,FALSE)</f>
        <v>オイラーチャレンジ</v>
      </c>
      <c r="F28" s="239" t="str">
        <f ca="1">VLOOKUP($D28,OFFSET([2]stages!$A$1,0,0,COUNTA([2]stages!$A:$A),MATCH(F$1,[2]stages!$2:$2,0)-MATCH($D$1,[2]stages!$2:$2,0)+1),MATCH(F$1,[2]stages!$2:$2,0)-MATCH($D$1,[2]stages!$2:$2,0)+1,FALSE)</f>
        <v>【ウィザード級】オイラーチャレンジ</v>
      </c>
      <c r="G28" s="105">
        <v>2</v>
      </c>
      <c r="H28" s="105" t="str">
        <f t="shared" si="7"/>
        <v>60013_3-2</v>
      </c>
      <c r="I28" s="240" t="e">
        <v>#VALUE!</v>
      </c>
      <c r="J28" s="240" t="e">
        <v>#VALUE!</v>
      </c>
      <c r="K28" s="26" t="s">
        <v>165</v>
      </c>
      <c r="L28" s="105">
        <v>36</v>
      </c>
      <c r="M28" s="241" t="str">
        <f ca="1">VLOOKUP($L28,OFFSET([3]enemies!$A$1,0,0,COUNTA([3]enemies!$A:$A),MATCH(M$1,[3]enemies!$1:$1,0)-MATCH($L$1,[3]enemies!$1:$1,0)+1),MATCH(M$1,[3]enemies!$1:$1,0)-MATCH($L$1,[3]enemies!$1:$1,0)+1,FALSE)</f>
        <v>オフィス追尾型移動地雷F3</v>
      </c>
      <c r="N28" s="241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241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241" t="str">
        <f ca="1">VLOOKUP($L28,OFFSET([3]enemies!$A$1,0,0,COUNTA([3]enemies!$A:$A),MATCH(P$1,[3]enemies!$1:$1,0)-MATCH($L$1,[3]enemies!$1:$1,0)+1),MATCH(P$1,[3]enemies!$1:$1,0)-MATCH($L$1,[3]enemies!$1:$1,0)+1,FALSE)</f>
        <v>machine</v>
      </c>
      <c r="Q28" s="241">
        <f ca="1">VLOOKUP($L28,OFFSET([3]enemies!$A$1,0,0,COUNTA([3]enemies!$A:$A),MATCH(Q$1,[3]enemies!$1:$1,0)-MATCH($L$1,[3]enemies!$1:$1,0)+1),MATCH(Q$1,[3]enemies!$1:$1,0)-MATCH($L$1,[3]enemies!$1:$1,0)+1,FALSE)</f>
        <v>20</v>
      </c>
      <c r="R28" s="231">
        <v>42</v>
      </c>
      <c r="S28" s="243">
        <v>1</v>
      </c>
      <c r="T28" s="243">
        <v>0.5</v>
      </c>
      <c r="U28" s="242">
        <v>0</v>
      </c>
      <c r="V28" s="239"/>
      <c r="W28" s="236">
        <v>60013001</v>
      </c>
      <c r="X28" s="245">
        <v>0</v>
      </c>
      <c r="Y28" s="245">
        <v>100</v>
      </c>
      <c r="Z28" s="245">
        <v>0</v>
      </c>
      <c r="AA28" s="237">
        <v>4</v>
      </c>
      <c r="AB28" s="234">
        <f t="shared" si="8"/>
        <v>36</v>
      </c>
      <c r="AC28" s="239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8" s="239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239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106">
        <v>1</v>
      </c>
      <c r="AG28" s="234">
        <f t="shared" ca="1" si="9"/>
        <v>3</v>
      </c>
      <c r="AH28" s="106">
        <v>0</v>
      </c>
      <c r="AI28" s="263">
        <v>0</v>
      </c>
      <c r="AJ28" s="263">
        <v>0</v>
      </c>
      <c r="AK28" s="263">
        <v>0</v>
      </c>
      <c r="AL28" s="263">
        <v>0</v>
      </c>
      <c r="AM28" s="263">
        <v>1</v>
      </c>
      <c r="AN28" s="264">
        <v>1</v>
      </c>
      <c r="AO28" s="149"/>
      <c r="AP28" s="149"/>
      <c r="AQ28" s="149"/>
      <c r="AR28" s="149"/>
      <c r="AS28" s="149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49"/>
      <c r="BE28" s="149"/>
      <c r="BF28" s="149"/>
      <c r="BG28" s="149"/>
    </row>
    <row r="29" spans="1:59" s="269" customFormat="1" ht="21" customHeight="1" thickBot="1" x14ac:dyDescent="0.2">
      <c r="A29" s="238" t="str">
        <f t="shared" si="5"/>
        <v>60013_3-3/492&lt;lv60&gt;s2</v>
      </c>
      <c r="B29" s="230">
        <v>60013</v>
      </c>
      <c r="C29" s="105">
        <v>3</v>
      </c>
      <c r="D29" s="9" t="str">
        <f t="shared" si="6"/>
        <v>60013_3</v>
      </c>
      <c r="E29" s="239" t="str">
        <f ca="1">VLOOKUP($B29,OFFSET([2]quests!$A$1,0,0,COUNTA([2]quests!$A:$A),MATCH(E$1,[2]quests!$1:$1,0)-MATCH($B$1,[2]quests!$1:$1,0)+1),MATCH(E$1,[2]quests!$1:$1,0)-MATCH($B$1,[2]quests!$1:$1,0)+1,FALSE)</f>
        <v>オイラーチャレンジ</v>
      </c>
      <c r="F29" s="239" t="str">
        <f ca="1">VLOOKUP($D29,OFFSET([2]stages!$A$1,0,0,COUNTA([2]stages!$A:$A),MATCH(F$1,[2]stages!$2:$2,0)-MATCH($D$1,[2]stages!$2:$2,0)+1),MATCH(F$1,[2]stages!$2:$2,0)-MATCH($D$1,[2]stages!$2:$2,0)+1,FALSE)</f>
        <v>【ウィザード級】オイラーチャレンジ</v>
      </c>
      <c r="G29" s="105">
        <v>3</v>
      </c>
      <c r="H29" s="105" t="str">
        <f t="shared" si="7"/>
        <v>60013_3-3</v>
      </c>
      <c r="I29" s="240" t="e">
        <v>#VALUE!</v>
      </c>
      <c r="J29" s="240" t="e">
        <v>#VALUE!</v>
      </c>
      <c r="K29" s="26">
        <v>3</v>
      </c>
      <c r="L29" s="105">
        <v>492</v>
      </c>
      <c r="M29" s="241" t="str">
        <f ca="1">VLOOKUP($L29,OFFSET([3]enemies!$A$1,0,0,COUNTA([3]enemies!$A:$A),MATCH(M$1,[3]enemies!$1:$1,0)-MATCH($L$1,[3]enemies!$1:$1,0)+1),MATCH(M$1,[3]enemies!$1:$1,0)-MATCH($L$1,[3]enemies!$1:$1,0)+1,FALSE)</f>
        <v>ブートレグ・ペロー</v>
      </c>
      <c r="N29" s="241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241" t="str">
        <f ca="1">VLOOKUP($L29,OFFSET([4]characters!$A$1,0,0,COUNTA([4]characters!$A:$A),MATCH(O$1,[4]characters!$1:$1,0)-MATCH($L$1,[4]characters!$1:$1,0)+1),MATCH(O$1,[4]characters!$1:$1,0)-MATCH($L$1,[4]characters!$1:$1,0)+1,FALSE)</f>
        <v>PremiumSS</v>
      </c>
      <c r="P29" s="241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241">
        <f ca="1">VLOOKUP($L29,OFFSET([3]enemies!$A$1,0,0,COUNTA([3]enemies!$A:$A),MATCH(Q$1,[3]enemies!$1:$1,0)-MATCH($L$1,[3]enemies!$1:$1,0)+1),MATCH(Q$1,[3]enemies!$1:$1,0)-MATCH($L$1,[3]enemies!$1:$1,0)+1,FALSE)</f>
        <v>30</v>
      </c>
      <c r="R29" s="242">
        <v>60</v>
      </c>
      <c r="S29" s="243">
        <v>2</v>
      </c>
      <c r="T29" s="243">
        <v>1.3</v>
      </c>
      <c r="U29" s="242">
        <v>0</v>
      </c>
      <c r="V29" s="239"/>
      <c r="W29" s="244">
        <v>60013002</v>
      </c>
      <c r="X29" s="245">
        <v>0</v>
      </c>
      <c r="Y29" s="245">
        <v>100</v>
      </c>
      <c r="Z29" s="245">
        <v>1</v>
      </c>
      <c r="AA29" s="237">
        <v>2</v>
      </c>
      <c r="AB29" s="234">
        <f t="shared" si="8"/>
        <v>492</v>
      </c>
      <c r="AC29" s="239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ブートレグ・ペロー</v>
      </c>
      <c r="AD29" s="239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239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9" s="106">
        <v>1</v>
      </c>
      <c r="AG29" s="234">
        <f t="shared" ca="1" si="9"/>
        <v>4</v>
      </c>
      <c r="AH29" s="106">
        <v>0</v>
      </c>
      <c r="AI29" s="267">
        <v>0</v>
      </c>
      <c r="AJ29" s="267">
        <v>0</v>
      </c>
      <c r="AK29" s="267">
        <v>0</v>
      </c>
      <c r="AL29" s="267">
        <v>0</v>
      </c>
      <c r="AM29" s="267">
        <v>1</v>
      </c>
      <c r="AN29" s="268">
        <v>1</v>
      </c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49"/>
      <c r="BE29" s="149"/>
      <c r="BF29" s="149"/>
      <c r="BG29" s="149"/>
    </row>
    <row r="30" spans="1:59" s="146" customFormat="1" ht="21" customHeight="1" x14ac:dyDescent="0.15">
      <c r="A30" s="238" t="str">
        <f t="shared" si="5"/>
        <v>60013_3-4/437&lt;lv60&gt;s2</v>
      </c>
      <c r="B30" s="230">
        <v>60013</v>
      </c>
      <c r="C30" s="105">
        <v>3</v>
      </c>
      <c r="D30" s="9" t="str">
        <f t="shared" si="6"/>
        <v>60013_3</v>
      </c>
      <c r="E30" s="239" t="str">
        <f ca="1">VLOOKUP($B30,OFFSET([2]quests!$A$1,0,0,COUNTA([2]quests!$A:$A),MATCH(E$1,[2]quests!$1:$1,0)-MATCH($B$1,[2]quests!$1:$1,0)+1),MATCH(E$1,[2]quests!$1:$1,0)-MATCH($B$1,[2]quests!$1:$1,0)+1,FALSE)</f>
        <v>オイラーチャレンジ</v>
      </c>
      <c r="F30" s="239" t="str">
        <f ca="1">VLOOKUP($D30,OFFSET([2]stages!$A$1,0,0,COUNTA([2]stages!$A:$A),MATCH(F$1,[2]stages!$2:$2,0)-MATCH($D$1,[2]stages!$2:$2,0)+1),MATCH(F$1,[2]stages!$2:$2,0)-MATCH($D$1,[2]stages!$2:$2,0)+1,FALSE)</f>
        <v>【ウィザード級】オイラーチャレンジ</v>
      </c>
      <c r="G30" s="105">
        <v>4</v>
      </c>
      <c r="H30" s="105" t="str">
        <f t="shared" si="7"/>
        <v>60013_3-4</v>
      </c>
      <c r="I30" s="240" t="e">
        <v>#VALUE!</v>
      </c>
      <c r="J30" s="240" t="e">
        <v>#VALUE!</v>
      </c>
      <c r="K30" s="26" t="s">
        <v>165</v>
      </c>
      <c r="L30" s="105">
        <v>437</v>
      </c>
      <c r="M30" s="241" t="str">
        <f ca="1">VLOOKUP($L30,OFFSET([3]enemies!$A$1,0,0,COUNTA([3]enemies!$A:$A),MATCH(M$1,[3]enemies!$1:$1,0)-MATCH($L$1,[3]enemies!$1:$1,0)+1),MATCH(M$1,[3]enemies!$1:$1,0)-MATCH($L$1,[3]enemies!$1:$1,0)+1,FALSE)</f>
        <v>忘却者 カカシ</v>
      </c>
      <c r="N30" s="241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241" t="str">
        <f ca="1">VLOOKUP($L30,OFFSET([4]characters!$A$1,0,0,COUNTA([4]characters!$A:$A),MATCH(O$1,[4]characters!$1:$1,0)-MATCH($L$1,[4]characters!$1:$1,0)+1),MATCH(O$1,[4]characters!$1:$1,0)-MATCH($L$1,[4]characters!$1:$1,0)+1,FALSE)</f>
        <v>PremiumS</v>
      </c>
      <c r="P30" s="241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241">
        <f ca="1">VLOOKUP($L30,OFFSET([3]enemies!$A$1,0,0,COUNTA([3]enemies!$A:$A),MATCH(Q$1,[3]enemies!$1:$1,0)-MATCH($L$1,[3]enemies!$1:$1,0)+1),MATCH(Q$1,[3]enemies!$1:$1,0)-MATCH($L$1,[3]enemies!$1:$1,0)+1,FALSE)</f>
        <v>30</v>
      </c>
      <c r="R30" s="242">
        <v>60</v>
      </c>
      <c r="S30" s="243">
        <v>2.6</v>
      </c>
      <c r="T30" s="243">
        <v>0.8</v>
      </c>
      <c r="U30" s="242">
        <v>0</v>
      </c>
      <c r="V30" s="239"/>
      <c r="W30" s="244">
        <v>60013004</v>
      </c>
      <c r="X30" s="245">
        <v>0</v>
      </c>
      <c r="Y30" s="245">
        <v>100</v>
      </c>
      <c r="Z30" s="245">
        <v>2</v>
      </c>
      <c r="AA30" s="237">
        <v>2</v>
      </c>
      <c r="AB30" s="234">
        <f t="shared" si="8"/>
        <v>437</v>
      </c>
      <c r="AC30" s="239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30" s="239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239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0" s="106">
        <v>1</v>
      </c>
      <c r="AG30" s="234">
        <f t="shared" ca="1" si="9"/>
        <v>4</v>
      </c>
      <c r="AH30" s="106">
        <v>0</v>
      </c>
      <c r="AI30" s="98">
        <v>0</v>
      </c>
      <c r="AJ30" s="98">
        <v>0</v>
      </c>
      <c r="AK30" s="98">
        <v>0</v>
      </c>
      <c r="AL30" s="98">
        <v>0</v>
      </c>
      <c r="AM30" s="98">
        <v>1</v>
      </c>
      <c r="AN30" s="228">
        <v>1</v>
      </c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</row>
    <row r="31" spans="1:59" s="157" customFormat="1" ht="21" customHeight="1" thickBot="1" x14ac:dyDescent="0.2">
      <c r="A31" s="238" t="str">
        <f t="shared" si="5"/>
        <v>60013_3-4/281&lt;lv60&gt;s3</v>
      </c>
      <c r="B31" s="230">
        <v>60013</v>
      </c>
      <c r="C31" s="105">
        <v>3</v>
      </c>
      <c r="D31" s="9" t="str">
        <f t="shared" si="6"/>
        <v>60013_3</v>
      </c>
      <c r="E31" s="239" t="str">
        <f ca="1">VLOOKUP($B31,OFFSET([2]quests!$A$1,0,0,COUNTA([2]quests!$A:$A),MATCH(E$1,[2]quests!$1:$1,0)-MATCH($B$1,[2]quests!$1:$1,0)+1),MATCH(E$1,[2]quests!$1:$1,0)-MATCH($B$1,[2]quests!$1:$1,0)+1,FALSE)</f>
        <v>オイラーチャレンジ</v>
      </c>
      <c r="F31" s="239" t="str">
        <f ca="1">VLOOKUP($D31,OFFSET([2]stages!$A$1,0,0,COUNTA([2]stages!$A:$A),MATCH(F$1,[2]stages!$2:$2,0)-MATCH($D$1,[2]stages!$2:$2,0)+1),MATCH(F$1,[2]stages!$2:$2,0)-MATCH($D$1,[2]stages!$2:$2,0)+1,FALSE)</f>
        <v>【ウィザード級】オイラーチャレンジ</v>
      </c>
      <c r="G31" s="105">
        <v>4</v>
      </c>
      <c r="H31" s="105" t="str">
        <f t="shared" si="7"/>
        <v>60013_3-4</v>
      </c>
      <c r="I31" s="240" t="e">
        <v>#VALUE!</v>
      </c>
      <c r="J31" s="240" t="e">
        <v>#VALUE!</v>
      </c>
      <c r="K31" s="26" t="s">
        <v>165</v>
      </c>
      <c r="L31" s="105">
        <v>281</v>
      </c>
      <c r="M31" s="241" t="str">
        <f ca="1">VLOOKUP($L31,OFFSET([3]enemies!$A$1,0,0,COUNTA([3]enemies!$A:$A),MATCH(M$1,[3]enemies!$1:$1,0)-MATCH($L$1,[3]enemies!$1:$1,0)+1),MATCH(M$1,[3]enemies!$1:$1,0)-MATCH($L$1,[3]enemies!$1:$1,0)+1,FALSE)</f>
        <v>リンドブルム・コンデンス</v>
      </c>
      <c r="N31" s="241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241" t="str">
        <f ca="1">VLOOKUP($L31,OFFSET([4]characters!$A$1,0,0,COUNTA([4]characters!$A:$A),MATCH(O$1,[4]characters!$1:$1,0)-MATCH($L$1,[4]characters!$1:$1,0)+1),MATCH(O$1,[4]characters!$1:$1,0)-MATCH($L$1,[4]characters!$1:$1,0)+1,FALSE)</f>
        <v>DropWizW</v>
      </c>
      <c r="P31" s="241" t="str">
        <f ca="1">VLOOKUP($L31,OFFSET([3]enemies!$A$1,0,0,COUNTA([3]enemies!$A:$A),MATCH(P$1,[3]enemies!$1:$1,0)-MATCH($L$1,[3]enemies!$1:$1,0)+1),MATCH(P$1,[3]enemies!$1:$1,0)-MATCH($L$1,[3]enemies!$1:$1,0)+1,FALSE)</f>
        <v>dragon</v>
      </c>
      <c r="Q31" s="241">
        <f ca="1">VLOOKUP($L31,OFFSET([3]enemies!$A$1,0,0,COUNTA([3]enemies!$A:$A),MATCH(Q$1,[3]enemies!$1:$1,0)-MATCH($L$1,[3]enemies!$1:$1,0)+1),MATCH(Q$1,[3]enemies!$1:$1,0)-MATCH($L$1,[3]enemies!$1:$1,0)+1,FALSE)</f>
        <v>30</v>
      </c>
      <c r="R31" s="242">
        <v>60</v>
      </c>
      <c r="S31" s="243">
        <v>2</v>
      </c>
      <c r="T31" s="243">
        <v>1.4</v>
      </c>
      <c r="U31" s="242">
        <v>0</v>
      </c>
      <c r="V31" s="239"/>
      <c r="W31" s="236">
        <v>60013005</v>
      </c>
      <c r="X31" s="245">
        <v>0</v>
      </c>
      <c r="Y31" s="245">
        <v>100</v>
      </c>
      <c r="Z31" s="245">
        <v>1</v>
      </c>
      <c r="AA31" s="237">
        <v>3</v>
      </c>
      <c r="AB31" s="234">
        <f t="shared" si="8"/>
        <v>281</v>
      </c>
      <c r="AC31" s="239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31" s="239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239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1" s="106">
        <v>1</v>
      </c>
      <c r="AG31" s="234">
        <f t="shared" ca="1" si="9"/>
        <v>4</v>
      </c>
      <c r="AH31" s="106">
        <v>0</v>
      </c>
      <c r="AI31" s="160">
        <v>0</v>
      </c>
      <c r="AJ31" s="160">
        <v>0</v>
      </c>
      <c r="AK31" s="160">
        <v>0</v>
      </c>
      <c r="AL31" s="160">
        <v>0</v>
      </c>
      <c r="AM31" s="160">
        <v>1</v>
      </c>
      <c r="AN31" s="259">
        <v>1</v>
      </c>
      <c r="AO31" s="149"/>
      <c r="AP31" s="149"/>
      <c r="AQ31" s="149"/>
      <c r="AR31" s="149"/>
      <c r="AS31" s="149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49"/>
      <c r="BE31" s="149"/>
      <c r="BF31" s="149"/>
      <c r="BG31" s="149"/>
    </row>
    <row r="32" spans="1:59" s="157" customFormat="1" ht="21" customHeight="1" thickBot="1" x14ac:dyDescent="0.2">
      <c r="A32" s="238" t="str">
        <f t="shared" si="5"/>
        <v>60013_3-5/378&lt;lv60&gt;s2</v>
      </c>
      <c r="B32" s="230">
        <v>60013</v>
      </c>
      <c r="C32" s="105">
        <v>3</v>
      </c>
      <c r="D32" s="9" t="str">
        <f t="shared" si="6"/>
        <v>60013_3</v>
      </c>
      <c r="E32" s="239" t="str">
        <f ca="1">VLOOKUP($B32,OFFSET([2]quests!$A$1,0,0,COUNTA([2]quests!$A:$A),MATCH(E$1,[2]quests!$1:$1,0)-MATCH($B$1,[2]quests!$1:$1,0)+1),MATCH(E$1,[2]quests!$1:$1,0)-MATCH($B$1,[2]quests!$1:$1,0)+1,FALSE)</f>
        <v>オイラーチャレンジ</v>
      </c>
      <c r="F32" s="239" t="str">
        <f ca="1">VLOOKUP($D32,OFFSET([2]stages!$A$1,0,0,COUNTA([2]stages!$A:$A),MATCH(F$1,[2]stages!$2:$2,0)-MATCH($D$1,[2]stages!$2:$2,0)+1),MATCH(F$1,[2]stages!$2:$2,0)-MATCH($D$1,[2]stages!$2:$2,0)+1,FALSE)</f>
        <v>【ウィザード級】オイラーチャレンジ</v>
      </c>
      <c r="G32" s="105">
        <v>5</v>
      </c>
      <c r="H32" s="105" t="str">
        <f t="shared" si="7"/>
        <v>60013_3-5</v>
      </c>
      <c r="I32" s="240" t="e">
        <v>#VALUE!</v>
      </c>
      <c r="J32" s="240" t="e">
        <v>#VALUE!</v>
      </c>
      <c r="K32" s="26">
        <v>4</v>
      </c>
      <c r="L32" s="105">
        <v>378</v>
      </c>
      <c r="M32" s="241" t="str">
        <f ca="1">VLOOKUP($L32,OFFSET([3]enemies!$A$1,0,0,COUNTA([3]enemies!$A:$A),MATCH(M$1,[3]enemies!$1:$1,0)-MATCH($L$1,[3]enemies!$1:$1,0)+1),MATCH(M$1,[3]enemies!$1:$1,0)-MATCH($L$1,[3]enemies!$1:$1,0)+1,FALSE)</f>
        <v>オイラー</v>
      </c>
      <c r="N32" s="241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241" t="str">
        <f ca="1">VLOOKUP($L32,OFFSET([4]characters!$A$1,0,0,COUNTA([4]characters!$A:$A),MATCH(O$1,[4]characters!$1:$1,0)-MATCH($L$1,[4]characters!$1:$1,0)+1),MATCH(O$1,[4]characters!$1:$1,0)-MATCH($L$1,[4]characters!$1:$1,0)+1,FALSE)</f>
        <v>PremiumSSS</v>
      </c>
      <c r="P32" s="241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241">
        <f ca="1">VLOOKUP($L32,OFFSET([3]enemies!$A$1,0,0,COUNTA([3]enemies!$A:$A),MATCH(Q$1,[3]enemies!$1:$1,0)-MATCH($L$1,[3]enemies!$1:$1,0)+1),MATCH(Q$1,[3]enemies!$1:$1,0)-MATCH($L$1,[3]enemies!$1:$1,0)+1,FALSE)</f>
        <v>30</v>
      </c>
      <c r="R32" s="242">
        <v>60</v>
      </c>
      <c r="S32" s="243">
        <v>5.4</v>
      </c>
      <c r="T32" s="243">
        <v>1.4</v>
      </c>
      <c r="U32" s="242">
        <v>0</v>
      </c>
      <c r="V32" s="239"/>
      <c r="W32" s="244">
        <v>60013006</v>
      </c>
      <c r="X32" s="245">
        <v>0</v>
      </c>
      <c r="Y32" s="245">
        <v>100</v>
      </c>
      <c r="Z32" s="245">
        <v>1</v>
      </c>
      <c r="AA32" s="237">
        <v>2</v>
      </c>
      <c r="AB32" s="234">
        <f t="shared" si="8"/>
        <v>378</v>
      </c>
      <c r="AC32" s="239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32" s="239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239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32" s="106">
        <v>1</v>
      </c>
      <c r="AG32" s="234">
        <f t="shared" ca="1" si="9"/>
        <v>4</v>
      </c>
      <c r="AH32" s="106">
        <v>0</v>
      </c>
      <c r="AI32" s="263">
        <v>0</v>
      </c>
      <c r="AJ32" s="263">
        <v>0</v>
      </c>
      <c r="AK32" s="263">
        <v>0</v>
      </c>
      <c r="AL32" s="263">
        <v>0</v>
      </c>
      <c r="AM32" s="263">
        <v>1</v>
      </c>
      <c r="AN32" s="264">
        <v>1</v>
      </c>
      <c r="AO32" s="149"/>
      <c r="AP32" s="149"/>
      <c r="AQ32" s="149"/>
      <c r="AR32" s="149"/>
      <c r="AS32" s="149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9" sqref="P9"/>
    </sheetView>
  </sheetViews>
  <sheetFormatPr baseColWidth="12" defaultColWidth="13" defaultRowHeight="21" customHeight="1" outlineLevelCol="1" x14ac:dyDescent="0.15"/>
  <cols>
    <col min="1" max="1" width="17" style="12" bestFit="1" customWidth="1"/>
    <col min="2" max="2" width="10.83203125" style="3" bestFit="1" customWidth="1"/>
    <col min="3" max="3" width="10.6640625" style="3" bestFit="1" customWidth="1"/>
    <col min="4" max="4" width="13" style="8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5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23" customFormat="1" ht="21" customHeight="1" thickBot="1" x14ac:dyDescent="0.2">
      <c r="A1" s="15" t="s">
        <v>29</v>
      </c>
      <c r="B1" s="16" t="s">
        <v>0</v>
      </c>
      <c r="C1" s="16" t="s">
        <v>1</v>
      </c>
      <c r="D1" s="17" t="s">
        <v>28</v>
      </c>
      <c r="E1" s="18" t="s">
        <v>16</v>
      </c>
      <c r="F1" s="18" t="s">
        <v>16</v>
      </c>
      <c r="G1" s="16" t="s">
        <v>19</v>
      </c>
      <c r="H1" s="17" t="s">
        <v>30</v>
      </c>
      <c r="I1" s="17" t="s">
        <v>14</v>
      </c>
      <c r="J1" s="17" t="s">
        <v>15</v>
      </c>
      <c r="K1" s="24" t="s">
        <v>53</v>
      </c>
      <c r="L1" s="24" t="s">
        <v>54</v>
      </c>
      <c r="M1" s="25" t="s">
        <v>2</v>
      </c>
      <c r="N1" s="19" t="s">
        <v>16</v>
      </c>
      <c r="O1" s="17" t="s">
        <v>24</v>
      </c>
      <c r="P1" s="17" t="s">
        <v>23</v>
      </c>
      <c r="Q1" s="20" t="s">
        <v>26</v>
      </c>
      <c r="R1" s="18" t="s">
        <v>25</v>
      </c>
      <c r="S1" s="16" t="s">
        <v>3</v>
      </c>
      <c r="T1" s="14" t="s">
        <v>48</v>
      </c>
      <c r="U1" s="14" t="s">
        <v>50</v>
      </c>
      <c r="V1" s="14" t="s">
        <v>52</v>
      </c>
      <c r="W1" s="16" t="s">
        <v>126</v>
      </c>
      <c r="X1" s="17" t="s">
        <v>125</v>
      </c>
      <c r="Y1" s="16" t="s">
        <v>8</v>
      </c>
    </row>
    <row r="2" spans="1:25" s="279" customFormat="1" ht="21" customHeight="1" x14ac:dyDescent="0.15">
      <c r="A2" s="270" t="str">
        <f>B2&amp;"_"&amp;C2&amp;"-"&amp;G2&amp;"/"&amp;M2&amp;"&lt;lv"&amp;S2&amp;"&gt;sq"&amp;K2&amp;"st"&amp;L2</f>
        <v>60013_1-4/379&lt;lv60&gt;sq1st2</v>
      </c>
      <c r="B2" s="271">
        <v>60013</v>
      </c>
      <c r="C2" s="141">
        <v>1</v>
      </c>
      <c r="D2" s="143" t="str">
        <f>B2&amp;"_"&amp;C2</f>
        <v>60013_1</v>
      </c>
      <c r="E2" s="272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272" t="str">
        <f ca="1">VLOOKUP($D2,OFFSET([2]stages!$A$1,0,0,COUNTA([2]stages!$A:$A),MATCH(F$1,[2]stages!$2:$2,0)-MATCH($D$1,[2]stages!$2:$2,0)+1),MATCH(F$1,[2]stages!$2:$2,0)-MATCH($D$1,[2]stages!$2:$2,0)+1,FALSE)</f>
        <v>【中級】オイラーチャレンジ</v>
      </c>
      <c r="G2" s="141">
        <v>4</v>
      </c>
      <c r="H2" s="141" t="str">
        <f>B2&amp;"_"&amp;C2&amp;"-"&amp;G2</f>
        <v>60013_1-4</v>
      </c>
      <c r="I2" s="273" t="e">
        <v>#VALUE!</v>
      </c>
      <c r="J2" s="273" t="e">
        <v>#VALUE!</v>
      </c>
      <c r="K2" s="144">
        <v>1</v>
      </c>
      <c r="L2" s="144">
        <v>2</v>
      </c>
      <c r="M2" s="141">
        <v>379</v>
      </c>
      <c r="N2" s="274" t="str">
        <f ca="1">VLOOKUP($M2,OFFSET([3]enemies!$A$1,0,0,COUNTA([3]enemies!$A:$A),MATCH(N$1,[3]enemies!$1:$1,0)-MATCH($M$1,[3]enemies!$1:$1,0)+1),MATCH(N$1,[3]enemies!$1:$1,0)-MATCH($M$1,[3]enemies!$1:$1,0)+1,FALSE)</f>
        <v>幾何の機刃 オイラー</v>
      </c>
      <c r="O2" s="274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274" t="str">
        <f ca="1">VLOOKUP($M2,OFFSET([4]characters!$A$1,0,0,COUNTA([4]characters!$A:$A),MATCH(P$1,[4]characters!$1:$1,0)-MATCH($M$1,[4]characters!$1:$1,0)+1),MATCH(P$1,[4]characters!$1:$1,0)-MATCH($M$1,[4]characters!$1:$1,0)+1,FALSE)</f>
        <v>PremiumSSS</v>
      </c>
      <c r="Q2" s="274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274">
        <f ca="1">VLOOKUP($M2,OFFSET([3]enemies!$A$1,0,0,COUNTA([3]enemies!$A:$A),MATCH(R$1,[3]enemies!$1:$1,0)-MATCH($M$1,[3]enemies!$1:$1,0)+1),MATCH(R$1,[3]enemies!$1:$1,0)-MATCH($M$1,[3]enemies!$1:$1,0)+1,FALSE)</f>
        <v>60</v>
      </c>
      <c r="S2" s="275">
        <v>60</v>
      </c>
      <c r="T2" s="276">
        <v>1.5</v>
      </c>
      <c r="U2" s="276">
        <v>0.6</v>
      </c>
      <c r="V2" s="275">
        <v>0</v>
      </c>
      <c r="W2" s="272"/>
      <c r="X2" s="277">
        <v>60013007</v>
      </c>
      <c r="Y2" s="278">
        <v>2</v>
      </c>
    </row>
    <row r="3" spans="1:25" s="246" customFormat="1" ht="21" customHeight="1" x14ac:dyDescent="0.15">
      <c r="A3" s="238" t="str">
        <f t="shared" ref="A3:A6" si="0">B3&amp;"_"&amp;C3&amp;"-"&amp;G3&amp;"/"&amp;M3&amp;"&lt;lv"&amp;S3&amp;"&gt;sq"&amp;K3&amp;"st"&amp;L3</f>
        <v>60013_2-4/379&lt;lv60&gt;sq2st2</v>
      </c>
      <c r="B3" s="280">
        <v>60013</v>
      </c>
      <c r="C3" s="105">
        <v>2</v>
      </c>
      <c r="D3" s="9" t="str">
        <f t="shared" ref="D3:D6" si="1">B3&amp;"_"&amp;C3</f>
        <v>60013_2</v>
      </c>
      <c r="E3" s="239" t="str">
        <f ca="1">VLOOKUP($B3,OFFSET([2]quests!$A$1,0,0,COUNTA([2]quests!$A:$A),MATCH(E$1,[2]quests!$1:$1,0)-MATCH($B$1,[2]quests!$1:$1,0)+1),MATCH(E$1,[2]quests!$1:$1,0)-MATCH($B$1,[2]quests!$1:$1,0)+1,FALSE)</f>
        <v>オイラーチャレンジ</v>
      </c>
      <c r="F3" s="239" t="str">
        <f ca="1">VLOOKUP($D3,OFFSET([2]stages!$A$1,0,0,COUNTA([2]stages!$A:$A),MATCH(F$1,[2]stages!$2:$2,0)-MATCH($D$1,[2]stages!$2:$2,0)+1),MATCH(F$1,[2]stages!$2:$2,0)-MATCH($D$1,[2]stages!$2:$2,0)+1,FALSE)</f>
        <v>【超級】オイラーチャレンジ</v>
      </c>
      <c r="G3" s="105">
        <v>4</v>
      </c>
      <c r="H3" s="105" t="str">
        <f t="shared" ref="H3:H6" si="2">B3&amp;"_"&amp;C3&amp;"-"&amp;G3</f>
        <v>60013_2-4</v>
      </c>
      <c r="I3" s="240" t="e">
        <v>#VALUE!</v>
      </c>
      <c r="J3" s="240" t="e">
        <v>#VALUE!</v>
      </c>
      <c r="K3" s="26">
        <v>2</v>
      </c>
      <c r="L3" s="26">
        <v>2</v>
      </c>
      <c r="M3" s="105">
        <v>379</v>
      </c>
      <c r="N3" s="241" t="str">
        <f ca="1">VLOOKUP($M3,OFFSET([3]enemies!$A$1,0,0,COUNTA([3]enemies!$A:$A),MATCH(N$1,[3]enemies!$1:$1,0)-MATCH($M$1,[3]enemies!$1:$1,0)+1),MATCH(N$1,[3]enemies!$1:$1,0)-MATCH($M$1,[3]enemies!$1:$1,0)+1,FALSE)</f>
        <v>幾何の機刃 オイラー</v>
      </c>
      <c r="O3" s="241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241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241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241">
        <f ca="1">VLOOKUP($M3,OFFSET([3]enemies!$A$1,0,0,COUNTA([3]enemies!$A:$A),MATCH(R$1,[3]enemies!$1:$1,0)-MATCH($M$1,[3]enemies!$1:$1,0)+1),MATCH(R$1,[3]enemies!$1:$1,0)-MATCH($M$1,[3]enemies!$1:$1,0)+1,FALSE)</f>
        <v>60</v>
      </c>
      <c r="S3" s="242">
        <v>60</v>
      </c>
      <c r="T3" s="243">
        <v>2</v>
      </c>
      <c r="U3" s="243">
        <v>1</v>
      </c>
      <c r="V3" s="242">
        <v>0</v>
      </c>
      <c r="W3" s="239"/>
      <c r="X3" s="244">
        <v>60013007</v>
      </c>
      <c r="Y3" s="281">
        <v>2</v>
      </c>
    </row>
    <row r="4" spans="1:25" s="246" customFormat="1" ht="21" customHeight="1" x14ac:dyDescent="0.15">
      <c r="A4" s="238" t="str">
        <f t="shared" si="0"/>
        <v>60013_3-3/493&lt;lv60&gt;sq3st2</v>
      </c>
      <c r="B4" s="280">
        <v>60013</v>
      </c>
      <c r="C4" s="105">
        <v>3</v>
      </c>
      <c r="D4" s="9" t="str">
        <f t="shared" si="1"/>
        <v>60013_3</v>
      </c>
      <c r="E4" s="239" t="str">
        <f ca="1">VLOOKUP($B4,OFFSET([2]quests!$A$1,0,0,COUNTA([2]quests!$A:$A),MATCH(E$1,[2]quests!$1:$1,0)-MATCH($B$1,[2]quests!$1:$1,0)+1),MATCH(E$1,[2]quests!$1:$1,0)-MATCH($B$1,[2]quests!$1:$1,0)+1,FALSE)</f>
        <v>オイラーチャレンジ</v>
      </c>
      <c r="F4" s="239" t="str">
        <f ca="1">VLOOKUP($D4,OFFSET([2]stages!$A$1,0,0,COUNTA([2]stages!$A:$A),MATCH(F$1,[2]stages!$2:$2,0)-MATCH($D$1,[2]stages!$2:$2,0)+1),MATCH(F$1,[2]stages!$2:$2,0)-MATCH($D$1,[2]stages!$2:$2,0)+1,FALSE)</f>
        <v>【ウィザード級】オイラーチャレンジ</v>
      </c>
      <c r="G4" s="105">
        <v>3</v>
      </c>
      <c r="H4" s="105" t="str">
        <f t="shared" si="2"/>
        <v>60013_3-3</v>
      </c>
      <c r="I4" s="240" t="e">
        <v>#VALUE!</v>
      </c>
      <c r="J4" s="240" t="e">
        <v>#VALUE!</v>
      </c>
      <c r="K4" s="26">
        <v>3</v>
      </c>
      <c r="L4" s="26">
        <v>2</v>
      </c>
      <c r="M4" s="105">
        <v>493</v>
      </c>
      <c r="N4" s="241" t="str">
        <f ca="1">VLOOKUP($M4,OFFSET([3]enemies!$A$1,0,0,COUNTA([3]enemies!$A:$A),MATCH(N$1,[3]enemies!$1:$1,0)-MATCH($M$1,[3]enemies!$1:$1,0)+1),MATCH(N$1,[3]enemies!$1:$1,0)-MATCH($M$1,[3]enemies!$1:$1,0)+1,FALSE)</f>
        <v>跋扈の機脚 ブートレグ・ペロー</v>
      </c>
      <c r="O4" s="241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241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241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241">
        <f ca="1">VLOOKUP($M4,OFFSET([3]enemies!$A$1,0,0,COUNTA([3]enemies!$A:$A),MATCH(R$1,[3]enemies!$1:$1,0)-MATCH($M$1,[3]enemies!$1:$1,0)+1),MATCH(R$1,[3]enemies!$1:$1,0)-MATCH($M$1,[3]enemies!$1:$1,0)+1,FALSE)</f>
        <v>60</v>
      </c>
      <c r="S4" s="242">
        <v>60</v>
      </c>
      <c r="T4" s="243">
        <v>1.8</v>
      </c>
      <c r="U4" s="243">
        <v>1.3</v>
      </c>
      <c r="V4" s="242">
        <v>0</v>
      </c>
      <c r="W4" s="239"/>
      <c r="X4" s="244">
        <v>60013003</v>
      </c>
      <c r="Y4" s="281">
        <v>2</v>
      </c>
    </row>
    <row r="5" spans="1:25" s="246" customFormat="1" ht="21" customHeight="1" x14ac:dyDescent="0.15">
      <c r="A5" s="238" t="str">
        <f t="shared" si="0"/>
        <v>60013_3-5/379&lt;lv60&gt;sq4st2</v>
      </c>
      <c r="B5" s="280">
        <v>60013</v>
      </c>
      <c r="C5" s="105">
        <v>3</v>
      </c>
      <c r="D5" s="9" t="str">
        <f t="shared" si="1"/>
        <v>60013_3</v>
      </c>
      <c r="E5" s="239" t="str">
        <f ca="1">VLOOKUP($B5,OFFSET([2]quests!$A$1,0,0,COUNTA([2]quests!$A:$A),MATCH(E$1,[2]quests!$1:$1,0)-MATCH($B$1,[2]quests!$1:$1,0)+1),MATCH(E$1,[2]quests!$1:$1,0)-MATCH($B$1,[2]quests!$1:$1,0)+1,FALSE)</f>
        <v>オイラーチャレンジ</v>
      </c>
      <c r="F5" s="239" t="str">
        <f ca="1">VLOOKUP($D5,OFFSET([2]stages!$A$1,0,0,COUNTA([2]stages!$A:$A),MATCH(F$1,[2]stages!$2:$2,0)-MATCH($D$1,[2]stages!$2:$2,0)+1),MATCH(F$1,[2]stages!$2:$2,0)-MATCH($D$1,[2]stages!$2:$2,0)+1,FALSE)</f>
        <v>【ウィザード級】オイラーチャレンジ</v>
      </c>
      <c r="G5" s="105">
        <v>5</v>
      </c>
      <c r="H5" s="105" t="str">
        <f t="shared" si="2"/>
        <v>60013_3-5</v>
      </c>
      <c r="I5" s="240" t="e">
        <v>#VALUE!</v>
      </c>
      <c r="J5" s="240" t="e">
        <v>#VALUE!</v>
      </c>
      <c r="K5" s="26">
        <v>4</v>
      </c>
      <c r="L5" s="26">
        <v>2</v>
      </c>
      <c r="M5" s="105">
        <v>379</v>
      </c>
      <c r="N5" s="241" t="str">
        <f ca="1">VLOOKUP($M5,OFFSET([3]enemies!$A$1,0,0,COUNTA([3]enemies!$A:$A),MATCH(N$1,[3]enemies!$1:$1,0)-MATCH($M$1,[3]enemies!$1:$1,0)+1),MATCH(N$1,[3]enemies!$1:$1,0)-MATCH($M$1,[3]enemies!$1:$1,0)+1,FALSE)</f>
        <v>幾何の機刃 オイラー</v>
      </c>
      <c r="O5" s="241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241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241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241">
        <f ca="1">VLOOKUP($M5,OFFSET([3]enemies!$A$1,0,0,COUNTA([3]enemies!$A:$A),MATCH(R$1,[3]enemies!$1:$1,0)-MATCH($M$1,[3]enemies!$1:$1,0)+1),MATCH(R$1,[3]enemies!$1:$1,0)-MATCH($M$1,[3]enemies!$1:$1,0)+1,FALSE)</f>
        <v>60</v>
      </c>
      <c r="S5" s="242">
        <v>60</v>
      </c>
      <c r="T5" s="243">
        <v>4.5</v>
      </c>
      <c r="U5" s="243">
        <v>1.2</v>
      </c>
      <c r="V5" s="242">
        <v>0</v>
      </c>
      <c r="W5" s="239"/>
      <c r="X5" s="244">
        <v>60013007</v>
      </c>
      <c r="Y5" s="281">
        <v>2</v>
      </c>
    </row>
    <row r="6" spans="1:25" s="246" customFormat="1" ht="21" customHeight="1" x14ac:dyDescent="0.15">
      <c r="A6" s="238" t="str">
        <f t="shared" si="0"/>
        <v>60013_3-5/798&lt;lv60&gt;sq4st3</v>
      </c>
      <c r="B6" s="280">
        <v>60013</v>
      </c>
      <c r="C6" s="105">
        <v>3</v>
      </c>
      <c r="D6" s="9" t="str">
        <f t="shared" si="1"/>
        <v>60013_3</v>
      </c>
      <c r="E6" s="239" t="str">
        <f ca="1">VLOOKUP($B6,OFFSET([2]quests!$A$1,0,0,COUNTA([2]quests!$A:$A),MATCH(E$1,[2]quests!$1:$1,0)-MATCH($B$1,[2]quests!$1:$1,0)+1),MATCH(E$1,[2]quests!$1:$1,0)-MATCH($B$1,[2]quests!$1:$1,0)+1,FALSE)</f>
        <v>オイラーチャレンジ</v>
      </c>
      <c r="F6" s="239" t="str">
        <f ca="1">VLOOKUP($D6,OFFSET([2]stages!$A$1,0,0,COUNTA([2]stages!$A:$A),MATCH(F$1,[2]stages!$2:$2,0)-MATCH($D$1,[2]stages!$2:$2,0)+1),MATCH(F$1,[2]stages!$2:$2,0)-MATCH($D$1,[2]stages!$2:$2,0)+1,FALSE)</f>
        <v>【ウィザード級】オイラーチャレンジ</v>
      </c>
      <c r="G6" s="105">
        <v>5</v>
      </c>
      <c r="H6" s="105" t="str">
        <f t="shared" si="2"/>
        <v>60013_3-5</v>
      </c>
      <c r="I6" s="240" t="e">
        <v>#VALUE!</v>
      </c>
      <c r="J6" s="240" t="e">
        <v>#VALUE!</v>
      </c>
      <c r="K6" s="26">
        <v>4</v>
      </c>
      <c r="L6" s="26">
        <v>3</v>
      </c>
      <c r="M6" s="105">
        <v>798</v>
      </c>
      <c r="N6" s="241" t="str">
        <f ca="1">VLOOKUP($M6,OFFSET([3]enemies!$A$1,0,0,COUNTA([3]enemies!$A:$A),MATCH(N$1,[3]enemies!$1:$1,0)-MATCH($M$1,[3]enemies!$1:$1,0)+1),MATCH(N$1,[3]enemies!$1:$1,0)-MATCH($M$1,[3]enemies!$1:$1,0)+1,FALSE)</f>
        <v>煌式の大機刃 オイラー</v>
      </c>
      <c r="O6" s="241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241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241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241">
        <f ca="1">VLOOKUP($M6,OFFSET([3]enemies!$A$1,0,0,COUNTA([3]enemies!$A:$A),MATCH(R$1,[3]enemies!$1:$1,0)-MATCH($M$1,[3]enemies!$1:$1,0)+1),MATCH(R$1,[3]enemies!$1:$1,0)-MATCH($M$1,[3]enemies!$1:$1,0)+1,FALSE)</f>
        <v>60</v>
      </c>
      <c r="S6" s="242">
        <v>60</v>
      </c>
      <c r="T6" s="243">
        <v>4.5</v>
      </c>
      <c r="U6" s="243">
        <v>1</v>
      </c>
      <c r="V6" s="242">
        <v>0</v>
      </c>
      <c r="W6" s="239"/>
      <c r="X6" s="244">
        <v>60013008</v>
      </c>
      <c r="Y6" s="281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I7" sqref="I7"/>
    </sheetView>
  </sheetViews>
  <sheetFormatPr baseColWidth="12" defaultColWidth="12.83203125" defaultRowHeight="21" customHeight="1" outlineLevelCol="1" x14ac:dyDescent="0.15"/>
  <cols>
    <col min="1" max="1" width="11.33203125" style="27" bestFit="1" customWidth="1"/>
    <col min="2" max="2" width="9.5" style="37" bestFit="1" customWidth="1"/>
    <col min="3" max="3" width="9.6640625" style="37" customWidth="1"/>
    <col min="4" max="4" width="18.5" style="37" customWidth="1" outlineLevel="1"/>
    <col min="5" max="5" width="44.1640625" style="37" bestFit="1" customWidth="1" outlineLevel="1"/>
    <col min="6" max="6" width="10.83203125" style="37" bestFit="1" customWidth="1"/>
    <col min="7" max="7" width="8.33203125" style="37" bestFit="1" customWidth="1" outlineLevel="1"/>
    <col min="8" max="9" width="12.83203125" style="37" outlineLevel="1"/>
    <col min="10" max="10" width="17.6640625" style="37" bestFit="1" customWidth="1" outlineLevel="1"/>
    <col min="11" max="15" width="12.83203125" style="37" outlineLevel="1"/>
    <col min="16" max="16" width="8.33203125" style="33" bestFit="1" customWidth="1"/>
    <col min="17" max="17" width="9.6640625" style="33" customWidth="1"/>
    <col min="18" max="18" width="56.5" style="33" bestFit="1" customWidth="1"/>
    <col min="19" max="16384" width="12.83203125" style="33"/>
  </cols>
  <sheetData>
    <row r="1" spans="1:18" ht="21" customHeight="1" thickBot="1" x14ac:dyDescent="0.2">
      <c r="A1" s="27" t="s">
        <v>59</v>
      </c>
      <c r="B1" s="28" t="s">
        <v>60</v>
      </c>
      <c r="C1" s="28" t="s">
        <v>61</v>
      </c>
      <c r="D1" s="29" t="s">
        <v>62</v>
      </c>
      <c r="E1" s="29" t="s">
        <v>63</v>
      </c>
      <c r="F1" s="30" t="s">
        <v>64</v>
      </c>
      <c r="G1" s="31" t="s">
        <v>65</v>
      </c>
      <c r="H1" s="31" t="s">
        <v>67</v>
      </c>
      <c r="I1" s="31" t="s">
        <v>68</v>
      </c>
      <c r="J1" s="31" t="s">
        <v>69</v>
      </c>
      <c r="K1" s="32" t="s">
        <v>70</v>
      </c>
      <c r="L1" s="32" t="s">
        <v>71</v>
      </c>
      <c r="M1" s="31" t="s">
        <v>72</v>
      </c>
      <c r="N1" s="31" t="s">
        <v>73</v>
      </c>
      <c r="O1" s="31" t="s">
        <v>74</v>
      </c>
      <c r="P1" s="29" t="s">
        <v>75</v>
      </c>
      <c r="Q1" s="29" t="s">
        <v>76</v>
      </c>
      <c r="R1" s="29" t="s">
        <v>77</v>
      </c>
    </row>
    <row r="2" spans="1:18" s="286" customFormat="1" ht="21" customHeight="1" x14ac:dyDescent="0.15">
      <c r="A2" s="282" t="str">
        <f t="shared" ref="A2:A27" si="0">B2&amp;"_"&amp;C2</f>
        <v>60013001_60013001</v>
      </c>
      <c r="B2" s="283">
        <v>60013001</v>
      </c>
      <c r="C2" s="283">
        <v>60013001</v>
      </c>
      <c r="D2" s="284" t="str">
        <f ca="1">VLOOKUP($C2,OFFSET(enemy_skills!$A$1,0,0,COUNTA(enemy_skills!$A:$A),MATCH(D$1,enemy_skills!$1:$1,0)-MATCH("enemy_skill_id",enemy_skills!$1:$1,0)+1),MATCH(D$1,enemy_skills!$1:$1,0)-MATCH("enemy_skill_id",enemy_skills!$1:$1,0)+1,FALSE)</f>
        <v>自爆</v>
      </c>
      <c r="E2" s="284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全体に自爆攻撃！</v>
      </c>
      <c r="F2" s="283">
        <v>60013001</v>
      </c>
      <c r="G2" s="28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28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28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28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28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28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28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28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28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283"/>
      <c r="Q2" s="283"/>
      <c r="R2" s="283"/>
    </row>
    <row r="3" spans="1:18" s="291" customFormat="1" ht="21" customHeight="1" thickBot="1" x14ac:dyDescent="0.2">
      <c r="A3" s="287" t="str">
        <f t="shared" si="0"/>
        <v>60013001_60013002</v>
      </c>
      <c r="B3" s="288">
        <v>60013001</v>
      </c>
      <c r="C3" s="288">
        <v>60013002</v>
      </c>
      <c r="D3" s="29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ガガ…ピー！</v>
      </c>
      <c r="E3" s="29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今にもスパークしそうだ！</v>
      </c>
      <c r="F3" s="288">
        <v>60013002</v>
      </c>
      <c r="G3" s="290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290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290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290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290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290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290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290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290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288"/>
      <c r="Q3" s="288"/>
      <c r="R3" s="288"/>
    </row>
    <row r="4" spans="1:18" s="286" customFormat="1" ht="21" customHeight="1" x14ac:dyDescent="0.15">
      <c r="A4" s="282" t="str">
        <f t="shared" si="0"/>
        <v>60013002_60013003</v>
      </c>
      <c r="B4" s="283">
        <v>60013002</v>
      </c>
      <c r="C4" s="283">
        <v>60013003</v>
      </c>
      <c r="D4" s="284" t="str">
        <f ca="1">VLOOKUP($C4,OFFSET(enemy_skills!$A$1,0,0,COUNTA(enemy_skills!$A:$A),MATCH(D$1,enemy_skills!$1:$1,0)-MATCH("enemy_skill_id",enemy_skills!$1:$1,0)+1),MATCH(D$1,enemy_skills!$1:$1,0)-MATCH("enemy_skill_id",enemy_skills!$1:$1,0)+1,FALSE)</f>
        <v>出力全開だニャ！</v>
      </c>
      <c r="E4" s="284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283">
        <v>60013003</v>
      </c>
      <c r="G4" s="28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28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28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28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28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285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28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28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28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283"/>
      <c r="Q4" s="283"/>
      <c r="R4" s="283"/>
    </row>
    <row r="5" spans="1:18" s="291" customFormat="1" ht="21" customHeight="1" thickBot="1" x14ac:dyDescent="0.2">
      <c r="A5" s="287" t="str">
        <f t="shared" si="0"/>
        <v>60013002_60013004</v>
      </c>
      <c r="B5" s="288">
        <v>60013002</v>
      </c>
      <c r="C5" s="288">
        <v>60013004</v>
      </c>
      <c r="D5" s="29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こいつの凄さを見せてやるニャ！</v>
      </c>
      <c r="E5" s="29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時限式ダメージパネル15個生成</v>
      </c>
      <c r="F5" s="288">
        <v>60013004</v>
      </c>
      <c r="G5" s="290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290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290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290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290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290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290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290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290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288"/>
      <c r="Q5" s="288"/>
      <c r="R5" s="288"/>
    </row>
    <row r="6" spans="1:18" s="293" customFormat="1" ht="21" customHeight="1" x14ac:dyDescent="0.15">
      <c r="A6" s="292" t="str">
        <f t="shared" si="0"/>
        <v>60013003_60013029</v>
      </c>
      <c r="B6" s="35">
        <v>60013003</v>
      </c>
      <c r="C6" s="35">
        <v>60013029</v>
      </c>
      <c r="D6" s="284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本気でいくニャー！</v>
      </c>
      <c r="E6" s="284" t="str">
        <f ca="1">VLOOKUP($C6,OFFSET(enemy_skills!$A$1,0,0,COUNTA(enemy_skills!$A:$A),MATCH(E$1,enemy_skills!$1:$1,0)-MATCH("enemy_skill_id",enemy_skills!$1:$1,0)+1),MATCH(E$1,enemy_skills!$1:$1,0)-MATCH("enemy_skill_id",enemy_skills!$1:$1,0)+1,FALSE)</f>
        <v>8ターン赤属性以外のダメージを50%DOWN</v>
      </c>
      <c r="F6" s="283">
        <v>60013015</v>
      </c>
      <c r="G6" s="3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5"/>
      <c r="Q6" s="35"/>
      <c r="R6" s="35"/>
    </row>
    <row r="7" spans="1:18" s="293" customFormat="1" ht="21" customHeight="1" x14ac:dyDescent="0.15">
      <c r="A7" s="292" t="str">
        <f t="shared" si="0"/>
        <v>60013003_60013005</v>
      </c>
      <c r="B7" s="35">
        <v>60013003</v>
      </c>
      <c r="C7" s="35">
        <v>60013005</v>
      </c>
      <c r="D7" s="34" t="str">
        <f ca="1">VLOOKUP($C7,OFFSET(enemy_skills!$A$1,0,0,COUNTA(enemy_skills!$A:$A),MATCH(D$1,enemy_skills!$1:$1,0)-MATCH("enemy_skill_id",enemy_skills!$1:$1,0)+1),MATCH(D$1,enemy_skills!$1:$1,0)-MATCH("enemy_skill_id",enemy_skills!$1:$1,0)+1,FALSE)</f>
        <v>必殺の一撃だニャ！</v>
      </c>
      <c r="E7" s="34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7" s="35">
        <v>60013005</v>
      </c>
      <c r="G7" s="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36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" s="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35"/>
      <c r="Q7" s="35"/>
      <c r="R7" s="35"/>
    </row>
    <row r="8" spans="1:18" s="293" customFormat="1" ht="21" customHeight="1" x14ac:dyDescent="0.15">
      <c r="A8" s="292" t="str">
        <f t="shared" si="0"/>
        <v>60013003_60013006</v>
      </c>
      <c r="B8" s="35">
        <v>60013003</v>
      </c>
      <c r="C8" s="35">
        <v>60013006</v>
      </c>
      <c r="D8" s="3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エネルギーチャージだニャ！</v>
      </c>
      <c r="E8" s="34" t="str">
        <f ca="1">VLOOKUP($C8,OFFSET(enemy_skills!$A$1,0,0,COUNTA(enemy_skills!$A:$A),MATCH(E$1,enemy_skills!$1:$1,0)-MATCH("enemy_skill_id",enemy_skills!$1:$1,0)+1),MATCH(E$1,enemy_skills!$1:$1,0)-MATCH("enemy_skill_id",enemy_skills!$1:$1,0)+1,FALSE)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8" s="35">
        <v>60013006</v>
      </c>
      <c r="G8" s="3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3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6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3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5"/>
      <c r="Q8" s="35"/>
      <c r="R8" s="35"/>
    </row>
    <row r="9" spans="1:18" s="293" customFormat="1" ht="21" customHeight="1" x14ac:dyDescent="0.15">
      <c r="A9" s="292" t="str">
        <f t="shared" si="0"/>
        <v>60013003_60013007</v>
      </c>
      <c r="B9" s="35">
        <v>60013003</v>
      </c>
      <c r="C9" s="35">
        <v>60013007</v>
      </c>
      <c r="D9" s="34" t="str">
        <f ca="1">VLOOKUP($C9,OFFSET(enemy_skills!$A$1,0,0,COUNTA(enemy_skills!$A:$A),MATCH(D$1,enemy_skills!$1:$1,0)-MATCH("enemy_skill_id",enemy_skills!$1:$1,0)+1),MATCH(D$1,enemy_skills!$1:$1,0)-MATCH("enemy_skill_id",enemy_skills!$1:$1,0)+1,FALSE)</f>
        <v>突撃だニャー！</v>
      </c>
      <c r="E9" s="3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9" s="35">
        <v>60013007</v>
      </c>
      <c r="G9" s="3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3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3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5"/>
      <c r="Q9" s="35"/>
      <c r="R9" s="35"/>
    </row>
    <row r="10" spans="1:18" s="291" customFormat="1" ht="21" customHeight="1" thickBot="1" x14ac:dyDescent="0.2">
      <c r="A10" s="287" t="str">
        <f t="shared" si="0"/>
        <v>60013003_60013028</v>
      </c>
      <c r="B10" s="288">
        <v>60013003</v>
      </c>
      <c r="C10" s="288">
        <v>60013028</v>
      </c>
      <c r="D10" s="28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コッパミジンにしてやるニャー！</v>
      </c>
      <c r="E10" s="28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時限式ダメージパネル15個生成</v>
      </c>
      <c r="F10" s="288">
        <v>60013028</v>
      </c>
      <c r="G10" s="29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29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290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290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0" s="290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290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290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290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290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288"/>
      <c r="Q10" s="288"/>
      <c r="R10" s="288"/>
    </row>
    <row r="11" spans="1:18" s="293" customFormat="1" ht="21" customHeight="1" x14ac:dyDescent="0.15">
      <c r="A11" s="292" t="str">
        <f t="shared" si="0"/>
        <v>60013004_60013009</v>
      </c>
      <c r="B11" s="35">
        <v>60013004</v>
      </c>
      <c r="C11" s="35">
        <v>60013009</v>
      </c>
      <c r="D11" s="28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追い払ってやるゼェ！</v>
      </c>
      <c r="E11" s="28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1" s="35">
        <v>60013009</v>
      </c>
      <c r="G11" s="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6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5"/>
      <c r="Q11" s="35"/>
      <c r="R11" s="35"/>
    </row>
    <row r="12" spans="1:18" s="291" customFormat="1" ht="21" customHeight="1" thickBot="1" x14ac:dyDescent="0.2">
      <c r="A12" s="287" t="str">
        <f t="shared" si="0"/>
        <v>60013004_60013010</v>
      </c>
      <c r="B12" s="288">
        <v>60013004</v>
      </c>
      <c r="C12" s="288">
        <v>60013010</v>
      </c>
      <c r="D12" s="28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オトリになるのは得意だゼェ！</v>
      </c>
      <c r="E12" s="28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2" s="288">
        <v>60013010</v>
      </c>
      <c r="G12" s="290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290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290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290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290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290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290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290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290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288"/>
      <c r="Q12" s="288"/>
      <c r="R12" s="288"/>
    </row>
    <row r="13" spans="1:18" s="293" customFormat="1" ht="21" customHeight="1" x14ac:dyDescent="0.15">
      <c r="A13" s="292" t="str">
        <f t="shared" si="0"/>
        <v>60013005_60013012</v>
      </c>
      <c r="B13" s="35">
        <v>60013005</v>
      </c>
      <c r="C13" s="35">
        <v>60013012</v>
      </c>
      <c r="D13" s="28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ギュイイーン</v>
      </c>
      <c r="E13" s="28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3" s="35">
        <v>60013012</v>
      </c>
      <c r="G13" s="3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3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5"/>
      <c r="Q13" s="35"/>
      <c r="R13" s="35"/>
    </row>
    <row r="14" spans="1:18" s="293" customFormat="1" ht="21" customHeight="1" x14ac:dyDescent="0.15">
      <c r="A14" s="292" t="str">
        <f t="shared" si="0"/>
        <v>60013005_60013013</v>
      </c>
      <c r="B14" s="35">
        <v>60013005</v>
      </c>
      <c r="C14" s="35">
        <v>60013013</v>
      </c>
      <c r="D14" s="3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タオス！タオス！</v>
      </c>
      <c r="E14" s="3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14" s="35">
        <v>60013013</v>
      </c>
      <c r="G14" s="3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3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5"/>
      <c r="Q14" s="35"/>
      <c r="R14" s="35"/>
    </row>
    <row r="15" spans="1:18" s="291" customFormat="1" ht="21" customHeight="1" thickBot="1" x14ac:dyDescent="0.2">
      <c r="A15" s="287" t="str">
        <f t="shared" si="0"/>
        <v>60013005_60013014</v>
      </c>
      <c r="B15" s="288">
        <v>60013005</v>
      </c>
      <c r="C15" s="288">
        <v>60013014</v>
      </c>
      <c r="D15" s="28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リミッターカイジョ！</v>
      </c>
      <c r="E15" s="28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3ターン攻撃頻度が2ターンにUP</v>
      </c>
      <c r="F15" s="288">
        <v>60013014</v>
      </c>
      <c r="G15" s="290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290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290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290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290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290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290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290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290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288"/>
      <c r="Q15" s="288"/>
      <c r="R15" s="288"/>
    </row>
    <row r="16" spans="1:18" s="286" customFormat="1" ht="21" customHeight="1" x14ac:dyDescent="0.15">
      <c r="A16" s="282" t="str">
        <f t="shared" si="0"/>
        <v>60013006_60013015</v>
      </c>
      <c r="B16" s="283">
        <v>60013006</v>
      </c>
      <c r="C16" s="283">
        <v>60013015</v>
      </c>
      <c r="D16" s="28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16" s="28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それじゃ　早速いくわよ♪</v>
      </c>
      <c r="F16" s="283">
        <v>60013015</v>
      </c>
      <c r="G16" s="28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28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28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28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28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28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28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28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28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283"/>
      <c r="Q16" s="283"/>
      <c r="R16" s="283"/>
    </row>
    <row r="17" spans="1:18" s="293" customFormat="1" ht="21" customHeight="1" x14ac:dyDescent="0.15">
      <c r="A17" s="292" t="str">
        <f t="shared" si="0"/>
        <v>60013006_60013016</v>
      </c>
      <c r="B17" s="35">
        <v>60013006</v>
      </c>
      <c r="C17" s="35">
        <v>60013016</v>
      </c>
      <c r="D17" s="3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いくわよ！</v>
      </c>
      <c r="E17" s="3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何かを試されているようだ</v>
      </c>
      <c r="F17" s="35">
        <v>60013016</v>
      </c>
      <c r="G17" s="3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3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35"/>
      <c r="Q17" s="35"/>
      <c r="R17" s="35"/>
    </row>
    <row r="18" spans="1:18" s="293" customFormat="1" ht="21" customHeight="1" x14ac:dyDescent="0.15">
      <c r="A18" s="292" t="str">
        <f t="shared" si="0"/>
        <v>60013006_60013017</v>
      </c>
      <c r="B18" s="35">
        <v>60013006</v>
      </c>
      <c r="C18" s="35">
        <v>60013017</v>
      </c>
      <c r="D18" s="3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これならどうかしら？</v>
      </c>
      <c r="E18" s="3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8" s="35">
        <v>60013017</v>
      </c>
      <c r="G18" s="3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3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3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3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35"/>
      <c r="Q18" s="35"/>
      <c r="R18" s="35"/>
    </row>
    <row r="19" spans="1:18" s="291" customFormat="1" ht="21" customHeight="1" thickBot="1" x14ac:dyDescent="0.2">
      <c r="A19" s="287" t="str">
        <f t="shared" si="0"/>
        <v>60013006_60013018</v>
      </c>
      <c r="B19" s="288">
        <v>60013006</v>
      </c>
      <c r="C19" s="288">
        <v>60013018</v>
      </c>
      <c r="D19" s="28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なかなかやるわね…</v>
      </c>
      <c r="E19" s="28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288">
        <v>60013018</v>
      </c>
      <c r="G19" s="290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290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290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290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290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290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290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290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290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288"/>
      <c r="Q19" s="288"/>
      <c r="R19" s="288"/>
    </row>
    <row r="20" spans="1:18" s="286" customFormat="1" ht="21" customHeight="1" x14ac:dyDescent="0.15">
      <c r="A20" s="282" t="str">
        <f t="shared" si="0"/>
        <v>60013007_60013019</v>
      </c>
      <c r="B20" s="283">
        <v>60013007</v>
      </c>
      <c r="C20" s="283">
        <v>60013019</v>
      </c>
      <c r="D20" s="28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ここまでは想定通りね</v>
      </c>
      <c r="E20" s="28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状態異常無効＋_x000D_赤属性以外のスキルが10ターン使えない</v>
      </c>
      <c r="F20" s="283">
        <v>60013019</v>
      </c>
      <c r="G20" s="28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285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28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28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28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28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28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28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28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283"/>
      <c r="Q20" s="283"/>
      <c r="R20" s="283"/>
    </row>
    <row r="21" spans="1:18" s="293" customFormat="1" ht="21" customHeight="1" x14ac:dyDescent="0.15">
      <c r="A21" s="292" t="str">
        <f t="shared" si="0"/>
        <v>60013007_60013020</v>
      </c>
      <c r="B21" s="35">
        <v>60013007</v>
      </c>
      <c r="C21" s="35">
        <v>60013020</v>
      </c>
      <c r="D21" s="3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次はこれよ！</v>
      </c>
      <c r="E21" s="3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21" s="35">
        <v>60013020</v>
      </c>
      <c r="G21" s="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3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35"/>
      <c r="Q21" s="35"/>
      <c r="R21" s="35"/>
    </row>
    <row r="22" spans="1:18" s="293" customFormat="1" ht="21" customHeight="1" x14ac:dyDescent="0.15">
      <c r="A22" s="292" t="str">
        <f t="shared" si="0"/>
        <v>60013007_60013021</v>
      </c>
      <c r="B22" s="35">
        <v>60013007</v>
      </c>
      <c r="C22" s="35">
        <v>60013021</v>
      </c>
      <c r="D22" s="3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いい反応ね…</v>
      </c>
      <c r="E22" s="3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35">
        <v>60013021</v>
      </c>
      <c r="G22" s="3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6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3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3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3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35"/>
      <c r="Q22" s="35"/>
      <c r="R22" s="35"/>
    </row>
    <row r="23" spans="1:18" s="291" customFormat="1" ht="21" customHeight="1" thickBot="1" x14ac:dyDescent="0.2">
      <c r="A23" s="287" t="str">
        <f t="shared" si="0"/>
        <v>60013007_60013022</v>
      </c>
      <c r="B23" s="288">
        <v>60013007</v>
      </c>
      <c r="C23" s="288">
        <v>60013022</v>
      </c>
      <c r="D23" s="28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見せてあげる！</v>
      </c>
      <c r="E23" s="28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時限式ダメージパネル8個＋8回連続攻撃</v>
      </c>
      <c r="F23" s="288">
        <v>60013022</v>
      </c>
      <c r="G23" s="290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290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290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290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290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290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290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290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290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288"/>
      <c r="Q23" s="288"/>
      <c r="R23" s="288"/>
    </row>
    <row r="24" spans="1:18" s="298" customFormat="1" ht="21" customHeight="1" x14ac:dyDescent="0.15">
      <c r="A24" s="294" t="str">
        <f t="shared" si="0"/>
        <v>60013008_60013023</v>
      </c>
      <c r="B24" s="295">
        <v>60013008</v>
      </c>
      <c r="C24" s="295">
        <v>60013023</v>
      </c>
      <c r="D24" s="28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最終段階に移行しましょう</v>
      </c>
      <c r="E24" s="28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24" s="295">
        <v>60013023</v>
      </c>
      <c r="G24" s="29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29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29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29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29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29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29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29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29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295"/>
      <c r="Q24" s="295"/>
      <c r="R24" s="295"/>
    </row>
    <row r="25" spans="1:18" s="293" customFormat="1" ht="21" customHeight="1" x14ac:dyDescent="0.15">
      <c r="A25" s="299" t="str">
        <f t="shared" si="0"/>
        <v>60013008_60013024</v>
      </c>
      <c r="B25" s="35">
        <v>60013008</v>
      </c>
      <c r="C25" s="35">
        <v>60013024</v>
      </c>
      <c r="D25" s="3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これは耐えられるかしら？</v>
      </c>
      <c r="E25" s="3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5" s="35">
        <v>60013024</v>
      </c>
      <c r="G25" s="3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3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6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5" s="3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5"/>
      <c r="Q25" s="35"/>
      <c r="R25" s="35"/>
    </row>
    <row r="26" spans="1:18" s="293" customFormat="1" ht="21" customHeight="1" x14ac:dyDescent="0.15">
      <c r="A26" s="299" t="str">
        <f t="shared" si="0"/>
        <v>60013008_60013025</v>
      </c>
      <c r="B26" s="35">
        <v>60013008</v>
      </c>
      <c r="C26" s="35">
        <v>60013025</v>
      </c>
      <c r="D26" s="3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そろそろ限界かしら？</v>
      </c>
      <c r="E26" s="3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6" s="35">
        <v>60013025</v>
      </c>
      <c r="G26" s="3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3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3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5"/>
      <c r="Q26" s="35"/>
      <c r="R26" s="35"/>
    </row>
    <row r="27" spans="1:18" s="293" customFormat="1" ht="21" customHeight="1" x14ac:dyDescent="0.15">
      <c r="A27" s="299" t="str">
        <f t="shared" si="0"/>
        <v>60013008_60013026</v>
      </c>
      <c r="B27" s="35">
        <v>60013008</v>
      </c>
      <c r="C27" s="35">
        <v>60013026</v>
      </c>
      <c r="D27" s="3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予想以上の結果だわ…</v>
      </c>
      <c r="E27" s="3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でも…これならどうかしら！？</v>
      </c>
      <c r="F27" s="35">
        <v>60013026</v>
      </c>
      <c r="G27" s="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3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5"/>
      <c r="Q27" s="35"/>
      <c r="R27" s="35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zoomScale="75" zoomScaleNormal="75" zoomScalePageLayoutView="75" workbookViewId="0">
      <pane ySplit="1" topLeftCell="A2" activePane="bottomLeft" state="frozenSplit"/>
      <selection pane="bottomLeft" activeCell="B30" sqref="B30"/>
    </sheetView>
  </sheetViews>
  <sheetFormatPr baseColWidth="12" defaultColWidth="12.83203125" defaultRowHeight="21" customHeight="1" outlineLevelCol="1" x14ac:dyDescent="0.15"/>
  <cols>
    <col min="1" max="1" width="12.83203125" style="37"/>
    <col min="2" max="2" width="67.1640625" style="37" customWidth="1"/>
    <col min="3" max="4" width="12.83203125" style="37"/>
    <col min="5" max="5" width="23.6640625" style="37" bestFit="1" customWidth="1"/>
    <col min="6" max="6" width="44.1640625" style="37" bestFit="1" customWidth="1"/>
    <col min="7" max="7" width="52" style="37" hidden="1" customWidth="1" outlineLevel="1"/>
    <col min="8" max="8" width="18.33203125" style="37" hidden="1" customWidth="1" outlineLevel="1"/>
    <col min="9" max="11" width="18.6640625" style="37" hidden="1" customWidth="1" outlineLevel="1"/>
    <col min="12" max="12" width="23.6640625" style="37" customWidth="1" collapsed="1"/>
    <col min="13" max="18" width="23.6640625" style="37" hidden="1" customWidth="1" outlineLevel="1"/>
    <col min="19" max="19" width="23.6640625" style="37" customWidth="1" collapsed="1"/>
    <col min="20" max="24" width="23.6640625" style="37" hidden="1" customWidth="1" outlineLevel="1"/>
    <col min="25" max="25" width="23.6640625" style="37" customWidth="1" collapsed="1"/>
    <col min="26" max="27" width="12.83203125" style="37"/>
    <col min="28" max="28" width="44.5" style="37" customWidth="1"/>
    <col min="29" max="16384" width="12.83203125" style="37"/>
  </cols>
  <sheetData>
    <row r="1" spans="1:28" ht="21" customHeight="1" x14ac:dyDescent="0.15">
      <c r="A1" s="28" t="s">
        <v>78</v>
      </c>
      <c r="B1" s="28" t="s">
        <v>79</v>
      </c>
      <c r="C1" s="28" t="s">
        <v>80</v>
      </c>
      <c r="D1" s="28" t="s">
        <v>124</v>
      </c>
      <c r="E1" s="28" t="s">
        <v>81</v>
      </c>
      <c r="F1" s="28" t="s">
        <v>82</v>
      </c>
      <c r="G1" s="29" t="s">
        <v>129</v>
      </c>
      <c r="H1" s="29" t="s">
        <v>135</v>
      </c>
      <c r="I1" s="29" t="s">
        <v>137</v>
      </c>
      <c r="J1" s="29" t="s">
        <v>136</v>
      </c>
      <c r="K1" s="29" t="s">
        <v>138</v>
      </c>
      <c r="L1" s="29" t="s">
        <v>130</v>
      </c>
      <c r="M1" s="29" t="s">
        <v>128</v>
      </c>
      <c r="N1" s="29" t="s">
        <v>131</v>
      </c>
      <c r="O1" s="29" t="s">
        <v>139</v>
      </c>
      <c r="P1" s="29" t="s">
        <v>140</v>
      </c>
      <c r="Q1" s="29" t="s">
        <v>141</v>
      </c>
      <c r="R1" s="29" t="s">
        <v>142</v>
      </c>
      <c r="S1" s="29" t="s">
        <v>132</v>
      </c>
      <c r="T1" s="29" t="s">
        <v>133</v>
      </c>
      <c r="U1" s="29" t="s">
        <v>143</v>
      </c>
      <c r="V1" s="29" t="s">
        <v>144</v>
      </c>
      <c r="W1" s="29" t="s">
        <v>145</v>
      </c>
      <c r="X1" s="29" t="s">
        <v>146</v>
      </c>
      <c r="Y1" s="29" t="s">
        <v>134</v>
      </c>
      <c r="Z1" s="29" t="s">
        <v>75</v>
      </c>
      <c r="AA1" s="29" t="s">
        <v>76</v>
      </c>
      <c r="AB1" s="29" t="s">
        <v>77</v>
      </c>
    </row>
    <row r="2" spans="1:28" s="302" customFormat="1" ht="21" customHeight="1" x14ac:dyDescent="0.15">
      <c r="A2" s="35">
        <v>60013001</v>
      </c>
      <c r="B2" s="35" t="s">
        <v>360</v>
      </c>
      <c r="C2" s="38">
        <v>3</v>
      </c>
      <c r="D2" s="38" t="s">
        <v>249</v>
      </c>
      <c r="E2" s="39" t="s">
        <v>361</v>
      </c>
      <c r="F2" s="39" t="s">
        <v>362</v>
      </c>
      <c r="G2" s="300" t="str">
        <f>IFERROR(LEFT(B2,FIND("],",B2)),B2)</f>
        <v xml:space="preserve">[effect:kamikaze, val:0.4]    </v>
      </c>
      <c r="H2" s="300">
        <f>FIND("effect:",G2)+7</f>
        <v>9</v>
      </c>
      <c r="I2" s="300">
        <f>IFERROR(FIND(",",G2),LEN(G2))</f>
        <v>17</v>
      </c>
      <c r="J2" s="300" t="e">
        <f>FIND("target:",G2)+7</f>
        <v>#VALUE!</v>
      </c>
      <c r="K2" s="300" t="e">
        <f>FIND(",",G2,I2+1)</f>
        <v>#VALUE!</v>
      </c>
      <c r="L2" s="300" t="str">
        <f>IFERROR(VLOOKUP(MID(G2,J2,K2-J2),[5]skilldef!$C:$D,2,FALSE),"-") &amp; " / " &amp; IFERROR(VLOOKUP(MID(G2,H2,I2-H2),[5]skilldef!$A:$B,2,FALSE),"-")</f>
        <v>- / 自爆</v>
      </c>
      <c r="M2" s="300" t="str">
        <f>IFERROR(RIGHT(B2,LEN(B2)-FIND("],",B2)-1),"none")</f>
        <v>none</v>
      </c>
      <c r="N2" s="301" t="str">
        <f t="shared" ref="N2:N8" si="0">IFERROR(LEFT(M2,FIND("],",M2)+S11),M2)</f>
        <v>none</v>
      </c>
      <c r="O2" s="300" t="e">
        <f>FIND("effect:",N2)+7</f>
        <v>#VALUE!</v>
      </c>
      <c r="P2" s="300">
        <f>IFERROR(FIND(",",N2),LEN(N2))</f>
        <v>4</v>
      </c>
      <c r="Q2" s="300" t="e">
        <f>FIND("target:",N2)+7</f>
        <v>#VALUE!</v>
      </c>
      <c r="R2" s="300" t="e">
        <f>FIND(",",N2,P2+1)</f>
        <v>#VALUE!</v>
      </c>
      <c r="S2" s="300" t="str">
        <f>IFERROR(VLOOKUP(MID(N2,Q2,R2-Q2),[5]skilldef!$C:$D,2,FALSE),"-") &amp; " / " &amp; IFERROR(VLOOKUP(MID(N2,O2,P2-O2),[5]skilldef!$A:$B,2,FALSE),"-")</f>
        <v>- / -</v>
      </c>
      <c r="T2" s="301" t="str">
        <f>IFERROR(RIGHT(M2,LEN(M2)-FIND("],",M2)-1),"none")</f>
        <v>none</v>
      </c>
      <c r="U2" s="300" t="e">
        <f>FIND("effect:",T2)+7</f>
        <v>#VALUE!</v>
      </c>
      <c r="V2" s="300">
        <f>IFERROR(FIND(",",T2),LEN(T2))</f>
        <v>4</v>
      </c>
      <c r="W2" s="300" t="e">
        <f>FIND("target:",T2)+7</f>
        <v>#VALUE!</v>
      </c>
      <c r="X2" s="300" t="e">
        <f>FIND(",",T2,V2+1)</f>
        <v>#VALUE!</v>
      </c>
      <c r="Y2" s="300" t="str">
        <f>IFERROR(VLOOKUP(MID(T2,W2,X2-W2),[5]skilldef!$C:$D,2,FALSE),"-") &amp; " / " &amp; IFERROR(VLOOKUP(MID(T2,U2,V2-U2),[5]skilldef!$A:$B,2,FALSE),"-")</f>
        <v>- / -</v>
      </c>
      <c r="Z2" s="38"/>
      <c r="AA2" s="40"/>
      <c r="AB2" s="38"/>
    </row>
    <row r="3" spans="1:28" s="302" customFormat="1" ht="21" customHeight="1" x14ac:dyDescent="0.15">
      <c r="A3" s="35">
        <v>60013002</v>
      </c>
      <c r="B3" s="35" t="s">
        <v>363</v>
      </c>
      <c r="C3" s="38">
        <v>3</v>
      </c>
      <c r="D3" s="38" t="s">
        <v>249</v>
      </c>
      <c r="E3" s="39" t="s">
        <v>364</v>
      </c>
      <c r="F3" s="39" t="s">
        <v>365</v>
      </c>
      <c r="G3" s="300" t="str">
        <f>IFERROR(LEFT(B3,FIND("],",B3)),B3)</f>
        <v>[effect:nothing]</v>
      </c>
      <c r="H3" s="300">
        <f>FIND("effect:",G3)+7</f>
        <v>9</v>
      </c>
      <c r="I3" s="300">
        <f>IFERROR(FIND(",",G3),LEN(G3))</f>
        <v>16</v>
      </c>
      <c r="J3" s="300" t="e">
        <f>FIND("target:",G3)+7</f>
        <v>#VALUE!</v>
      </c>
      <c r="K3" s="300" t="e">
        <f>FIND(",",G3,I3+1)</f>
        <v>#VALUE!</v>
      </c>
      <c r="L3" s="300" t="str">
        <f>IFERROR(VLOOKUP(MID(G3,J3,K3-J3),[5]skilldef!$C:$D,2,FALSE),"-") &amp; " / " &amp; IFERROR(VLOOKUP(MID(G3,H3,I3-H3),[5]skilldef!$A:$B,2,FALSE),"-")</f>
        <v>- / 何もしない</v>
      </c>
      <c r="M3" s="300" t="str">
        <f>IFERROR(RIGHT(B3,LEN(B3)-FIND("],",B3)-1),"none")</f>
        <v>none</v>
      </c>
      <c r="N3" s="301" t="str">
        <f t="shared" si="0"/>
        <v>none</v>
      </c>
      <c r="O3" s="300" t="e">
        <f>FIND("effect:",N3)+7</f>
        <v>#VALUE!</v>
      </c>
      <c r="P3" s="300">
        <f>IFERROR(FIND(",",N3),LEN(N3))</f>
        <v>4</v>
      </c>
      <c r="Q3" s="300" t="e">
        <f>FIND("target:",N3)+7</f>
        <v>#VALUE!</v>
      </c>
      <c r="R3" s="300" t="e">
        <f>FIND(",",N3,P3+1)</f>
        <v>#VALUE!</v>
      </c>
      <c r="S3" s="300" t="str">
        <f>IFERROR(VLOOKUP(MID(N3,Q3,R3-Q3),[5]skilldef!$C:$D,2,FALSE),"-") &amp; " / " &amp; IFERROR(VLOOKUP(MID(N3,O3,P3-O3),[5]skilldef!$A:$B,2,FALSE),"-")</f>
        <v>- / -</v>
      </c>
      <c r="T3" s="301" t="str">
        <f>IFERROR(RIGHT(M3,LEN(M3)-FIND("],",M3)-1),"none")</f>
        <v>none</v>
      </c>
      <c r="U3" s="300" t="e">
        <f>FIND("effect:",T3)+7</f>
        <v>#VALUE!</v>
      </c>
      <c r="V3" s="300">
        <f>IFERROR(FIND(",",T3),LEN(T3))</f>
        <v>4</v>
      </c>
      <c r="W3" s="300" t="e">
        <f>FIND("target:",T3)+7</f>
        <v>#VALUE!</v>
      </c>
      <c r="X3" s="300" t="e">
        <f>FIND(",",T3,V3+1)</f>
        <v>#VALUE!</v>
      </c>
      <c r="Y3" s="300" t="str">
        <f>IFERROR(VLOOKUP(MID(T3,W3,X3-W3),[5]skilldef!$C:$D,2,FALSE),"-") &amp; " / " &amp; IFERROR(VLOOKUP(MID(T3,U3,V3-U3),[5]skilldef!$A:$B,2,FALSE),"-")</f>
        <v>- / -</v>
      </c>
      <c r="Z3" s="38"/>
      <c r="AA3" s="40"/>
      <c r="AB3" s="38"/>
    </row>
    <row r="4" spans="1:28" s="302" customFormat="1" ht="21" customHeight="1" x14ac:dyDescent="0.15">
      <c r="A4" s="35">
        <v>60013003</v>
      </c>
      <c r="B4" s="35" t="s">
        <v>366</v>
      </c>
      <c r="C4" s="38">
        <v>3</v>
      </c>
      <c r="D4" s="38" t="s">
        <v>249</v>
      </c>
      <c r="E4" s="39" t="s">
        <v>367</v>
      </c>
      <c r="F4" s="39" t="s">
        <v>368</v>
      </c>
      <c r="G4" s="300" t="str">
        <f>IFERROR(LEFT(B4,FIND("],",B4)),B4)</f>
        <v xml:space="preserve">[effect:spread, val:0.3]    </v>
      </c>
      <c r="H4" s="300">
        <f>FIND("effect:",G4)+7</f>
        <v>9</v>
      </c>
      <c r="I4" s="300">
        <f>IFERROR(FIND(",",G4),LEN(G4))</f>
        <v>15</v>
      </c>
      <c r="J4" s="300" t="e">
        <f>FIND("target:",G4)+7</f>
        <v>#VALUE!</v>
      </c>
      <c r="K4" s="300" t="e">
        <f>FIND(",",G4,I4+1)</f>
        <v>#VALUE!</v>
      </c>
      <c r="L4" s="300" t="str">
        <f>IFERROR(VLOOKUP(MID(G4,J4,K4-J4),[5]skilldef!$C:$D,2,FALSE),"-") &amp; " / " &amp; IFERROR(VLOOKUP(MID(G4,H4,I4-H4),[5]skilldef!$A:$B,2,FALSE),"-")</f>
        <v>- / 全体攻撃</v>
      </c>
      <c r="M4" s="300" t="str">
        <f>IFERROR(RIGHT(B4,LEN(B4)-FIND("],",B4)-1),"none")</f>
        <v>none</v>
      </c>
      <c r="N4" s="301" t="str">
        <f t="shared" si="0"/>
        <v>none</v>
      </c>
      <c r="O4" s="300" t="e">
        <f>FIND("effect:",N4)+7</f>
        <v>#VALUE!</v>
      </c>
      <c r="P4" s="300">
        <f>IFERROR(FIND(",",N4),LEN(N4))</f>
        <v>4</v>
      </c>
      <c r="Q4" s="300" t="e">
        <f>FIND("target:",N4)+7</f>
        <v>#VALUE!</v>
      </c>
      <c r="R4" s="300" t="e">
        <f>FIND(",",N4,P4+1)</f>
        <v>#VALUE!</v>
      </c>
      <c r="S4" s="300" t="str">
        <f>IFERROR(VLOOKUP(MID(N4,Q4,R4-Q4),[5]skilldef!$C:$D,2,FALSE),"-") &amp; " / " &amp; IFERROR(VLOOKUP(MID(N4,O4,P4-O4),[5]skilldef!$A:$B,2,FALSE),"-")</f>
        <v>- / -</v>
      </c>
      <c r="T4" s="301" t="str">
        <f>IFERROR(RIGHT(M4,LEN(M4)-FIND("],",M4)-1),"none")</f>
        <v>none</v>
      </c>
      <c r="U4" s="300" t="e">
        <f>FIND("effect:",T4)+7</f>
        <v>#VALUE!</v>
      </c>
      <c r="V4" s="300">
        <f>IFERROR(FIND(",",T4),LEN(T4))</f>
        <v>4</v>
      </c>
      <c r="W4" s="300" t="e">
        <f>FIND("target:",T4)+7</f>
        <v>#VALUE!</v>
      </c>
      <c r="X4" s="300" t="e">
        <f>FIND(",",T4,V4+1)</f>
        <v>#VALUE!</v>
      </c>
      <c r="Y4" s="300" t="str">
        <f>IFERROR(VLOOKUP(MID(T4,W4,X4-W4),[5]skilldef!$C:$D,2,FALSE),"-") &amp; " / " &amp; IFERROR(VLOOKUP(MID(T4,U4,V4-U4),[5]skilldef!$A:$B,2,FALSE),"-")</f>
        <v>- / -</v>
      </c>
      <c r="Z4" s="38"/>
      <c r="AA4" s="40"/>
      <c r="AB4" s="38"/>
    </row>
    <row r="5" spans="1:28" s="302" customFormat="1" ht="21" customHeight="1" x14ac:dyDescent="0.15">
      <c r="A5" s="35">
        <v>60013004</v>
      </c>
      <c r="B5" s="35" t="s">
        <v>369</v>
      </c>
      <c r="C5" s="38">
        <v>3</v>
      </c>
      <c r="D5" s="38" t="s">
        <v>249</v>
      </c>
      <c r="E5" s="39" t="s">
        <v>370</v>
      </c>
      <c r="F5" s="39" t="s">
        <v>371</v>
      </c>
      <c r="G5" s="300" t="str">
        <f>IFERROR(LEFT(B5,FIND("],",B5)),B5)</f>
        <v>[effect:force_change_block, new_block:time_bomb, target:block_all, ignore:crash, ignore02:jammer, count:15, val:0.2, min_time_count:3, max_time_count:3, animation:change_block]</v>
      </c>
      <c r="H5" s="300">
        <f>FIND("effect:",G5)+7</f>
        <v>9</v>
      </c>
      <c r="I5" s="300">
        <f>IFERROR(FIND(",",G5),LEN(G5))</f>
        <v>27</v>
      </c>
      <c r="J5" s="300">
        <f>FIND("target:",G5)+7</f>
        <v>57</v>
      </c>
      <c r="K5" s="300">
        <f>FIND(",",G5,I5+1)</f>
        <v>48</v>
      </c>
      <c r="L5" s="300" t="str">
        <f>IFERROR(VLOOKUP(MID(G5,J5,K5-J5),[5]skilldef!$C:$D,2,FALSE),"-") &amp; " / " &amp; IFERROR(VLOOKUP(MID(G5,H5,I5-H5),[5]skilldef!$A:$B,2,FALSE),"-")</f>
        <v>- / -</v>
      </c>
      <c r="M5" s="300" t="str">
        <f>IFERROR(RIGHT(B5,LEN(B5)-FIND("],",B5)-1),"none")</f>
        <v>none</v>
      </c>
      <c r="N5" s="301" t="str">
        <f t="shared" si="0"/>
        <v>none</v>
      </c>
      <c r="O5" s="300" t="e">
        <f>FIND("effect:",N5)+7</f>
        <v>#VALUE!</v>
      </c>
      <c r="P5" s="300">
        <f>IFERROR(FIND(",",N5),LEN(N5))</f>
        <v>4</v>
      </c>
      <c r="Q5" s="300" t="e">
        <f>FIND("target:",N5)+7</f>
        <v>#VALUE!</v>
      </c>
      <c r="R5" s="300" t="e">
        <f>FIND(",",N5,P5+1)</f>
        <v>#VALUE!</v>
      </c>
      <c r="S5" s="300" t="str">
        <f>IFERROR(VLOOKUP(MID(N5,Q5,R5-Q5),[5]skilldef!$C:$D,2,FALSE),"-") &amp; " / " &amp; IFERROR(VLOOKUP(MID(N5,O5,P5-O5),[5]skilldef!$A:$B,2,FALSE),"-")</f>
        <v>- / -</v>
      </c>
      <c r="T5" s="301" t="str">
        <f>IFERROR(RIGHT(M5,LEN(M5)-FIND("],",M5)-1),"none")</f>
        <v>none</v>
      </c>
      <c r="U5" s="300" t="e">
        <f>FIND("effect:",T5)+7</f>
        <v>#VALUE!</v>
      </c>
      <c r="V5" s="300">
        <f>IFERROR(FIND(",",T5),LEN(T5))</f>
        <v>4</v>
      </c>
      <c r="W5" s="300" t="e">
        <f>FIND("target:",T5)+7</f>
        <v>#VALUE!</v>
      </c>
      <c r="X5" s="300" t="e">
        <f>FIND(",",T5,V5+1)</f>
        <v>#VALUE!</v>
      </c>
      <c r="Y5" s="300" t="str">
        <f>IFERROR(VLOOKUP(MID(T5,W5,X5-W5),[5]skilldef!$C:$D,2,FALSE),"-") &amp; " / " &amp; IFERROR(VLOOKUP(MID(T5,U5,V5-U5),[5]skilldef!$A:$B,2,FALSE),"-")</f>
        <v>- / -</v>
      </c>
      <c r="Z5" s="38"/>
      <c r="AA5" s="40"/>
      <c r="AB5" s="38"/>
    </row>
    <row r="6" spans="1:28" s="302" customFormat="1" ht="21" customHeight="1" x14ac:dyDescent="0.15">
      <c r="A6" s="35">
        <v>60013005</v>
      </c>
      <c r="B6" s="35" t="s">
        <v>372</v>
      </c>
      <c r="C6" s="38">
        <v>3</v>
      </c>
      <c r="D6" s="38" t="s">
        <v>249</v>
      </c>
      <c r="E6" s="39" t="s">
        <v>373</v>
      </c>
      <c r="F6" s="39" t="s">
        <v>374</v>
      </c>
      <c r="G6" s="300" t="str">
        <f>IFERROR(LEFT(B6,FIND("],",B6)),B6)</f>
        <v>[effect:break_attack_fix, val:0, lowest_val:2000, count:-1, block:block_red, target:unit_all]</v>
      </c>
      <c r="H6" s="300">
        <f>FIND("effect:",G6)+7</f>
        <v>9</v>
      </c>
      <c r="I6" s="300">
        <f>IFERROR(FIND(",",G6),LEN(G6))</f>
        <v>25</v>
      </c>
      <c r="J6" s="300">
        <f>FIND("target:",G6)+7</f>
        <v>85</v>
      </c>
      <c r="K6" s="300">
        <f>FIND(",",G6,I6+1)</f>
        <v>32</v>
      </c>
      <c r="L6" s="300" t="str">
        <f>IFERROR(VLOOKUP(MID(G6,J6,K6-J6),[5]skilldef!$C:$D,2,FALSE),"-") &amp; " / " &amp; IFERROR(VLOOKUP(MID(G6,H6,I6-H6),[5]skilldef!$A:$B,2,FALSE),"-")</f>
        <v>- / -</v>
      </c>
      <c r="M6" s="300" t="str">
        <f>IFERROR(RIGHT(B6,LEN(B6)-FIND("],",B6)-1),"none")</f>
        <v>none</v>
      </c>
      <c r="N6" s="301" t="str">
        <f t="shared" si="0"/>
        <v>none</v>
      </c>
      <c r="O6" s="300" t="e">
        <f>FIND("effect:",N6)+7</f>
        <v>#VALUE!</v>
      </c>
      <c r="P6" s="300">
        <f>IFERROR(FIND(",",N6),LEN(N6))</f>
        <v>4</v>
      </c>
      <c r="Q6" s="300" t="e">
        <f>FIND("target:",N6)+7</f>
        <v>#VALUE!</v>
      </c>
      <c r="R6" s="300" t="e">
        <f>FIND(",",N6,P6+1)</f>
        <v>#VALUE!</v>
      </c>
      <c r="S6" s="300" t="str">
        <f>IFERROR(VLOOKUP(MID(N6,Q6,R6-Q6),[5]skilldef!$C:$D,2,FALSE),"-") &amp; " / " &amp; IFERROR(VLOOKUP(MID(N6,O6,P6-O6),[5]skilldef!$A:$B,2,FALSE),"-")</f>
        <v>- / -</v>
      </c>
      <c r="T6" s="301" t="str">
        <f>IFERROR(RIGHT(M6,LEN(M6)-FIND("],",M6)-1),"none")</f>
        <v>none</v>
      </c>
      <c r="U6" s="300" t="e">
        <f>FIND("effect:",T6)+7</f>
        <v>#VALUE!</v>
      </c>
      <c r="V6" s="300">
        <f>IFERROR(FIND(",",T6),LEN(T6))</f>
        <v>4</v>
      </c>
      <c r="W6" s="300" t="e">
        <f>FIND("target:",T6)+7</f>
        <v>#VALUE!</v>
      </c>
      <c r="X6" s="300" t="e">
        <f>FIND(",",T6,V6+1)</f>
        <v>#VALUE!</v>
      </c>
      <c r="Y6" s="300" t="str">
        <f>IFERROR(VLOOKUP(MID(T6,W6,X6-W6),[5]skilldef!$C:$D,2,FALSE),"-") &amp; " / " &amp; IFERROR(VLOOKUP(MID(T6,U6,V6-U6),[5]skilldef!$A:$B,2,FALSE),"-")</f>
        <v>- / -</v>
      </c>
      <c r="Z6" s="38"/>
      <c r="AA6" s="40"/>
      <c r="AB6" s="38"/>
    </row>
    <row r="7" spans="1:28" s="302" customFormat="1" ht="21" customHeight="1" x14ac:dyDescent="0.15">
      <c r="A7" s="35">
        <v>60013006</v>
      </c>
      <c r="B7" s="35" t="s">
        <v>363</v>
      </c>
      <c r="C7" s="38">
        <v>3</v>
      </c>
      <c r="D7" s="38" t="s">
        <v>249</v>
      </c>
      <c r="E7" s="39" t="s">
        <v>375</v>
      </c>
      <c r="F7" s="39" t="s">
        <v>376</v>
      </c>
      <c r="G7" s="300" t="str">
        <f t="shared" ref="G7:G26" si="1">IFERROR(LEFT(B7,FIND("],",B7)),B7)</f>
        <v>[effect:nothing]</v>
      </c>
      <c r="H7" s="300">
        <f t="shared" ref="H7:H26" si="2">FIND("effect:",G7)+7</f>
        <v>9</v>
      </c>
      <c r="I7" s="300">
        <f t="shared" ref="I7:I26" si="3">IFERROR(FIND(",",G7),LEN(G7))</f>
        <v>16</v>
      </c>
      <c r="J7" s="300" t="e">
        <f t="shared" ref="J7:J26" si="4">FIND("target:",G7)+7</f>
        <v>#VALUE!</v>
      </c>
      <c r="K7" s="300" t="e">
        <f t="shared" ref="K7:K26" si="5">FIND(",",G7,I7+1)</f>
        <v>#VALUE!</v>
      </c>
      <c r="L7" s="300" t="str">
        <f>IFERROR(VLOOKUP(MID(G7,J7,K7-J7),[5]skilldef!$C:$D,2,FALSE),"-") &amp; " / " &amp; IFERROR(VLOOKUP(MID(G7,H7,I7-H7),[5]skilldef!$A:$B,2,FALSE),"-")</f>
        <v>- / 何もしない</v>
      </c>
      <c r="M7" s="300" t="str">
        <f t="shared" ref="M7:M26" si="6">IFERROR(RIGHT(B7,LEN(B7)-FIND("],",B7)-1),"none")</f>
        <v>none</v>
      </c>
      <c r="N7" s="301" t="str">
        <f t="shared" si="0"/>
        <v>none</v>
      </c>
      <c r="O7" s="300" t="e">
        <f t="shared" ref="O7:O26" si="7">FIND("effect:",N7)+7</f>
        <v>#VALUE!</v>
      </c>
      <c r="P7" s="300">
        <f t="shared" ref="P7:P26" si="8">IFERROR(FIND(",",N7),LEN(N7))</f>
        <v>4</v>
      </c>
      <c r="Q7" s="300" t="e">
        <f t="shared" ref="Q7:Q26" si="9">FIND("target:",N7)+7</f>
        <v>#VALUE!</v>
      </c>
      <c r="R7" s="300" t="e">
        <f t="shared" ref="R7:R26" si="10">FIND(",",N7,P7+1)</f>
        <v>#VALUE!</v>
      </c>
      <c r="S7" s="300" t="str">
        <f>IFERROR(VLOOKUP(MID(N7,Q7,R7-Q7),[5]skilldef!$C:$D,2,FALSE),"-") &amp; " / " &amp; IFERROR(VLOOKUP(MID(N7,O7,P7-O7),[5]skilldef!$A:$B,2,FALSE),"-")</f>
        <v>- / -</v>
      </c>
      <c r="T7" s="301" t="str">
        <f t="shared" ref="T7:T26" si="11">IFERROR(RIGHT(M7,LEN(M7)-FIND("],",M7)-1),"none")</f>
        <v>none</v>
      </c>
      <c r="U7" s="300" t="e">
        <f t="shared" ref="U7:U26" si="12">FIND("effect:",T7)+7</f>
        <v>#VALUE!</v>
      </c>
      <c r="V7" s="300">
        <f t="shared" ref="V7:V26" si="13">IFERROR(FIND(",",T7),LEN(T7))</f>
        <v>4</v>
      </c>
      <c r="W7" s="300" t="e">
        <f t="shared" ref="W7:W26" si="14">FIND("target:",T7)+7</f>
        <v>#VALUE!</v>
      </c>
      <c r="X7" s="300" t="e">
        <f t="shared" ref="X7:X26" si="15">FIND(",",T7,V7+1)</f>
        <v>#VALUE!</v>
      </c>
      <c r="Y7" s="300" t="str">
        <f>IFERROR(VLOOKUP(MID(T7,W7,X7-W7),[5]skilldef!$C:$D,2,FALSE),"-") &amp; " / " &amp; IFERROR(VLOOKUP(MID(T7,U7,V7-U7),[5]skilldef!$A:$B,2,FALSE),"-")</f>
        <v>- / -</v>
      </c>
      <c r="Z7" s="38"/>
      <c r="AA7" s="40"/>
      <c r="AB7" s="38"/>
    </row>
    <row r="8" spans="1:28" s="302" customFormat="1" ht="21" customHeight="1" x14ac:dyDescent="0.15">
      <c r="A8" s="35">
        <v>60013007</v>
      </c>
      <c r="B8" s="35" t="s">
        <v>377</v>
      </c>
      <c r="C8" s="38">
        <v>3</v>
      </c>
      <c r="D8" s="38" t="s">
        <v>249</v>
      </c>
      <c r="E8" s="39" t="s">
        <v>378</v>
      </c>
      <c r="F8" s="39" t="s">
        <v>379</v>
      </c>
      <c r="G8" s="300" t="str">
        <f t="shared" si="1"/>
        <v>[effect:critical, val:1.5]</v>
      </c>
      <c r="H8" s="300">
        <f t="shared" si="2"/>
        <v>9</v>
      </c>
      <c r="I8" s="300">
        <f t="shared" si="3"/>
        <v>17</v>
      </c>
      <c r="J8" s="300" t="e">
        <f t="shared" si="4"/>
        <v>#VALUE!</v>
      </c>
      <c r="K8" s="300" t="e">
        <f t="shared" si="5"/>
        <v>#VALUE!</v>
      </c>
      <c r="L8" s="300" t="str">
        <f>IFERROR(VLOOKUP(MID(G8,J8,K8-J8),[5]skilldef!$C:$D,2,FALSE),"-") &amp; " / " &amp; IFERROR(VLOOKUP(MID(G8,H8,I8-H8),[5]skilldef!$A:$B,2,FALSE),"-")</f>
        <v>- / 大攻撃</v>
      </c>
      <c r="M8" s="300" t="str">
        <f t="shared" si="6"/>
        <v>none</v>
      </c>
      <c r="N8" s="301" t="str">
        <f t="shared" si="0"/>
        <v>none</v>
      </c>
      <c r="O8" s="300" t="e">
        <f t="shared" si="7"/>
        <v>#VALUE!</v>
      </c>
      <c r="P8" s="300">
        <f t="shared" si="8"/>
        <v>4</v>
      </c>
      <c r="Q8" s="300" t="e">
        <f t="shared" si="9"/>
        <v>#VALUE!</v>
      </c>
      <c r="R8" s="300" t="e">
        <f t="shared" si="10"/>
        <v>#VALUE!</v>
      </c>
      <c r="S8" s="300" t="str">
        <f>IFERROR(VLOOKUP(MID(N8,Q8,R8-Q8),[5]skilldef!$C:$D,2,FALSE),"-") &amp; " / " &amp; IFERROR(VLOOKUP(MID(N8,O8,P8-O8),[5]skilldef!$A:$B,2,FALSE),"-")</f>
        <v>- / -</v>
      </c>
      <c r="T8" s="301" t="str">
        <f t="shared" si="11"/>
        <v>none</v>
      </c>
      <c r="U8" s="300" t="e">
        <f t="shared" si="12"/>
        <v>#VALUE!</v>
      </c>
      <c r="V8" s="300">
        <f t="shared" si="13"/>
        <v>4</v>
      </c>
      <c r="W8" s="300" t="e">
        <f t="shared" si="14"/>
        <v>#VALUE!</v>
      </c>
      <c r="X8" s="300" t="e">
        <f t="shared" si="15"/>
        <v>#VALUE!</v>
      </c>
      <c r="Y8" s="300" t="str">
        <f>IFERROR(VLOOKUP(MID(T8,W8,X8-W8),[5]skilldef!$C:$D,2,FALSE),"-") &amp; " / " &amp; IFERROR(VLOOKUP(MID(T8,U8,V8-U8),[5]skilldef!$A:$B,2,FALSE),"-")</f>
        <v>- / -</v>
      </c>
      <c r="Z8" s="38"/>
      <c r="AA8" s="40"/>
      <c r="AB8" s="38"/>
    </row>
    <row r="9" spans="1:28" s="302" customFormat="1" ht="21" customHeight="1" x14ac:dyDescent="0.15">
      <c r="A9" s="35">
        <v>60013009</v>
      </c>
      <c r="B9" s="35" t="s">
        <v>380</v>
      </c>
      <c r="C9" s="38">
        <v>3</v>
      </c>
      <c r="D9" s="38" t="s">
        <v>249</v>
      </c>
      <c r="E9" s="39" t="s">
        <v>381</v>
      </c>
      <c r="F9" s="39" t="s">
        <v>382</v>
      </c>
      <c r="G9" s="300" t="str">
        <f t="shared" si="1"/>
        <v xml:space="preserve">[effect:enhance_enemy, target:enemy_all, turn:5, status:attack, val:0.5, calc:mul, animation:enemy_enhance_attack]    </v>
      </c>
      <c r="H9" s="300">
        <f t="shared" si="2"/>
        <v>9</v>
      </c>
      <c r="I9" s="300">
        <f t="shared" si="3"/>
        <v>22</v>
      </c>
      <c r="J9" s="300">
        <f t="shared" si="4"/>
        <v>31</v>
      </c>
      <c r="K9" s="300">
        <f t="shared" si="5"/>
        <v>40</v>
      </c>
      <c r="L9" s="300" t="str">
        <f>IFERROR(VLOOKUP(MID(G9,J9,K9-J9),[5]skilldef!$C:$D,2,FALSE),"-") &amp; " / " &amp; IFERROR(VLOOKUP(MID(G9,H9,I9-H9),[5]skilldef!$A:$B,2,FALSE),"-")</f>
        <v>敵全体に / ステータス強化</v>
      </c>
      <c r="M9" s="300" t="str">
        <f t="shared" si="6"/>
        <v>none</v>
      </c>
      <c r="N9" s="301" t="str">
        <f>IFERROR(LEFT(M9,FIND("],",M9)+S20),M9)</f>
        <v>none</v>
      </c>
      <c r="O9" s="300" t="e">
        <f t="shared" si="7"/>
        <v>#VALUE!</v>
      </c>
      <c r="P9" s="300">
        <f t="shared" si="8"/>
        <v>4</v>
      </c>
      <c r="Q9" s="300" t="e">
        <f t="shared" si="9"/>
        <v>#VALUE!</v>
      </c>
      <c r="R9" s="300" t="e">
        <f t="shared" si="10"/>
        <v>#VALUE!</v>
      </c>
      <c r="S9" s="300" t="str">
        <f>IFERROR(VLOOKUP(MID(N9,Q9,R9-Q9),[5]skilldef!$C:$D,2,FALSE),"-") &amp; " / " &amp; IFERROR(VLOOKUP(MID(N9,O9,P9-O9),[5]skilldef!$A:$B,2,FALSE),"-")</f>
        <v>- / -</v>
      </c>
      <c r="T9" s="301" t="str">
        <f t="shared" si="11"/>
        <v>none</v>
      </c>
      <c r="U9" s="300" t="e">
        <f t="shared" si="12"/>
        <v>#VALUE!</v>
      </c>
      <c r="V9" s="300">
        <f t="shared" si="13"/>
        <v>4</v>
      </c>
      <c r="W9" s="300" t="e">
        <f t="shared" si="14"/>
        <v>#VALUE!</v>
      </c>
      <c r="X9" s="300" t="e">
        <f t="shared" si="15"/>
        <v>#VALUE!</v>
      </c>
      <c r="Y9" s="300" t="str">
        <f>IFERROR(VLOOKUP(MID(T9,W9,X9-W9),[5]skilldef!$C:$D,2,FALSE),"-") &amp; " / " &amp; IFERROR(VLOOKUP(MID(T9,U9,V9-U9),[5]skilldef!$A:$B,2,FALSE),"-")</f>
        <v>- / -</v>
      </c>
      <c r="Z9" s="38"/>
      <c r="AA9" s="40"/>
      <c r="AB9" s="38"/>
    </row>
    <row r="10" spans="1:28" s="302" customFormat="1" ht="21" customHeight="1" x14ac:dyDescent="0.15">
      <c r="A10" s="35">
        <v>60013010</v>
      </c>
      <c r="B10" s="35" t="s">
        <v>383</v>
      </c>
      <c r="C10" s="38">
        <v>3</v>
      </c>
      <c r="D10" s="38" t="s">
        <v>249</v>
      </c>
      <c r="E10" s="39" t="s">
        <v>384</v>
      </c>
      <c r="F10" s="39" t="s">
        <v>385</v>
      </c>
      <c r="G10" s="300" t="str">
        <f t="shared" si="1"/>
        <v xml:space="preserve">[effect:enhance_enemy, target:enemy_all, turn:3, status:defense, val:5000, calc:add, animation:enemy_enhance_defense]    </v>
      </c>
      <c r="H10" s="300">
        <f t="shared" si="2"/>
        <v>9</v>
      </c>
      <c r="I10" s="300">
        <f t="shared" si="3"/>
        <v>22</v>
      </c>
      <c r="J10" s="300">
        <f t="shared" si="4"/>
        <v>31</v>
      </c>
      <c r="K10" s="300">
        <f t="shared" si="5"/>
        <v>40</v>
      </c>
      <c r="L10" s="300" t="str">
        <f>IFERROR(VLOOKUP(MID(G10,J10,K10-J10),[5]skilldef!$C:$D,2,FALSE),"-") &amp; " / " &amp; IFERROR(VLOOKUP(MID(G10,H10,I10-H10),[5]skilldef!$A:$B,2,FALSE),"-")</f>
        <v>敵全体に / ステータス強化</v>
      </c>
      <c r="M10" s="300" t="str">
        <f t="shared" si="6"/>
        <v>none</v>
      </c>
      <c r="N10" s="301" t="str">
        <f>IFERROR(LEFT(M10,FIND("],",M10)+S21),M10)</f>
        <v>none</v>
      </c>
      <c r="O10" s="300" t="e">
        <f t="shared" si="7"/>
        <v>#VALUE!</v>
      </c>
      <c r="P10" s="300">
        <f t="shared" si="8"/>
        <v>4</v>
      </c>
      <c r="Q10" s="300" t="e">
        <f t="shared" si="9"/>
        <v>#VALUE!</v>
      </c>
      <c r="R10" s="300" t="e">
        <f t="shared" si="10"/>
        <v>#VALUE!</v>
      </c>
      <c r="S10" s="300" t="str">
        <f>IFERROR(VLOOKUP(MID(N10,Q10,R10-Q10),[5]skilldef!$C:$D,2,FALSE),"-") &amp; " / " &amp; IFERROR(VLOOKUP(MID(N10,O10,P10-O10),[5]skilldef!$A:$B,2,FALSE),"-")</f>
        <v>- / -</v>
      </c>
      <c r="T10" s="301" t="str">
        <f t="shared" si="11"/>
        <v>none</v>
      </c>
      <c r="U10" s="300" t="e">
        <f t="shared" si="12"/>
        <v>#VALUE!</v>
      </c>
      <c r="V10" s="300">
        <f t="shared" si="13"/>
        <v>4</v>
      </c>
      <c r="W10" s="300" t="e">
        <f t="shared" si="14"/>
        <v>#VALUE!</v>
      </c>
      <c r="X10" s="300" t="e">
        <f t="shared" si="15"/>
        <v>#VALUE!</v>
      </c>
      <c r="Y10" s="300" t="str">
        <f>IFERROR(VLOOKUP(MID(T10,W10,X10-W10),[5]skilldef!$C:$D,2,FALSE),"-") &amp; " / " &amp; IFERROR(VLOOKUP(MID(T10,U10,V10-U10),[5]skilldef!$A:$B,2,FALSE),"-")</f>
        <v>- / -</v>
      </c>
      <c r="Z10" s="38"/>
      <c r="AA10" s="40"/>
      <c r="AB10" s="38"/>
    </row>
    <row r="11" spans="1:28" s="302" customFormat="1" ht="21" customHeight="1" x14ac:dyDescent="0.15">
      <c r="A11" s="35">
        <v>60013012</v>
      </c>
      <c r="B11" s="35" t="s">
        <v>386</v>
      </c>
      <c r="C11" s="38">
        <v>3</v>
      </c>
      <c r="D11" s="38" t="s">
        <v>249</v>
      </c>
      <c r="E11" s="39" t="s">
        <v>387</v>
      </c>
      <c r="F11" s="39" t="s">
        <v>388</v>
      </c>
      <c r="G11" s="300" t="str">
        <f t="shared" si="1"/>
        <v xml:space="preserve">[effect:nothing]    </v>
      </c>
      <c r="H11" s="300">
        <f t="shared" si="2"/>
        <v>9</v>
      </c>
      <c r="I11" s="300">
        <f t="shared" si="3"/>
        <v>20</v>
      </c>
      <c r="J11" s="300" t="e">
        <f t="shared" si="4"/>
        <v>#VALUE!</v>
      </c>
      <c r="K11" s="300" t="e">
        <f t="shared" si="5"/>
        <v>#VALUE!</v>
      </c>
      <c r="L11" s="300" t="str">
        <f>IFERROR(VLOOKUP(MID(G11,J11,K11-J11),[5]skilldef!$C:$D,2,FALSE),"-") &amp; " / " &amp; IFERROR(VLOOKUP(MID(G11,H11,I11-H11),[5]skilldef!$A:$B,2,FALSE),"-")</f>
        <v>- / -</v>
      </c>
      <c r="M11" s="300" t="str">
        <f t="shared" si="6"/>
        <v>none</v>
      </c>
      <c r="N11" s="301" t="str">
        <f>IFERROR(LEFT(M11,FIND("],",M11)+S24),M11)</f>
        <v>none</v>
      </c>
      <c r="O11" s="300" t="e">
        <f t="shared" si="7"/>
        <v>#VALUE!</v>
      </c>
      <c r="P11" s="300">
        <f t="shared" si="8"/>
        <v>4</v>
      </c>
      <c r="Q11" s="300" t="e">
        <f t="shared" si="9"/>
        <v>#VALUE!</v>
      </c>
      <c r="R11" s="300" t="e">
        <f t="shared" si="10"/>
        <v>#VALUE!</v>
      </c>
      <c r="S11" s="300" t="str">
        <f>IFERROR(VLOOKUP(MID(N11,Q11,R11-Q11),[5]skilldef!$C:$D,2,FALSE),"-") &amp; " / " &amp; IFERROR(VLOOKUP(MID(N11,O11,P11-O11),[5]skilldef!$A:$B,2,FALSE),"-")</f>
        <v>- / -</v>
      </c>
      <c r="T11" s="301" t="str">
        <f t="shared" si="11"/>
        <v>none</v>
      </c>
      <c r="U11" s="300" t="e">
        <f t="shared" si="12"/>
        <v>#VALUE!</v>
      </c>
      <c r="V11" s="300">
        <f t="shared" si="13"/>
        <v>4</v>
      </c>
      <c r="W11" s="300" t="e">
        <f t="shared" si="14"/>
        <v>#VALUE!</v>
      </c>
      <c r="X11" s="300" t="e">
        <f t="shared" si="15"/>
        <v>#VALUE!</v>
      </c>
      <c r="Y11" s="300" t="str">
        <f>IFERROR(VLOOKUP(MID(T11,W11,X11-W11),[5]skilldef!$C:$D,2,FALSE),"-") &amp; " / " &amp; IFERROR(VLOOKUP(MID(T11,U11,V11-U11),[5]skilldef!$A:$B,2,FALSE),"-")</f>
        <v>- / -</v>
      </c>
      <c r="Z11" s="38"/>
      <c r="AA11" s="40"/>
      <c r="AB11" s="38"/>
    </row>
    <row r="12" spans="1:28" s="302" customFormat="1" ht="21" customHeight="1" x14ac:dyDescent="0.15">
      <c r="A12" s="35">
        <v>60013013</v>
      </c>
      <c r="B12" s="35" t="s">
        <v>389</v>
      </c>
      <c r="C12" s="38">
        <v>3</v>
      </c>
      <c r="D12" s="38" t="s">
        <v>249</v>
      </c>
      <c r="E12" s="39" t="s">
        <v>390</v>
      </c>
      <c r="F12" s="39" t="s">
        <v>391</v>
      </c>
      <c r="G12" s="300" t="str">
        <f t="shared" si="1"/>
        <v>[effect:critical, val:1.35]</v>
      </c>
      <c r="H12" s="300">
        <f t="shared" si="2"/>
        <v>9</v>
      </c>
      <c r="I12" s="300">
        <f t="shared" si="3"/>
        <v>17</v>
      </c>
      <c r="J12" s="300" t="e">
        <f t="shared" si="4"/>
        <v>#VALUE!</v>
      </c>
      <c r="K12" s="300" t="e">
        <f t="shared" si="5"/>
        <v>#VALUE!</v>
      </c>
      <c r="L12" s="300" t="str">
        <f>IFERROR(VLOOKUP(MID(G12,J12,K12-J12),[5]skilldef!$C:$D,2,FALSE),"-") &amp; " / " &amp; IFERROR(VLOOKUP(MID(G12,H12,I12-H12),[5]skilldef!$A:$B,2,FALSE),"-")</f>
        <v>- / 大攻撃</v>
      </c>
      <c r="M12" s="300" t="str">
        <f t="shared" si="6"/>
        <v>none</v>
      </c>
      <c r="N12" s="301" t="str">
        <f>IFERROR(LEFT(M12,FIND("],",M12)+S25),M12)</f>
        <v>none</v>
      </c>
      <c r="O12" s="300" t="e">
        <f t="shared" si="7"/>
        <v>#VALUE!</v>
      </c>
      <c r="P12" s="300">
        <f t="shared" si="8"/>
        <v>4</v>
      </c>
      <c r="Q12" s="300" t="e">
        <f t="shared" si="9"/>
        <v>#VALUE!</v>
      </c>
      <c r="R12" s="300" t="e">
        <f t="shared" si="10"/>
        <v>#VALUE!</v>
      </c>
      <c r="S12" s="300" t="str">
        <f>IFERROR(VLOOKUP(MID(N12,Q12,R12-Q12),[5]skilldef!$C:$D,2,FALSE),"-") &amp; " / " &amp; IFERROR(VLOOKUP(MID(N12,O12,P12-O12),[5]skilldef!$A:$B,2,FALSE),"-")</f>
        <v>- / -</v>
      </c>
      <c r="T12" s="301" t="str">
        <f t="shared" si="11"/>
        <v>none</v>
      </c>
      <c r="U12" s="300" t="e">
        <f t="shared" si="12"/>
        <v>#VALUE!</v>
      </c>
      <c r="V12" s="300">
        <f t="shared" si="13"/>
        <v>4</v>
      </c>
      <c r="W12" s="300" t="e">
        <f t="shared" si="14"/>
        <v>#VALUE!</v>
      </c>
      <c r="X12" s="300" t="e">
        <f t="shared" si="15"/>
        <v>#VALUE!</v>
      </c>
      <c r="Y12" s="300" t="str">
        <f>IFERROR(VLOOKUP(MID(T12,W12,X12-W12),[5]skilldef!$C:$D,2,FALSE),"-") &amp; " / " &amp; IFERROR(VLOOKUP(MID(T12,U12,V12-U12),[5]skilldef!$A:$B,2,FALSE),"-")</f>
        <v>- / -</v>
      </c>
      <c r="Z12" s="38"/>
      <c r="AA12" s="40"/>
      <c r="AB12" s="38"/>
    </row>
    <row r="13" spans="1:28" s="302" customFormat="1" ht="21" customHeight="1" x14ac:dyDescent="0.15">
      <c r="A13" s="35">
        <v>60013014</v>
      </c>
      <c r="B13" s="35" t="s">
        <v>392</v>
      </c>
      <c r="C13" s="38">
        <v>3</v>
      </c>
      <c r="D13" s="38" t="s">
        <v>393</v>
      </c>
      <c r="E13" s="39" t="s">
        <v>394</v>
      </c>
      <c r="F13" s="39" t="s">
        <v>395</v>
      </c>
      <c r="G13" s="300" t="str">
        <f t="shared" si="1"/>
        <v xml:space="preserve">[effect:freq_turn, target:myself, turn:3, val:2, animation:enemy_freq_turn]    </v>
      </c>
      <c r="H13" s="300">
        <f t="shared" si="2"/>
        <v>9</v>
      </c>
      <c r="I13" s="300">
        <f t="shared" si="3"/>
        <v>18</v>
      </c>
      <c r="J13" s="300">
        <f t="shared" si="4"/>
        <v>27</v>
      </c>
      <c r="K13" s="300">
        <f t="shared" si="5"/>
        <v>33</v>
      </c>
      <c r="L13" s="300" t="str">
        <f>IFERROR(VLOOKUP(MID(G13,J13,K13-J13),[5]skilldef!$C:$D,2,FALSE),"-") &amp; " / " &amp; IFERROR(VLOOKUP(MID(G13,H13,I13-H13),[5]skilldef!$A:$B,2,FALSE),"-")</f>
        <v>自分自身に / 攻撃頻度がUP</v>
      </c>
      <c r="M13" s="300" t="str">
        <f t="shared" si="6"/>
        <v>none</v>
      </c>
      <c r="N13" s="301" t="str">
        <f>IFERROR(LEFT(M13,FIND("],",M13)+#REF!),M13)</f>
        <v>none</v>
      </c>
      <c r="O13" s="300" t="e">
        <f t="shared" si="7"/>
        <v>#VALUE!</v>
      </c>
      <c r="P13" s="300">
        <f t="shared" si="8"/>
        <v>4</v>
      </c>
      <c r="Q13" s="300" t="e">
        <f t="shared" si="9"/>
        <v>#VALUE!</v>
      </c>
      <c r="R13" s="300" t="e">
        <f t="shared" si="10"/>
        <v>#VALUE!</v>
      </c>
      <c r="S13" s="300" t="str">
        <f>IFERROR(VLOOKUP(MID(N13,Q13,R13-Q13),[5]skilldef!$C:$D,2,FALSE),"-") &amp; " / " &amp; IFERROR(VLOOKUP(MID(N13,O13,P13-O13),[5]skilldef!$A:$B,2,FALSE),"-")</f>
        <v>- / -</v>
      </c>
      <c r="T13" s="301" t="str">
        <f t="shared" si="11"/>
        <v>none</v>
      </c>
      <c r="U13" s="300" t="e">
        <f t="shared" si="12"/>
        <v>#VALUE!</v>
      </c>
      <c r="V13" s="300">
        <f t="shared" si="13"/>
        <v>4</v>
      </c>
      <c r="W13" s="300" t="e">
        <f t="shared" si="14"/>
        <v>#VALUE!</v>
      </c>
      <c r="X13" s="300" t="e">
        <f t="shared" si="15"/>
        <v>#VALUE!</v>
      </c>
      <c r="Y13" s="300" t="str">
        <f>IFERROR(VLOOKUP(MID(T13,W13,X13-W13),[5]skilldef!$C:$D,2,FALSE),"-") &amp; " / " &amp; IFERROR(VLOOKUP(MID(T13,U13,V13-U13),[5]skilldef!$A:$B,2,FALSE),"-")</f>
        <v>- / -</v>
      </c>
      <c r="Z13" s="38"/>
      <c r="AA13" s="40"/>
      <c r="AB13" s="38"/>
    </row>
    <row r="14" spans="1:28" s="302" customFormat="1" ht="21" customHeight="1" x14ac:dyDescent="0.15">
      <c r="A14" s="35">
        <v>60013015</v>
      </c>
      <c r="B14" s="303" t="s">
        <v>396</v>
      </c>
      <c r="C14" s="38">
        <v>3</v>
      </c>
      <c r="D14" s="38" t="s">
        <v>397</v>
      </c>
      <c r="E14" s="39" t="s">
        <v>398</v>
      </c>
      <c r="F14" s="39" t="s">
        <v>399</v>
      </c>
      <c r="G14" s="300" t="str">
        <f t="shared" si="1"/>
        <v>[effect:tolerance, target:myself, turn:-1, tolerance_effect:sleep, count:-1]</v>
      </c>
      <c r="H14" s="300">
        <f t="shared" si="2"/>
        <v>9</v>
      </c>
      <c r="I14" s="300">
        <f t="shared" si="3"/>
        <v>18</v>
      </c>
      <c r="J14" s="300">
        <f t="shared" si="4"/>
        <v>27</v>
      </c>
      <c r="K14" s="300">
        <f t="shared" si="5"/>
        <v>33</v>
      </c>
      <c r="L14" s="300" t="str">
        <f>IFERROR(VLOOKUP(MID(G14,J14,K14-J14),[5]skilldef!$C:$D,2,FALSE),"-") &amp; " / " &amp; IFERROR(VLOOKUP(MID(G14,H14,I14-H14),[5]skilldef!$A:$B,2,FALSE),"-")</f>
        <v>自分自身に / 状態異常耐性</v>
      </c>
      <c r="M14" s="300" t="str">
        <f t="shared" si="6"/>
        <v xml:space="preserve">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N14" s="301" t="str">
        <f>IFERROR(LEFT(M14,FIND("],",M14)+#REF!),M14)</f>
        <v xml:space="preserve">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O14" s="300">
        <f t="shared" si="7"/>
        <v>9</v>
      </c>
      <c r="P14" s="300">
        <f t="shared" si="8"/>
        <v>18</v>
      </c>
      <c r="Q14" s="300">
        <f t="shared" si="9"/>
        <v>27</v>
      </c>
      <c r="R14" s="300">
        <f t="shared" si="10"/>
        <v>33</v>
      </c>
      <c r="S14" s="300" t="str">
        <f>IFERROR(VLOOKUP(MID(N14,Q14,R14-Q14),[5]skilldef!$C:$D,2,FALSE),"-") &amp; " / " &amp; IFERROR(VLOOKUP(MID(N14,O14,P14-O14),[5]skilldef!$A:$B,2,FALSE),"-")</f>
        <v>自分自身に / 状態異常耐性</v>
      </c>
      <c r="T14" s="301" t="str">
        <f t="shared" si="11"/>
        <v xml:space="preserve">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U14" s="300">
        <f t="shared" si="12"/>
        <v>9</v>
      </c>
      <c r="V14" s="300">
        <f t="shared" si="13"/>
        <v>18</v>
      </c>
      <c r="W14" s="300">
        <f t="shared" si="14"/>
        <v>27</v>
      </c>
      <c r="X14" s="300">
        <f t="shared" si="15"/>
        <v>33</v>
      </c>
      <c r="Y14" s="300" t="str">
        <f>IFERROR(VLOOKUP(MID(T14,W14,X14-W14),[5]skilldef!$C:$D,2,FALSE),"-") &amp; " / " &amp; IFERROR(VLOOKUP(MID(T14,U14,V14-U14),[5]skilldef!$A:$B,2,FALSE),"-")</f>
        <v>自分自身に / 状態異常耐性</v>
      </c>
      <c r="Z14" s="38"/>
      <c r="AA14" s="40"/>
      <c r="AB14" s="38"/>
    </row>
    <row r="15" spans="1:28" s="302" customFormat="1" ht="21" customHeight="1" x14ac:dyDescent="0.15">
      <c r="A15" s="35">
        <v>60013016</v>
      </c>
      <c r="B15" s="35" t="s">
        <v>400</v>
      </c>
      <c r="C15" s="38">
        <v>3</v>
      </c>
      <c r="D15" s="38" t="s">
        <v>397</v>
      </c>
      <c r="E15" s="39" t="s">
        <v>401</v>
      </c>
      <c r="F15" s="39" t="s">
        <v>402</v>
      </c>
      <c r="G15" s="300" t="str">
        <f t="shared" si="1"/>
        <v xml:space="preserve">[effect:rush, count:1, val:1]    </v>
      </c>
      <c r="H15" s="300">
        <f t="shared" si="2"/>
        <v>9</v>
      </c>
      <c r="I15" s="300">
        <f t="shared" si="3"/>
        <v>13</v>
      </c>
      <c r="J15" s="300" t="e">
        <f t="shared" si="4"/>
        <v>#VALUE!</v>
      </c>
      <c r="K15" s="300">
        <f t="shared" si="5"/>
        <v>22</v>
      </c>
      <c r="L15" s="300" t="str">
        <f>IFERROR(VLOOKUP(MID(G15,J15,K15-J15),[5]skilldef!$C:$D,2,FALSE),"-") &amp; " / " &amp; IFERROR(VLOOKUP(MID(G15,H15,I15-H15),[5]skilldef!$A:$B,2,FALSE),"-")</f>
        <v>- / 連続攻撃</v>
      </c>
      <c r="M15" s="300" t="str">
        <f t="shared" si="6"/>
        <v>none</v>
      </c>
      <c r="N15" s="301" t="str">
        <f>IFERROR(LEFT(M15,FIND("],",M15)+#REF!),M15)</f>
        <v>none</v>
      </c>
      <c r="O15" s="300" t="e">
        <f t="shared" si="7"/>
        <v>#VALUE!</v>
      </c>
      <c r="P15" s="300">
        <f t="shared" si="8"/>
        <v>4</v>
      </c>
      <c r="Q15" s="300" t="e">
        <f t="shared" si="9"/>
        <v>#VALUE!</v>
      </c>
      <c r="R15" s="300" t="e">
        <f t="shared" si="10"/>
        <v>#VALUE!</v>
      </c>
      <c r="S15" s="300" t="str">
        <f>IFERROR(VLOOKUP(MID(N15,Q15,R15-Q15),[5]skilldef!$C:$D,2,FALSE),"-") &amp; " / " &amp; IFERROR(VLOOKUP(MID(N15,O15,P15-O15),[5]skilldef!$A:$B,2,FALSE),"-")</f>
        <v>- / -</v>
      </c>
      <c r="T15" s="301" t="str">
        <f t="shared" si="11"/>
        <v>none</v>
      </c>
      <c r="U15" s="300" t="e">
        <f t="shared" si="12"/>
        <v>#VALUE!</v>
      </c>
      <c r="V15" s="300">
        <f t="shared" si="13"/>
        <v>4</v>
      </c>
      <c r="W15" s="300" t="e">
        <f t="shared" si="14"/>
        <v>#VALUE!</v>
      </c>
      <c r="X15" s="300" t="e">
        <f t="shared" si="15"/>
        <v>#VALUE!</v>
      </c>
      <c r="Y15" s="300" t="str">
        <f>IFERROR(VLOOKUP(MID(T15,W15,X15-W15),[5]skilldef!$C:$D,2,FALSE),"-") &amp; " / " &amp; IFERROR(VLOOKUP(MID(T15,U15,V15-U15),[5]skilldef!$A:$B,2,FALSE),"-")</f>
        <v>- / -</v>
      </c>
      <c r="Z15" s="38"/>
      <c r="AA15" s="40"/>
      <c r="AB15" s="38"/>
    </row>
    <row r="16" spans="1:28" s="302" customFormat="1" ht="21" customHeight="1" x14ac:dyDescent="0.15">
      <c r="A16" s="35">
        <v>60013017</v>
      </c>
      <c r="B16" s="35" t="s">
        <v>403</v>
      </c>
      <c r="C16" s="38">
        <v>3</v>
      </c>
      <c r="D16" s="38" t="s">
        <v>404</v>
      </c>
      <c r="E16" s="39" t="s">
        <v>405</v>
      </c>
      <c r="F16" s="39" t="s">
        <v>406</v>
      </c>
      <c r="G16" s="300" t="str">
        <f t="shared" si="1"/>
        <v xml:space="preserve">[effect:rush, count:5, val:0.25]    </v>
      </c>
      <c r="H16" s="300">
        <f t="shared" si="2"/>
        <v>9</v>
      </c>
      <c r="I16" s="300">
        <f t="shared" si="3"/>
        <v>13</v>
      </c>
      <c r="J16" s="300" t="e">
        <f t="shared" si="4"/>
        <v>#VALUE!</v>
      </c>
      <c r="K16" s="300">
        <f t="shared" si="5"/>
        <v>22</v>
      </c>
      <c r="L16" s="300" t="str">
        <f>IFERROR(VLOOKUP(MID(G16,J16,K16-J16),[5]skilldef!$C:$D,2,FALSE),"-") &amp; " / " &amp; IFERROR(VLOOKUP(MID(G16,H16,I16-H16),[5]skilldef!$A:$B,2,FALSE),"-")</f>
        <v>- / 連続攻撃</v>
      </c>
      <c r="M16" s="300" t="str">
        <f t="shared" si="6"/>
        <v>none</v>
      </c>
      <c r="N16" s="301" t="str">
        <f>IFERROR(LEFT(M16,FIND("],",M16)+#REF!),M16)</f>
        <v>none</v>
      </c>
      <c r="O16" s="300" t="e">
        <f t="shared" si="7"/>
        <v>#VALUE!</v>
      </c>
      <c r="P16" s="300">
        <f t="shared" si="8"/>
        <v>4</v>
      </c>
      <c r="Q16" s="300" t="e">
        <f t="shared" si="9"/>
        <v>#VALUE!</v>
      </c>
      <c r="R16" s="300" t="e">
        <f t="shared" si="10"/>
        <v>#VALUE!</v>
      </c>
      <c r="S16" s="300" t="str">
        <f>IFERROR(VLOOKUP(MID(N16,Q16,R16-Q16),[5]skilldef!$C:$D,2,FALSE),"-") &amp; " / " &amp; IFERROR(VLOOKUP(MID(N16,O16,P16-O16),[5]skilldef!$A:$B,2,FALSE),"-")</f>
        <v>- / -</v>
      </c>
      <c r="T16" s="301" t="str">
        <f t="shared" si="11"/>
        <v>none</v>
      </c>
      <c r="U16" s="300" t="e">
        <f t="shared" si="12"/>
        <v>#VALUE!</v>
      </c>
      <c r="V16" s="300">
        <f t="shared" si="13"/>
        <v>4</v>
      </c>
      <c r="W16" s="300" t="e">
        <f t="shared" si="14"/>
        <v>#VALUE!</v>
      </c>
      <c r="X16" s="300" t="e">
        <f t="shared" si="15"/>
        <v>#VALUE!</v>
      </c>
      <c r="Y16" s="300" t="str">
        <f>IFERROR(VLOOKUP(MID(T16,W16,X16-W16),[5]skilldef!$C:$D,2,FALSE),"-") &amp; " / " &amp; IFERROR(VLOOKUP(MID(T16,U16,V16-U16),[5]skilldef!$A:$B,2,FALSE),"-")</f>
        <v>- / -</v>
      </c>
      <c r="Z16" s="38"/>
      <c r="AA16" s="40"/>
      <c r="AB16" s="38"/>
    </row>
    <row r="17" spans="1:28" s="302" customFormat="1" ht="21" customHeight="1" x14ac:dyDescent="0.15">
      <c r="A17" s="35">
        <v>60013018</v>
      </c>
      <c r="B17" s="35" t="s">
        <v>407</v>
      </c>
      <c r="C17" s="38">
        <v>3</v>
      </c>
      <c r="D17" s="38" t="s">
        <v>408</v>
      </c>
      <c r="E17" s="39" t="s">
        <v>409</v>
      </c>
      <c r="F17" s="39" t="s">
        <v>368</v>
      </c>
      <c r="G17" s="300" t="str">
        <f t="shared" si="1"/>
        <v>[effect:spread, val:0.35]</v>
      </c>
      <c r="H17" s="300">
        <f t="shared" si="2"/>
        <v>9</v>
      </c>
      <c r="I17" s="300">
        <f t="shared" si="3"/>
        <v>15</v>
      </c>
      <c r="J17" s="300" t="e">
        <f t="shared" si="4"/>
        <v>#VALUE!</v>
      </c>
      <c r="K17" s="300" t="e">
        <f t="shared" si="5"/>
        <v>#VALUE!</v>
      </c>
      <c r="L17" s="300" t="str">
        <f>IFERROR(VLOOKUP(MID(G17,J17,K17-J17),[5]skilldef!$C:$D,2,FALSE),"-") &amp; " / " &amp; IFERROR(VLOOKUP(MID(G17,H17,I17-H17),[5]skilldef!$A:$B,2,FALSE),"-")</f>
        <v>- / 全体攻撃</v>
      </c>
      <c r="M17" s="300" t="str">
        <f t="shared" si="6"/>
        <v>none</v>
      </c>
      <c r="N17" s="301" t="str">
        <f>IFERROR(LEFT(M17,FIND("],",M17)+#REF!),M17)</f>
        <v>none</v>
      </c>
      <c r="O17" s="300" t="e">
        <f t="shared" si="7"/>
        <v>#VALUE!</v>
      </c>
      <c r="P17" s="300">
        <f t="shared" si="8"/>
        <v>4</v>
      </c>
      <c r="Q17" s="300" t="e">
        <f t="shared" si="9"/>
        <v>#VALUE!</v>
      </c>
      <c r="R17" s="300" t="e">
        <f t="shared" si="10"/>
        <v>#VALUE!</v>
      </c>
      <c r="S17" s="300" t="str">
        <f>IFERROR(VLOOKUP(MID(N17,Q17,R17-Q17),[5]skilldef!$C:$D,2,FALSE),"-") &amp; " / " &amp; IFERROR(VLOOKUP(MID(N17,O17,P17-O17),[5]skilldef!$A:$B,2,FALSE),"-")</f>
        <v>- / -</v>
      </c>
      <c r="T17" s="301" t="str">
        <f t="shared" si="11"/>
        <v>none</v>
      </c>
      <c r="U17" s="300" t="e">
        <f t="shared" si="12"/>
        <v>#VALUE!</v>
      </c>
      <c r="V17" s="300">
        <f t="shared" si="13"/>
        <v>4</v>
      </c>
      <c r="W17" s="300" t="e">
        <f t="shared" si="14"/>
        <v>#VALUE!</v>
      </c>
      <c r="X17" s="300" t="e">
        <f t="shared" si="15"/>
        <v>#VALUE!</v>
      </c>
      <c r="Y17" s="300" t="str">
        <f>IFERROR(VLOOKUP(MID(T17,W17,X17-W17),[5]skilldef!$C:$D,2,FALSE),"-") &amp; " / " &amp; IFERROR(VLOOKUP(MID(T17,U17,V17-U17),[5]skilldef!$A:$B,2,FALSE),"-")</f>
        <v>- / -</v>
      </c>
      <c r="Z17" s="38"/>
      <c r="AA17" s="40"/>
      <c r="AB17" s="38"/>
    </row>
    <row r="18" spans="1:28" s="302" customFormat="1" ht="30" customHeight="1" x14ac:dyDescent="0.15">
      <c r="A18" s="35">
        <v>60013019</v>
      </c>
      <c r="B18" s="35" t="s">
        <v>410</v>
      </c>
      <c r="C18" s="38">
        <v>3</v>
      </c>
      <c r="D18" s="38" t="s">
        <v>249</v>
      </c>
      <c r="E18" s="39" t="s">
        <v>411</v>
      </c>
      <c r="F18" s="39" t="s">
        <v>412</v>
      </c>
      <c r="G18" s="300" t="str">
        <f t="shared" si="1"/>
        <v>[effect:tolerance, target:myself, turn:-1, tolerance_effect:sleep, count:-1]</v>
      </c>
      <c r="H18" s="300">
        <f t="shared" si="2"/>
        <v>9</v>
      </c>
      <c r="I18" s="300">
        <f t="shared" si="3"/>
        <v>18</v>
      </c>
      <c r="J18" s="300">
        <f t="shared" si="4"/>
        <v>27</v>
      </c>
      <c r="K18" s="300">
        <f t="shared" si="5"/>
        <v>33</v>
      </c>
      <c r="L18" s="300" t="str">
        <f>IFERROR(VLOOKUP(MID(G18,J18,K18-J18),[5]skilldef!$C:$D,2,FALSE),"-") &amp; " / " &amp; IFERROR(VLOOKUP(MID(G18,H18,I18-H18),[5]skilldef!$A:$B,2,FALSE),"-")</f>
        <v>自分自身に / 状態異常耐性</v>
      </c>
      <c r="M18" s="300" t="str">
        <f t="shared" si="6"/>
        <v xml:space="preserve">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N18" s="301" t="str">
        <f>IFERROR(LEFT(M18,FIND("],",M18)+#REF!),M18)</f>
        <v xml:space="preserve">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O18" s="300">
        <f t="shared" si="7"/>
        <v>9</v>
      </c>
      <c r="P18" s="300">
        <f t="shared" si="8"/>
        <v>18</v>
      </c>
      <c r="Q18" s="300">
        <f t="shared" si="9"/>
        <v>27</v>
      </c>
      <c r="R18" s="300">
        <f t="shared" si="10"/>
        <v>33</v>
      </c>
      <c r="S18" s="300" t="str">
        <f>IFERROR(VLOOKUP(MID(N18,Q18,R18-Q18),[5]skilldef!$C:$D,2,FALSE),"-") &amp; " / " &amp; IFERROR(VLOOKUP(MID(N18,O18,P18-O18),[5]skilldef!$A:$B,2,FALSE),"-")</f>
        <v>自分自身に / 状態異常耐性</v>
      </c>
      <c r="T18" s="301" t="str">
        <f t="shared" si="11"/>
        <v xml:space="preserve">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U18" s="300">
        <f t="shared" si="12"/>
        <v>9</v>
      </c>
      <c r="V18" s="300">
        <f t="shared" si="13"/>
        <v>18</v>
      </c>
      <c r="W18" s="300">
        <f t="shared" si="14"/>
        <v>27</v>
      </c>
      <c r="X18" s="300">
        <f t="shared" si="15"/>
        <v>33</v>
      </c>
      <c r="Y18" s="300" t="str">
        <f>IFERROR(VLOOKUP(MID(T18,W18,X18-W18),[5]skilldef!$C:$D,2,FALSE),"-") &amp; " / " &amp; IFERROR(VLOOKUP(MID(T18,U18,V18-U18),[5]skilldef!$A:$B,2,FALSE),"-")</f>
        <v>自分自身に / 状態異常耐性</v>
      </c>
      <c r="Z18" s="38"/>
      <c r="AA18" s="40"/>
      <c r="AB18" s="38"/>
    </row>
    <row r="19" spans="1:28" s="302" customFormat="1" ht="21" customHeight="1" x14ac:dyDescent="0.15">
      <c r="A19" s="35">
        <v>60013020</v>
      </c>
      <c r="B19" s="35" t="s">
        <v>413</v>
      </c>
      <c r="C19" s="38">
        <v>3</v>
      </c>
      <c r="D19" s="38" t="s">
        <v>249</v>
      </c>
      <c r="E19" s="39" t="s">
        <v>414</v>
      </c>
      <c r="F19" s="39" t="s">
        <v>415</v>
      </c>
      <c r="G19" s="300" t="str">
        <f t="shared" si="1"/>
        <v>[effect:critical, val:1.2]</v>
      </c>
      <c r="H19" s="300">
        <f t="shared" si="2"/>
        <v>9</v>
      </c>
      <c r="I19" s="300">
        <f t="shared" si="3"/>
        <v>17</v>
      </c>
      <c r="J19" s="300" t="e">
        <f t="shared" si="4"/>
        <v>#VALUE!</v>
      </c>
      <c r="K19" s="300" t="e">
        <f t="shared" si="5"/>
        <v>#VALUE!</v>
      </c>
      <c r="L19" s="300" t="str">
        <f>IFERROR(VLOOKUP(MID(G19,J19,K19-J19),[5]skilldef!$C:$D,2,FALSE),"-") &amp; " / " &amp; IFERROR(VLOOKUP(MID(G19,H19,I19-H19),[5]skilldef!$A:$B,2,FALSE),"-")</f>
        <v>- / 大攻撃</v>
      </c>
      <c r="M19" s="300" t="str">
        <f t="shared" si="6"/>
        <v>none</v>
      </c>
      <c r="N19" s="301" t="str">
        <f>IFERROR(LEFT(M19,FIND("],",M19)+#REF!),M19)</f>
        <v>none</v>
      </c>
      <c r="O19" s="300" t="e">
        <f t="shared" si="7"/>
        <v>#VALUE!</v>
      </c>
      <c r="P19" s="300">
        <f t="shared" si="8"/>
        <v>4</v>
      </c>
      <c r="Q19" s="300" t="e">
        <f t="shared" si="9"/>
        <v>#VALUE!</v>
      </c>
      <c r="R19" s="300" t="e">
        <f t="shared" si="10"/>
        <v>#VALUE!</v>
      </c>
      <c r="S19" s="300" t="str">
        <f>IFERROR(VLOOKUP(MID(N19,Q19,R19-Q19),[5]skilldef!$C:$D,2,FALSE),"-") &amp; " / " &amp; IFERROR(VLOOKUP(MID(N19,O19,P19-O19),[5]skilldef!$A:$B,2,FALSE),"-")</f>
        <v>- / -</v>
      </c>
      <c r="T19" s="301" t="str">
        <f t="shared" si="11"/>
        <v>none</v>
      </c>
      <c r="U19" s="300" t="e">
        <f t="shared" si="12"/>
        <v>#VALUE!</v>
      </c>
      <c r="V19" s="300">
        <f t="shared" si="13"/>
        <v>4</v>
      </c>
      <c r="W19" s="300" t="e">
        <f t="shared" si="14"/>
        <v>#VALUE!</v>
      </c>
      <c r="X19" s="300" t="e">
        <f t="shared" si="15"/>
        <v>#VALUE!</v>
      </c>
      <c r="Y19" s="300" t="str">
        <f>IFERROR(VLOOKUP(MID(T19,W19,X19-W19),[5]skilldef!$C:$D,2,FALSE),"-") &amp; " / " &amp; IFERROR(VLOOKUP(MID(T19,U19,V19-U19),[5]skilldef!$A:$B,2,FALSE),"-")</f>
        <v>- / -</v>
      </c>
      <c r="Z19" s="38"/>
      <c r="AA19" s="40"/>
      <c r="AB19" s="38"/>
    </row>
    <row r="20" spans="1:28" s="302" customFormat="1" ht="21" customHeight="1" x14ac:dyDescent="0.15">
      <c r="A20" s="35">
        <v>60013021</v>
      </c>
      <c r="B20" s="35" t="s">
        <v>416</v>
      </c>
      <c r="C20" s="38">
        <v>3</v>
      </c>
      <c r="D20" s="38" t="s">
        <v>249</v>
      </c>
      <c r="E20" s="39" t="s">
        <v>417</v>
      </c>
      <c r="F20" s="39" t="s">
        <v>418</v>
      </c>
      <c r="G20" s="300" t="str">
        <f t="shared" si="1"/>
        <v>[effect:spread, val:0.4]</v>
      </c>
      <c r="H20" s="300">
        <f t="shared" si="2"/>
        <v>9</v>
      </c>
      <c r="I20" s="300">
        <f t="shared" si="3"/>
        <v>15</v>
      </c>
      <c r="J20" s="300" t="e">
        <f t="shared" si="4"/>
        <v>#VALUE!</v>
      </c>
      <c r="K20" s="300" t="e">
        <f t="shared" si="5"/>
        <v>#VALUE!</v>
      </c>
      <c r="L20" s="300" t="str">
        <f>IFERROR(VLOOKUP(MID(G20,J20,K20-J20),[5]skilldef!$C:$D,2,FALSE),"-") &amp; " / " &amp; IFERROR(VLOOKUP(MID(G20,H20,I20-H20),[5]skilldef!$A:$B,2,FALSE),"-")</f>
        <v>- / 全体攻撃</v>
      </c>
      <c r="M20" s="300" t="str">
        <f t="shared" si="6"/>
        <v>none</v>
      </c>
      <c r="N20" s="301" t="str">
        <f>IFERROR(LEFT(M20,FIND("],",M20)+#REF!),M20)</f>
        <v>none</v>
      </c>
      <c r="O20" s="300" t="e">
        <f t="shared" si="7"/>
        <v>#VALUE!</v>
      </c>
      <c r="P20" s="300">
        <f t="shared" si="8"/>
        <v>4</v>
      </c>
      <c r="Q20" s="300" t="e">
        <f t="shared" si="9"/>
        <v>#VALUE!</v>
      </c>
      <c r="R20" s="300" t="e">
        <f t="shared" si="10"/>
        <v>#VALUE!</v>
      </c>
      <c r="S20" s="300" t="str">
        <f>IFERROR(VLOOKUP(MID(N20,Q20,R20-Q20),[5]skilldef!$C:$D,2,FALSE),"-") &amp; " / " &amp; IFERROR(VLOOKUP(MID(N20,O20,P20-O20),[5]skilldef!$A:$B,2,FALSE),"-")</f>
        <v>- / -</v>
      </c>
      <c r="T20" s="301" t="str">
        <f t="shared" si="11"/>
        <v>none</v>
      </c>
      <c r="U20" s="300" t="e">
        <f t="shared" si="12"/>
        <v>#VALUE!</v>
      </c>
      <c r="V20" s="300">
        <f t="shared" si="13"/>
        <v>4</v>
      </c>
      <c r="W20" s="300" t="e">
        <f t="shared" si="14"/>
        <v>#VALUE!</v>
      </c>
      <c r="X20" s="300" t="e">
        <f t="shared" si="15"/>
        <v>#VALUE!</v>
      </c>
      <c r="Y20" s="300" t="str">
        <f>IFERROR(VLOOKUP(MID(T20,W20,X20-W20),[5]skilldef!$C:$D,2,FALSE),"-") &amp; " / " &amp; IFERROR(VLOOKUP(MID(T20,U20,V20-U20),[5]skilldef!$A:$B,2,FALSE),"-")</f>
        <v>- / -</v>
      </c>
      <c r="Z20" s="38"/>
      <c r="AA20" s="40"/>
      <c r="AB20" s="38"/>
    </row>
    <row r="21" spans="1:28" s="302" customFormat="1" ht="21" customHeight="1" x14ac:dyDescent="0.15">
      <c r="A21" s="35">
        <v>60013022</v>
      </c>
      <c r="B21" s="35" t="s">
        <v>419</v>
      </c>
      <c r="C21" s="38">
        <v>3</v>
      </c>
      <c r="D21" s="38" t="s">
        <v>249</v>
      </c>
      <c r="E21" s="39" t="s">
        <v>420</v>
      </c>
      <c r="F21" s="39" t="s">
        <v>421</v>
      </c>
      <c r="G21" s="300" t="str">
        <f t="shared" si="1"/>
        <v xml:space="preserve"> [effect:force_change_block, new_block:time_bomb, target:block_all, ignore:crash, ignore02:jammer, count:8, val:0.1, min_time_count:1, max_time_count:3, animation:change_block] [effect:rush, count:8, val:0.15]</v>
      </c>
      <c r="H21" s="300">
        <f t="shared" si="2"/>
        <v>10</v>
      </c>
      <c r="I21" s="300">
        <f t="shared" si="3"/>
        <v>28</v>
      </c>
      <c r="J21" s="300">
        <f t="shared" si="4"/>
        <v>58</v>
      </c>
      <c r="K21" s="300">
        <f t="shared" si="5"/>
        <v>49</v>
      </c>
      <c r="L21" s="300" t="str">
        <f>IFERROR(VLOOKUP(MID(G21,J21,K21-J21),[5]skilldef!$C:$D,2,FALSE),"-") &amp; " / " &amp; IFERROR(VLOOKUP(MID(G21,H21,I21-H21),[5]skilldef!$A:$B,2,FALSE),"-")</f>
        <v>- / -</v>
      </c>
      <c r="M21" s="300" t="str">
        <f t="shared" si="6"/>
        <v>none</v>
      </c>
      <c r="N21" s="301" t="str">
        <f>IFERROR(LEFT(M21,FIND("],",M21)+#REF!),M21)</f>
        <v>none</v>
      </c>
      <c r="O21" s="300" t="e">
        <f t="shared" si="7"/>
        <v>#VALUE!</v>
      </c>
      <c r="P21" s="300">
        <f t="shared" si="8"/>
        <v>4</v>
      </c>
      <c r="Q21" s="300" t="e">
        <f t="shared" si="9"/>
        <v>#VALUE!</v>
      </c>
      <c r="R21" s="300" t="e">
        <f t="shared" si="10"/>
        <v>#VALUE!</v>
      </c>
      <c r="S21" s="300" t="str">
        <f>IFERROR(VLOOKUP(MID(N21,Q21,R21-Q21),[5]skilldef!$C:$D,2,FALSE),"-") &amp; " / " &amp; IFERROR(VLOOKUP(MID(N21,O21,P21-O21),[5]skilldef!$A:$B,2,FALSE),"-")</f>
        <v>- / -</v>
      </c>
      <c r="T21" s="301" t="str">
        <f t="shared" si="11"/>
        <v>none</v>
      </c>
      <c r="U21" s="300" t="e">
        <f t="shared" si="12"/>
        <v>#VALUE!</v>
      </c>
      <c r="V21" s="300">
        <f t="shared" si="13"/>
        <v>4</v>
      </c>
      <c r="W21" s="300" t="e">
        <f t="shared" si="14"/>
        <v>#VALUE!</v>
      </c>
      <c r="X21" s="300" t="e">
        <f t="shared" si="15"/>
        <v>#VALUE!</v>
      </c>
      <c r="Y21" s="300" t="str">
        <f>IFERROR(VLOOKUP(MID(T21,W21,X21-W21),[5]skilldef!$C:$D,2,FALSE),"-") &amp; " / " &amp; IFERROR(VLOOKUP(MID(T21,U21,V21-U21),[5]skilldef!$A:$B,2,FALSE),"-")</f>
        <v>- / -</v>
      </c>
      <c r="Z21" s="38"/>
      <c r="AA21" s="40"/>
      <c r="AB21" s="38"/>
    </row>
    <row r="22" spans="1:28" s="302" customFormat="1" ht="21" customHeight="1" x14ac:dyDescent="0.15">
      <c r="A22" s="35">
        <v>60013023</v>
      </c>
      <c r="B22" s="35" t="s">
        <v>422</v>
      </c>
      <c r="C22" s="38">
        <v>3</v>
      </c>
      <c r="D22" s="38" t="s">
        <v>249</v>
      </c>
      <c r="E22" s="39" t="s">
        <v>423</v>
      </c>
      <c r="F22" s="39" t="s">
        <v>424</v>
      </c>
      <c r="G22" s="300" t="str">
        <f t="shared" si="1"/>
        <v>[effect:tolerance, target:myself, turn:-1, tolerance_effect:sleep, count:-1]</v>
      </c>
      <c r="H22" s="300">
        <f t="shared" si="2"/>
        <v>9</v>
      </c>
      <c r="I22" s="300">
        <f t="shared" si="3"/>
        <v>18</v>
      </c>
      <c r="J22" s="300">
        <f t="shared" si="4"/>
        <v>27</v>
      </c>
      <c r="K22" s="300">
        <f t="shared" si="5"/>
        <v>33</v>
      </c>
      <c r="L22" s="300" t="str">
        <f>IFERROR(VLOOKUP(MID(G22,J22,K22-J22),[5]skilldef!$C:$D,2,FALSE),"-") &amp; " / " &amp; IFERROR(VLOOKUP(MID(G22,H22,I22-H22),[5]skilldef!$A:$B,2,FALSE),"-")</f>
        <v>自分自身に / 状態異常耐性</v>
      </c>
      <c r="M22" s="300" t="str">
        <f t="shared" si="6"/>
        <v>[effect:tolerance, target:myself, turn:-1, tolerance_effect:virus, count:-1],[effect:tolerance, target:myself, turn:-1, tolerance_effect:hungup, count:-1, animation:enemy_tolerance], [effect:freq_turn, target:myself, turn:-1, val:1, animation:enemy_freq_turn]</v>
      </c>
      <c r="N22" s="301" t="str">
        <f>IFERROR(LEFT(M22,FIND("],",M22)+#REF!),M22)</f>
        <v>[effect:tolerance, target:myself, turn:-1, tolerance_effect:virus, count:-1],[effect:tolerance, target:myself, turn:-1, tolerance_effect:hungup, count:-1, animation:enemy_tolerance], [effect:freq_turn, target:myself, turn:-1, val:1, animation:enemy_freq_turn]</v>
      </c>
      <c r="O22" s="300">
        <f t="shared" si="7"/>
        <v>9</v>
      </c>
      <c r="P22" s="300">
        <f t="shared" si="8"/>
        <v>18</v>
      </c>
      <c r="Q22" s="300">
        <f t="shared" si="9"/>
        <v>27</v>
      </c>
      <c r="R22" s="300">
        <f t="shared" si="10"/>
        <v>33</v>
      </c>
      <c r="S22" s="300" t="str">
        <f>IFERROR(VLOOKUP(MID(N22,Q22,R22-Q22),[5]skilldef!$C:$D,2,FALSE),"-") &amp; " / " &amp; IFERROR(VLOOKUP(MID(N22,O22,P22-O22),[5]skilldef!$A:$B,2,FALSE),"-")</f>
        <v>自分自身に / 状態異常耐性</v>
      </c>
      <c r="T22" s="301" t="str">
        <f t="shared" si="11"/>
        <v>[effect:tolerance, target:myself, turn:-1, tolerance_effect:hungup, count:-1, animation:enemy_tolerance], [effect:freq_turn, target:myself, turn:-1, val:1, animation:enemy_freq_turn]</v>
      </c>
      <c r="U22" s="300">
        <f t="shared" si="12"/>
        <v>9</v>
      </c>
      <c r="V22" s="300">
        <f t="shared" si="13"/>
        <v>18</v>
      </c>
      <c r="W22" s="300">
        <f t="shared" si="14"/>
        <v>27</v>
      </c>
      <c r="X22" s="300">
        <f t="shared" si="15"/>
        <v>33</v>
      </c>
      <c r="Y22" s="300" t="str">
        <f>IFERROR(VLOOKUP(MID(T22,W22,X22-W22),[5]skilldef!$C:$D,2,FALSE),"-") &amp; " / " &amp; IFERROR(VLOOKUP(MID(T22,U22,V22-U22),[5]skilldef!$A:$B,2,FALSE),"-")</f>
        <v>自分自身に / 状態異常耐性</v>
      </c>
      <c r="Z22" s="38"/>
      <c r="AA22" s="40"/>
      <c r="AB22" s="38"/>
    </row>
    <row r="23" spans="1:28" s="302" customFormat="1" ht="21" customHeight="1" x14ac:dyDescent="0.15">
      <c r="A23" s="35">
        <v>60013024</v>
      </c>
      <c r="B23" s="35" t="s">
        <v>425</v>
      </c>
      <c r="C23" s="38">
        <v>3</v>
      </c>
      <c r="D23" s="38" t="s">
        <v>249</v>
      </c>
      <c r="E23" s="39" t="s">
        <v>426</v>
      </c>
      <c r="F23" s="39" t="s">
        <v>427</v>
      </c>
      <c r="G23" s="300" t="str">
        <f t="shared" si="1"/>
        <v>[effect:rush, count:5, val:0.25]</v>
      </c>
      <c r="H23" s="300">
        <f t="shared" si="2"/>
        <v>9</v>
      </c>
      <c r="I23" s="300">
        <f t="shared" si="3"/>
        <v>13</v>
      </c>
      <c r="J23" s="300" t="e">
        <f t="shared" si="4"/>
        <v>#VALUE!</v>
      </c>
      <c r="K23" s="300">
        <f t="shared" si="5"/>
        <v>22</v>
      </c>
      <c r="L23" s="300" t="str">
        <f>IFERROR(VLOOKUP(MID(G23,J23,K23-J23),[5]skilldef!$C:$D,2,FALSE),"-") &amp; " / " &amp; IFERROR(VLOOKUP(MID(G23,H23,I23-H23),[5]skilldef!$A:$B,2,FALSE),"-")</f>
        <v>- / 連続攻撃</v>
      </c>
      <c r="M23" s="300" t="str">
        <f t="shared" si="6"/>
        <v>none</v>
      </c>
      <c r="N23" s="301" t="str">
        <f>IFERROR(LEFT(M23,FIND("],",M23)+#REF!),M23)</f>
        <v>none</v>
      </c>
      <c r="O23" s="300" t="e">
        <f t="shared" si="7"/>
        <v>#VALUE!</v>
      </c>
      <c r="P23" s="300">
        <f t="shared" si="8"/>
        <v>4</v>
      </c>
      <c r="Q23" s="300" t="e">
        <f t="shared" si="9"/>
        <v>#VALUE!</v>
      </c>
      <c r="R23" s="300" t="e">
        <f t="shared" si="10"/>
        <v>#VALUE!</v>
      </c>
      <c r="S23" s="300" t="str">
        <f>IFERROR(VLOOKUP(MID(N23,Q23,R23-Q23),[5]skilldef!$C:$D,2,FALSE),"-") &amp; " / " &amp; IFERROR(VLOOKUP(MID(N23,O23,P23-O23),[5]skilldef!$A:$B,2,FALSE),"-")</f>
        <v>- / -</v>
      </c>
      <c r="T23" s="301" t="str">
        <f t="shared" si="11"/>
        <v>none</v>
      </c>
      <c r="U23" s="300" t="e">
        <f t="shared" si="12"/>
        <v>#VALUE!</v>
      </c>
      <c r="V23" s="300">
        <f t="shared" si="13"/>
        <v>4</v>
      </c>
      <c r="W23" s="300" t="e">
        <f t="shared" si="14"/>
        <v>#VALUE!</v>
      </c>
      <c r="X23" s="300" t="e">
        <f t="shared" si="15"/>
        <v>#VALUE!</v>
      </c>
      <c r="Y23" s="300" t="str">
        <f>IFERROR(VLOOKUP(MID(T23,W23,X23-W23),[5]skilldef!$C:$D,2,FALSE),"-") &amp; " / " &amp; IFERROR(VLOOKUP(MID(T23,U23,V23-U23),[5]skilldef!$A:$B,2,FALSE),"-")</f>
        <v>- / -</v>
      </c>
      <c r="Z23" s="38"/>
      <c r="AA23" s="40"/>
      <c r="AB23" s="38"/>
    </row>
    <row r="24" spans="1:28" s="302" customFormat="1" ht="21" customHeight="1" x14ac:dyDescent="0.15">
      <c r="A24" s="35">
        <v>60013025</v>
      </c>
      <c r="B24" s="35" t="s">
        <v>425</v>
      </c>
      <c r="C24" s="38">
        <v>3</v>
      </c>
      <c r="D24" s="38" t="s">
        <v>249</v>
      </c>
      <c r="E24" s="39" t="s">
        <v>428</v>
      </c>
      <c r="F24" s="39" t="s">
        <v>427</v>
      </c>
      <c r="G24" s="300" t="str">
        <f t="shared" si="1"/>
        <v>[effect:rush, count:5, val:0.25]</v>
      </c>
      <c r="H24" s="300">
        <f t="shared" si="2"/>
        <v>9</v>
      </c>
      <c r="I24" s="300">
        <f t="shared" si="3"/>
        <v>13</v>
      </c>
      <c r="J24" s="300" t="e">
        <f t="shared" si="4"/>
        <v>#VALUE!</v>
      </c>
      <c r="K24" s="300">
        <f t="shared" si="5"/>
        <v>22</v>
      </c>
      <c r="L24" s="300" t="str">
        <f>IFERROR(VLOOKUP(MID(G24,J24,K24-J24),[5]skilldef!$C:$D,2,FALSE),"-") &amp; " / " &amp; IFERROR(VLOOKUP(MID(G24,H24,I24-H24),[5]skilldef!$A:$B,2,FALSE),"-")</f>
        <v>- / 連続攻撃</v>
      </c>
      <c r="M24" s="300" t="str">
        <f t="shared" si="6"/>
        <v>none</v>
      </c>
      <c r="N24" s="301" t="str">
        <f>IFERROR(LEFT(M24,FIND("],",M24)+S26),M24)</f>
        <v>none</v>
      </c>
      <c r="O24" s="300" t="e">
        <f t="shared" si="7"/>
        <v>#VALUE!</v>
      </c>
      <c r="P24" s="300">
        <f t="shared" si="8"/>
        <v>4</v>
      </c>
      <c r="Q24" s="300" t="e">
        <f t="shared" si="9"/>
        <v>#VALUE!</v>
      </c>
      <c r="R24" s="300" t="e">
        <f t="shared" si="10"/>
        <v>#VALUE!</v>
      </c>
      <c r="S24" s="300" t="str">
        <f>IFERROR(VLOOKUP(MID(N24,Q24,R24-Q24),[5]skilldef!$C:$D,2,FALSE),"-") &amp; " / " &amp; IFERROR(VLOOKUP(MID(N24,O24,P24-O24),[5]skilldef!$A:$B,2,FALSE),"-")</f>
        <v>- / -</v>
      </c>
      <c r="T24" s="301" t="str">
        <f t="shared" si="11"/>
        <v>none</v>
      </c>
      <c r="U24" s="300" t="e">
        <f t="shared" si="12"/>
        <v>#VALUE!</v>
      </c>
      <c r="V24" s="300">
        <f t="shared" si="13"/>
        <v>4</v>
      </c>
      <c r="W24" s="300" t="e">
        <f t="shared" si="14"/>
        <v>#VALUE!</v>
      </c>
      <c r="X24" s="300" t="e">
        <f t="shared" si="15"/>
        <v>#VALUE!</v>
      </c>
      <c r="Y24" s="300" t="str">
        <f>IFERROR(VLOOKUP(MID(T24,W24,X24-W24),[5]skilldef!$C:$D,2,FALSE),"-") &amp; " / " &amp; IFERROR(VLOOKUP(MID(T24,U24,V24-U24),[5]skilldef!$A:$B,2,FALSE),"-")</f>
        <v>- / -</v>
      </c>
      <c r="Z24" s="38"/>
      <c r="AA24" s="40"/>
      <c r="AB24" s="38"/>
    </row>
    <row r="25" spans="1:28" s="302" customFormat="1" ht="21" customHeight="1" x14ac:dyDescent="0.15">
      <c r="A25" s="35">
        <v>60013026</v>
      </c>
      <c r="B25" s="35" t="s">
        <v>429</v>
      </c>
      <c r="C25" s="38">
        <v>3</v>
      </c>
      <c r="D25" s="38" t="s">
        <v>249</v>
      </c>
      <c r="E25" s="39" t="s">
        <v>430</v>
      </c>
      <c r="F25" s="39" t="s">
        <v>431</v>
      </c>
      <c r="G25" s="300" t="str">
        <f t="shared" si="1"/>
        <v xml:space="preserve"> [effect:force_change_block, new_block:time_bomb, target:block_all, ignore:crash, ignore02:jammer, count:25, val:0.1, min_time_count:1, max_time_count:1, animation:change_block]</v>
      </c>
      <c r="H25" s="300">
        <f t="shared" si="2"/>
        <v>10</v>
      </c>
      <c r="I25" s="300">
        <f t="shared" si="3"/>
        <v>28</v>
      </c>
      <c r="J25" s="300">
        <f t="shared" si="4"/>
        <v>58</v>
      </c>
      <c r="K25" s="300">
        <f t="shared" si="5"/>
        <v>49</v>
      </c>
      <c r="L25" s="300" t="str">
        <f>IFERROR(VLOOKUP(MID(G25,J25,K25-J25),[5]skilldef!$C:$D,2,FALSE),"-") &amp; " / " &amp; IFERROR(VLOOKUP(MID(G25,H25,I25-H25),[5]skilldef!$A:$B,2,FALSE),"-")</f>
        <v>- / -</v>
      </c>
      <c r="M25" s="300" t="str">
        <f t="shared" si="6"/>
        <v>none</v>
      </c>
      <c r="N25" s="301" t="str">
        <f>IFERROR(LEFT(M25,FIND("],",M25)+S27),M25)</f>
        <v>none</v>
      </c>
      <c r="O25" s="300" t="e">
        <f t="shared" si="7"/>
        <v>#VALUE!</v>
      </c>
      <c r="P25" s="300">
        <f t="shared" si="8"/>
        <v>4</v>
      </c>
      <c r="Q25" s="300" t="e">
        <f t="shared" si="9"/>
        <v>#VALUE!</v>
      </c>
      <c r="R25" s="300" t="e">
        <f t="shared" si="10"/>
        <v>#VALUE!</v>
      </c>
      <c r="S25" s="300" t="str">
        <f>IFERROR(VLOOKUP(MID(N25,Q25,R25-Q25),[5]skilldef!$C:$D,2,FALSE),"-") &amp; " / " &amp; IFERROR(VLOOKUP(MID(N25,O25,P25-O25),[5]skilldef!$A:$B,2,FALSE),"-")</f>
        <v>- / -</v>
      </c>
      <c r="T25" s="301" t="str">
        <f t="shared" si="11"/>
        <v>none</v>
      </c>
      <c r="U25" s="300" t="e">
        <f t="shared" si="12"/>
        <v>#VALUE!</v>
      </c>
      <c r="V25" s="300">
        <f t="shared" si="13"/>
        <v>4</v>
      </c>
      <c r="W25" s="300" t="e">
        <f t="shared" si="14"/>
        <v>#VALUE!</v>
      </c>
      <c r="X25" s="300" t="e">
        <f t="shared" si="15"/>
        <v>#VALUE!</v>
      </c>
      <c r="Y25" s="300" t="str">
        <f>IFERROR(VLOOKUP(MID(T25,W25,X25-W25),[5]skilldef!$C:$D,2,FALSE),"-") &amp; " / " &amp; IFERROR(VLOOKUP(MID(T25,U25,V25-U25),[5]skilldef!$A:$B,2,FALSE),"-")</f>
        <v>- / -</v>
      </c>
      <c r="Z25" s="38"/>
      <c r="AA25" s="40"/>
      <c r="AB25" s="38"/>
    </row>
    <row r="26" spans="1:28" s="302" customFormat="1" ht="27" customHeight="1" x14ac:dyDescent="0.15">
      <c r="A26" s="35">
        <v>60013027</v>
      </c>
      <c r="B26" s="35" t="s">
        <v>432</v>
      </c>
      <c r="C26" s="38">
        <v>3</v>
      </c>
      <c r="D26" s="38" t="s">
        <v>249</v>
      </c>
      <c r="E26" s="39" t="s">
        <v>433</v>
      </c>
      <c r="F26" s="39" t="s">
        <v>434</v>
      </c>
      <c r="G26" s="300" t="str">
        <f t="shared" si="1"/>
        <v>[effect:drop_block, block_type:time_bomb, color:block_red, val:0.1, rate:0.5, turn:-1, min_time_count:5, max_time_count:5]</v>
      </c>
      <c r="H26" s="300">
        <f t="shared" si="2"/>
        <v>9</v>
      </c>
      <c r="I26" s="300">
        <f t="shared" si="3"/>
        <v>19</v>
      </c>
      <c r="J26" s="300" t="e">
        <f t="shared" si="4"/>
        <v>#VALUE!</v>
      </c>
      <c r="K26" s="300">
        <f t="shared" si="5"/>
        <v>41</v>
      </c>
      <c r="L26" s="300" t="str">
        <f>IFERROR(VLOOKUP(MID(G26,J26,K26-J26),[5]skilldef!$C:$D,2,FALSE),"-") &amp; " / " &amp; IFERROR(VLOOKUP(MID(G26,H26,I26-H26),[5]skilldef!$A:$B,2,FALSE),"-")</f>
        <v>- / 特定ブロックの割合ドロップ</v>
      </c>
      <c r="M26" s="300" t="str">
        <f t="shared" si="6"/>
        <v xml:space="preserve"> [effect:force_change_block, new_block:time_bomb, target:block_all, ignore:crash, ignore02:jammer, count:8, val:0.1, min_time_count:3, max_time_count:3] ,[effect:enemy_message, val1:1, val2:3]    </v>
      </c>
      <c r="N26" s="301" t="str">
        <f>IFERROR(LEFT(M26,FIND("],",M26)+#REF!),M26)</f>
        <v xml:space="preserve"> [effect:force_change_block, new_block:time_bomb, target:block_all, ignore:crash, ignore02:jammer, count:8, val:0.1, min_time_count:3, max_time_count:3] ,[effect:enemy_message, val1:1, val2:3]    </v>
      </c>
      <c r="O26" s="300">
        <f t="shared" si="7"/>
        <v>10</v>
      </c>
      <c r="P26" s="300">
        <f t="shared" si="8"/>
        <v>28</v>
      </c>
      <c r="Q26" s="300">
        <f t="shared" si="9"/>
        <v>58</v>
      </c>
      <c r="R26" s="300">
        <f t="shared" si="10"/>
        <v>49</v>
      </c>
      <c r="S26" s="300" t="str">
        <f>IFERROR(VLOOKUP(MID(N26,Q26,R26-Q26),[5]skilldef!$C:$D,2,FALSE),"-") &amp; " / " &amp; IFERROR(VLOOKUP(MID(N26,O26,P26-O26),[5]skilldef!$A:$B,2,FALSE),"-")</f>
        <v>- / -</v>
      </c>
      <c r="T26" s="301" t="str">
        <f t="shared" si="11"/>
        <v>none</v>
      </c>
      <c r="U26" s="300" t="e">
        <f t="shared" si="12"/>
        <v>#VALUE!</v>
      </c>
      <c r="V26" s="300">
        <f t="shared" si="13"/>
        <v>4</v>
      </c>
      <c r="W26" s="300" t="e">
        <f t="shared" si="14"/>
        <v>#VALUE!</v>
      </c>
      <c r="X26" s="300" t="e">
        <f t="shared" si="15"/>
        <v>#VALUE!</v>
      </c>
      <c r="Y26" s="300" t="str">
        <f>IFERROR(VLOOKUP(MID(T26,W26,X26-W26),[5]skilldef!$C:$D,2,FALSE),"-") &amp; " / " &amp; IFERROR(VLOOKUP(MID(T26,U26,V26-U26),[5]skilldef!$A:$B,2,FALSE),"-")</f>
        <v>- / -</v>
      </c>
      <c r="Z26" s="38"/>
      <c r="AA26" s="40"/>
      <c r="AB26" s="38"/>
    </row>
    <row r="27" spans="1:28" s="302" customFormat="1" ht="21" customHeight="1" x14ac:dyDescent="0.15">
      <c r="A27" s="304">
        <v>60013028</v>
      </c>
      <c r="B27" s="304" t="s">
        <v>435</v>
      </c>
      <c r="C27" s="38">
        <v>3</v>
      </c>
      <c r="D27" s="305" t="s">
        <v>436</v>
      </c>
      <c r="E27" s="306" t="s">
        <v>437</v>
      </c>
      <c r="F27" s="306" t="s">
        <v>438</v>
      </c>
      <c r="G27" s="300" t="str">
        <f>IFERROR(LEFT(B27,FIND("],",B27)),B27)</f>
        <v>[effect:force_change_block, new_block:time_bomb, target:block_all, ignore:crash, ignore02:jammer, count:15, val:0.2, min_time_count:2, max_time_count:2, animation:change_block]</v>
      </c>
      <c r="H27" s="300">
        <f>FIND("effect:",G27)+7</f>
        <v>9</v>
      </c>
      <c r="I27" s="300">
        <f>IFERROR(FIND(",",G27),LEN(G27))</f>
        <v>27</v>
      </c>
      <c r="J27" s="300">
        <f>FIND("target:",G27)+7</f>
        <v>57</v>
      </c>
      <c r="K27" s="300">
        <f>FIND(",",G27,I27+1)</f>
        <v>48</v>
      </c>
      <c r="L27" s="300" t="str">
        <f>IFERROR(VLOOKUP(MID(G27,J27,K27-J27),[5]skilldef!$C:$D,2,FALSE),"-") &amp; " / " &amp; IFERROR(VLOOKUP(MID(G27,H27,I27-H27),[5]skilldef!$A:$B,2,FALSE),"-")</f>
        <v>- / -</v>
      </c>
      <c r="M27" s="300" t="str">
        <f>IFERROR(RIGHT(B27,LEN(B27)-FIND("],",B27)-1),"none")</f>
        <v>none</v>
      </c>
      <c r="N27" s="301" t="str">
        <f>IFERROR(LEFT(M27,FIND("],",M27)+S33),M27)</f>
        <v>none</v>
      </c>
      <c r="O27" s="300" t="e">
        <f>FIND("effect:",N27)+7</f>
        <v>#VALUE!</v>
      </c>
      <c r="P27" s="300">
        <f>IFERROR(FIND(",",N27),LEN(N27))</f>
        <v>4</v>
      </c>
      <c r="Q27" s="300" t="e">
        <f>FIND("target:",N27)+7</f>
        <v>#VALUE!</v>
      </c>
      <c r="R27" s="300" t="e">
        <f>FIND(",",N27,P27+1)</f>
        <v>#VALUE!</v>
      </c>
      <c r="S27" s="300" t="str">
        <f>IFERROR(VLOOKUP(MID(N27,Q27,R27-Q27),[5]skilldef!$C:$D,2,FALSE),"-") &amp; " / " &amp; IFERROR(VLOOKUP(MID(N27,O27,P27-O27),[5]skilldef!$A:$B,2,FALSE),"-")</f>
        <v>- / -</v>
      </c>
      <c r="T27" s="301" t="str">
        <f>IFERROR(RIGHT(M27,LEN(M27)-FIND("],",M27)-1),"none")</f>
        <v>none</v>
      </c>
      <c r="U27" s="300" t="e">
        <f>FIND("effect:",T27)+7</f>
        <v>#VALUE!</v>
      </c>
      <c r="V27" s="300">
        <f>IFERROR(FIND(",",T27),LEN(T27))</f>
        <v>4</v>
      </c>
      <c r="W27" s="300" t="e">
        <f>FIND("target:",T27)+7</f>
        <v>#VALUE!</v>
      </c>
      <c r="X27" s="300" t="e">
        <f>FIND(",",T27,V27+1)</f>
        <v>#VALUE!</v>
      </c>
      <c r="Y27" s="300" t="str">
        <f>IFERROR(VLOOKUP(MID(T27,W27,X27-W27),[5]skilldef!$C:$D,2,FALSE),"-") &amp; " / " &amp; IFERROR(VLOOKUP(MID(T27,U27,V27-U27),[5]skilldef!$A:$B,2,FALSE),"-")</f>
        <v>- / -</v>
      </c>
      <c r="Z27" s="38"/>
      <c r="AA27" s="40"/>
      <c r="AB27" s="38"/>
    </row>
    <row r="28" spans="1:28" s="302" customFormat="1" ht="21" customHeight="1" x14ac:dyDescent="0.15">
      <c r="A28" s="304">
        <v>60013029</v>
      </c>
      <c r="B28" s="304" t="s">
        <v>439</v>
      </c>
      <c r="C28" s="38">
        <v>3</v>
      </c>
      <c r="D28" s="305" t="s">
        <v>436</v>
      </c>
      <c r="E28" s="306" t="s">
        <v>440</v>
      </c>
      <c r="F28" s="306" t="s">
        <v>441</v>
      </c>
      <c r="G28" s="300" t="str">
        <f>IFERROR(LEFT(B28,FIND("],",B28)),B28)</f>
        <v>[effect:reduction, target:myself, turn:8, color:yellow, val:0.5, animation:reduction_one04]</v>
      </c>
      <c r="H28" s="300">
        <f>FIND("effect:",G28)+7</f>
        <v>9</v>
      </c>
      <c r="I28" s="300">
        <f>IFERROR(FIND(",",G28),LEN(G28))</f>
        <v>18</v>
      </c>
      <c r="J28" s="300">
        <f>FIND("target:",G28)+7</f>
        <v>27</v>
      </c>
      <c r="K28" s="300">
        <f>FIND(",",G28,I28+1)</f>
        <v>33</v>
      </c>
      <c r="L28" s="300" t="str">
        <f>IFERROR(VLOOKUP(MID(G28,J28,K28-J28),[5]skilldef!$C:$D,2,FALSE),"-") &amp; " / " &amp; IFERROR(VLOOKUP(MID(G28,H28,I28-H28),[5]skilldef!$A:$B,2,FALSE),"-")</f>
        <v>自分自身に / -</v>
      </c>
      <c r="M28" s="300" t="str">
        <f>IFERROR(RIGHT(B28,LEN(B28)-FIND("],",B28)-1),"none")</f>
        <v>[effect:reduction, target:myself, turn:8, color:green, val:0.5],[effect:reduction, target:myself, turn:8, color:blue, val:0.5]</v>
      </c>
      <c r="N28" s="301" t="str">
        <f>IFERROR(LEFT(M28,FIND("],",M28)+S34),M28)</f>
        <v>[effect:reduction, target:myself, turn:8, color:green, val:0.5]</v>
      </c>
      <c r="O28" s="300">
        <f>FIND("effect:",N28)+7</f>
        <v>9</v>
      </c>
      <c r="P28" s="300">
        <f>IFERROR(FIND(",",N28),LEN(N28))</f>
        <v>18</v>
      </c>
      <c r="Q28" s="300">
        <f>FIND("target:",N28)+7</f>
        <v>27</v>
      </c>
      <c r="R28" s="300">
        <f>FIND(",",N28,P28+1)</f>
        <v>33</v>
      </c>
      <c r="S28" s="300" t="str">
        <f>IFERROR(VLOOKUP(MID(N28,Q28,R28-Q28),[5]skilldef!$C:$D,2,FALSE),"-") &amp; " / " &amp; IFERROR(VLOOKUP(MID(N28,O28,P28-O28),[5]skilldef!$A:$B,2,FALSE),"-")</f>
        <v>自分自身に / -</v>
      </c>
      <c r="T28" s="301" t="str">
        <f>IFERROR(RIGHT(M28,LEN(M28)-FIND("],",M28)-1),"none")</f>
        <v>[effect:reduction, target:myself, turn:8, color:blue, val:0.5]</v>
      </c>
      <c r="U28" s="300">
        <f>FIND("effect:",T28)+7</f>
        <v>9</v>
      </c>
      <c r="V28" s="300">
        <f>IFERROR(FIND(",",T28),LEN(T28))</f>
        <v>18</v>
      </c>
      <c r="W28" s="300">
        <f>FIND("target:",T28)+7</f>
        <v>27</v>
      </c>
      <c r="X28" s="300">
        <f>FIND(",",T28,V28+1)</f>
        <v>33</v>
      </c>
      <c r="Y28" s="300" t="str">
        <f>IFERROR(VLOOKUP(MID(T28,W28,X28-W28),[5]skilldef!$C:$D,2,FALSE),"-") &amp; " / " &amp; IFERROR(VLOOKUP(MID(T28,U28,V28-U28),[5]skilldef!$A:$B,2,FALSE),"-")</f>
        <v>自分自身に / -</v>
      </c>
      <c r="Z28" s="38"/>
      <c r="AA28" s="40"/>
      <c r="AB28" s="38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zoomScale="75" zoomScaleNormal="75" zoomScalePageLayoutView="75" workbookViewId="0">
      <pane ySplit="1" topLeftCell="A2" activePane="bottomLeft" state="frozenSplit"/>
      <selection pane="bottomLeft" activeCell="M3" sqref="M3"/>
    </sheetView>
  </sheetViews>
  <sheetFormatPr baseColWidth="12" defaultColWidth="12.83203125" defaultRowHeight="21" customHeight="1" x14ac:dyDescent="0.15"/>
  <cols>
    <col min="1" max="1" width="16.1640625" style="37" bestFit="1" customWidth="1"/>
    <col min="2" max="2" width="13.33203125" style="37" bestFit="1" customWidth="1"/>
    <col min="3" max="3" width="11.83203125" style="37" bestFit="1" customWidth="1"/>
    <col min="4" max="4" width="14.6640625" style="37" bestFit="1" customWidth="1"/>
    <col min="5" max="5" width="15.6640625" style="37" bestFit="1" customWidth="1"/>
    <col min="6" max="6" width="17" style="37" bestFit="1" customWidth="1"/>
    <col min="7" max="7" width="15.6640625" style="37" bestFit="1" customWidth="1"/>
    <col min="8" max="9" width="14.6640625" style="37" customWidth="1"/>
    <col min="10" max="10" width="14.6640625" style="37" bestFit="1" customWidth="1"/>
    <col min="11" max="11" width="22.83203125" style="27" bestFit="1" customWidth="1"/>
    <col min="12" max="16384" width="12.83203125" style="33"/>
  </cols>
  <sheetData>
    <row r="1" spans="1:11" ht="21" customHeight="1" thickBot="1" x14ac:dyDescent="0.2">
      <c r="A1" s="30" t="s">
        <v>83</v>
      </c>
      <c r="B1" s="30" t="s">
        <v>84</v>
      </c>
      <c r="C1" s="30" t="s">
        <v>85</v>
      </c>
      <c r="D1" s="30" t="s">
        <v>86</v>
      </c>
      <c r="E1" s="30" t="s">
        <v>69</v>
      </c>
      <c r="F1" s="41" t="s">
        <v>70</v>
      </c>
      <c r="G1" s="41" t="s">
        <v>71</v>
      </c>
      <c r="H1" s="30" t="s">
        <v>72</v>
      </c>
      <c r="I1" s="30" t="s">
        <v>73</v>
      </c>
      <c r="J1" s="30" t="s">
        <v>74</v>
      </c>
      <c r="K1" s="42" t="s">
        <v>87</v>
      </c>
    </row>
    <row r="2" spans="1:11" ht="21" customHeight="1" x14ac:dyDescent="0.15">
      <c r="A2" s="307">
        <v>60013001</v>
      </c>
      <c r="B2" s="283">
        <v>0</v>
      </c>
      <c r="C2" s="283" t="s">
        <v>165</v>
      </c>
      <c r="D2" s="283">
        <v>70</v>
      </c>
      <c r="E2" s="283" t="s">
        <v>165</v>
      </c>
      <c r="F2" s="283" t="s">
        <v>165</v>
      </c>
      <c r="G2" s="283">
        <v>1</v>
      </c>
      <c r="H2" s="283" t="s">
        <v>165</v>
      </c>
      <c r="I2" s="283" t="s">
        <v>165</v>
      </c>
      <c r="J2" s="308">
        <f t="shared" ref="J2:J30" si="0">D2</f>
        <v>70</v>
      </c>
    </row>
    <row r="3" spans="1:11" ht="21" customHeight="1" x14ac:dyDescent="0.15">
      <c r="A3" s="309">
        <v>60013002</v>
      </c>
      <c r="B3" s="35">
        <v>0</v>
      </c>
      <c r="C3" s="35" t="s">
        <v>165</v>
      </c>
      <c r="D3" s="35">
        <v>60</v>
      </c>
      <c r="E3" s="35" t="s">
        <v>165</v>
      </c>
      <c r="F3" s="35" t="s">
        <v>165</v>
      </c>
      <c r="G3" s="35">
        <v>1</v>
      </c>
      <c r="H3" s="35" t="s">
        <v>165</v>
      </c>
      <c r="I3" s="35" t="s">
        <v>165</v>
      </c>
      <c r="J3" s="301">
        <f t="shared" si="0"/>
        <v>60</v>
      </c>
    </row>
    <row r="4" spans="1:11" ht="21" customHeight="1" x14ac:dyDescent="0.15">
      <c r="A4" s="309">
        <v>60013003</v>
      </c>
      <c r="B4" s="35">
        <v>0</v>
      </c>
      <c r="C4" s="35" t="s">
        <v>165</v>
      </c>
      <c r="D4" s="35">
        <v>50</v>
      </c>
      <c r="E4" s="35" t="s">
        <v>165</v>
      </c>
      <c r="F4" s="35" t="s">
        <v>165</v>
      </c>
      <c r="G4" s="35" t="s">
        <v>165</v>
      </c>
      <c r="H4" s="35" t="s">
        <v>165</v>
      </c>
      <c r="I4" s="35" t="s">
        <v>165</v>
      </c>
      <c r="J4" s="301">
        <f t="shared" si="0"/>
        <v>50</v>
      </c>
    </row>
    <row r="5" spans="1:11" ht="21" customHeight="1" x14ac:dyDescent="0.15">
      <c r="A5" s="309">
        <v>60013004</v>
      </c>
      <c r="B5" s="35">
        <v>1</v>
      </c>
      <c r="C5" s="35" t="s">
        <v>165</v>
      </c>
      <c r="D5" s="35">
        <v>100</v>
      </c>
      <c r="E5" s="35" t="s">
        <v>165</v>
      </c>
      <c r="F5" s="35" t="s">
        <v>165</v>
      </c>
      <c r="G5" s="35">
        <v>1</v>
      </c>
      <c r="H5" s="35" t="s">
        <v>165</v>
      </c>
      <c r="I5" s="35" t="s">
        <v>165</v>
      </c>
      <c r="J5" s="301">
        <f t="shared" si="0"/>
        <v>100</v>
      </c>
    </row>
    <row r="6" spans="1:11" ht="21" customHeight="1" x14ac:dyDescent="0.15">
      <c r="A6" s="309">
        <v>60013005</v>
      </c>
      <c r="B6" s="35">
        <v>0</v>
      </c>
      <c r="C6" s="35" t="s">
        <v>165</v>
      </c>
      <c r="D6" s="35">
        <v>60</v>
      </c>
      <c r="E6" s="35">
        <v>75</v>
      </c>
      <c r="F6" s="35" t="s">
        <v>165</v>
      </c>
      <c r="G6" s="35" t="s">
        <v>165</v>
      </c>
      <c r="H6" s="35" t="s">
        <v>165</v>
      </c>
      <c r="I6" s="35" t="s">
        <v>165</v>
      </c>
      <c r="J6" s="301">
        <f t="shared" si="0"/>
        <v>60</v>
      </c>
    </row>
    <row r="7" spans="1:11" ht="21" customHeight="1" x14ac:dyDescent="0.15">
      <c r="A7" s="309">
        <v>60013006</v>
      </c>
      <c r="B7" s="35">
        <v>0</v>
      </c>
      <c r="C7" s="35">
        <v>100</v>
      </c>
      <c r="D7" s="35">
        <v>100</v>
      </c>
      <c r="E7" s="35">
        <v>50</v>
      </c>
      <c r="F7" s="35" t="s">
        <v>165</v>
      </c>
      <c r="G7" s="35">
        <v>1</v>
      </c>
      <c r="H7" s="35" t="s">
        <v>165</v>
      </c>
      <c r="I7" s="35" t="s">
        <v>165</v>
      </c>
      <c r="J7" s="301">
        <f t="shared" si="0"/>
        <v>100</v>
      </c>
    </row>
    <row r="8" spans="1:11" ht="21" customHeight="1" x14ac:dyDescent="0.15">
      <c r="A8" s="309">
        <v>60013007</v>
      </c>
      <c r="B8" s="35">
        <v>0</v>
      </c>
      <c r="C8" s="35">
        <v>90</v>
      </c>
      <c r="D8" s="35">
        <v>100</v>
      </c>
      <c r="E8" s="35">
        <v>50</v>
      </c>
      <c r="F8" s="35" t="s">
        <v>165</v>
      </c>
      <c r="G8" s="35">
        <v>1</v>
      </c>
      <c r="H8" s="35" t="s">
        <v>165</v>
      </c>
      <c r="I8" s="35" t="s">
        <v>165</v>
      </c>
      <c r="J8" s="301">
        <f t="shared" si="0"/>
        <v>100</v>
      </c>
    </row>
    <row r="9" spans="1:11" ht="21" customHeight="1" x14ac:dyDescent="0.15">
      <c r="A9" s="309">
        <v>60013008</v>
      </c>
      <c r="B9" s="35">
        <v>0</v>
      </c>
      <c r="C9" s="35" t="s">
        <v>165</v>
      </c>
      <c r="D9" s="35">
        <v>50</v>
      </c>
      <c r="E9" s="35" t="s">
        <v>165</v>
      </c>
      <c r="F9" s="35" t="s">
        <v>165</v>
      </c>
      <c r="G9" s="35">
        <v>1</v>
      </c>
      <c r="H9" s="35" t="s">
        <v>165</v>
      </c>
      <c r="I9" s="35" t="s">
        <v>165</v>
      </c>
      <c r="J9" s="301">
        <f t="shared" si="0"/>
        <v>50</v>
      </c>
    </row>
    <row r="10" spans="1:11" ht="21" customHeight="1" x14ac:dyDescent="0.15">
      <c r="A10" s="309">
        <v>60013009</v>
      </c>
      <c r="B10" s="35">
        <v>0</v>
      </c>
      <c r="C10" s="35" t="s">
        <v>165</v>
      </c>
      <c r="D10" s="35">
        <v>100</v>
      </c>
      <c r="E10" s="35">
        <v>80</v>
      </c>
      <c r="F10" s="35" t="s">
        <v>165</v>
      </c>
      <c r="G10" s="35">
        <v>1</v>
      </c>
      <c r="H10" s="35" t="s">
        <v>165</v>
      </c>
      <c r="I10" s="35" t="s">
        <v>165</v>
      </c>
      <c r="J10" s="301">
        <f t="shared" si="0"/>
        <v>100</v>
      </c>
    </row>
    <row r="11" spans="1:11" ht="21" customHeight="1" x14ac:dyDescent="0.15">
      <c r="A11" s="309">
        <v>60013010</v>
      </c>
      <c r="B11" s="35">
        <v>0</v>
      </c>
      <c r="C11" s="35" t="s">
        <v>165</v>
      </c>
      <c r="D11" s="35">
        <v>100</v>
      </c>
      <c r="E11" s="35">
        <v>50</v>
      </c>
      <c r="F11" s="35" t="s">
        <v>165</v>
      </c>
      <c r="G11" s="35">
        <v>1</v>
      </c>
      <c r="H11" s="35" t="s">
        <v>165</v>
      </c>
      <c r="I11" s="35" t="s">
        <v>165</v>
      </c>
      <c r="J11" s="301">
        <f t="shared" si="0"/>
        <v>100</v>
      </c>
    </row>
    <row r="12" spans="1:11" ht="21" customHeight="1" x14ac:dyDescent="0.15">
      <c r="A12" s="309">
        <v>60013011</v>
      </c>
      <c r="B12" s="35">
        <v>0</v>
      </c>
      <c r="C12" s="35" t="s">
        <v>165</v>
      </c>
      <c r="D12" s="35">
        <v>50</v>
      </c>
      <c r="E12" s="35" t="s">
        <v>165</v>
      </c>
      <c r="F12" s="35" t="s">
        <v>165</v>
      </c>
      <c r="G12" s="35">
        <v>1</v>
      </c>
      <c r="H12" s="35" t="s">
        <v>165</v>
      </c>
      <c r="I12" s="35" t="s">
        <v>165</v>
      </c>
      <c r="J12" s="301">
        <f t="shared" si="0"/>
        <v>50</v>
      </c>
    </row>
    <row r="13" spans="1:11" ht="21" customHeight="1" x14ac:dyDescent="0.15">
      <c r="A13" s="309">
        <v>60013012</v>
      </c>
      <c r="B13" s="35">
        <v>0</v>
      </c>
      <c r="C13" s="35">
        <v>100</v>
      </c>
      <c r="D13" s="35">
        <v>100</v>
      </c>
      <c r="E13" s="35" t="s">
        <v>165</v>
      </c>
      <c r="F13" s="35" t="s">
        <v>165</v>
      </c>
      <c r="G13" s="35">
        <v>1</v>
      </c>
      <c r="H13" s="35" t="s">
        <v>165</v>
      </c>
      <c r="I13" s="35" t="s">
        <v>165</v>
      </c>
      <c r="J13" s="301">
        <f t="shared" si="0"/>
        <v>100</v>
      </c>
    </row>
    <row r="14" spans="1:11" ht="21" customHeight="1" x14ac:dyDescent="0.15">
      <c r="A14" s="309">
        <v>60013013</v>
      </c>
      <c r="B14" s="35">
        <v>0</v>
      </c>
      <c r="C14" s="35">
        <v>90</v>
      </c>
      <c r="D14" s="35">
        <v>100</v>
      </c>
      <c r="E14" s="35" t="s">
        <v>165</v>
      </c>
      <c r="F14" s="35" t="s">
        <v>165</v>
      </c>
      <c r="G14" s="35">
        <v>1</v>
      </c>
      <c r="H14" s="35" t="s">
        <v>165</v>
      </c>
      <c r="I14" s="35" t="s">
        <v>165</v>
      </c>
      <c r="J14" s="301">
        <f t="shared" si="0"/>
        <v>100</v>
      </c>
    </row>
    <row r="15" spans="1:11" ht="21" customHeight="1" x14ac:dyDescent="0.15">
      <c r="A15" s="309">
        <v>60013014</v>
      </c>
      <c r="B15" s="35">
        <v>0</v>
      </c>
      <c r="C15" s="35" t="s">
        <v>165</v>
      </c>
      <c r="D15" s="35">
        <v>100</v>
      </c>
      <c r="E15" s="35">
        <v>50</v>
      </c>
      <c r="F15" s="35" t="s">
        <v>165</v>
      </c>
      <c r="G15" s="35">
        <v>1</v>
      </c>
      <c r="H15" s="35" t="s">
        <v>165</v>
      </c>
      <c r="I15" s="35" t="s">
        <v>165</v>
      </c>
      <c r="J15" s="301">
        <f t="shared" si="0"/>
        <v>100</v>
      </c>
    </row>
    <row r="16" spans="1:11" ht="21" customHeight="1" x14ac:dyDescent="0.15">
      <c r="A16" s="309">
        <v>60013015</v>
      </c>
      <c r="B16" s="35">
        <v>1</v>
      </c>
      <c r="C16" s="35" t="s">
        <v>165</v>
      </c>
      <c r="D16" s="35">
        <v>100</v>
      </c>
      <c r="E16" s="35" t="s">
        <v>165</v>
      </c>
      <c r="F16" s="35" t="s">
        <v>165</v>
      </c>
      <c r="G16" s="35">
        <v>1</v>
      </c>
      <c r="H16" s="35" t="s">
        <v>165</v>
      </c>
      <c r="I16" s="35" t="s">
        <v>165</v>
      </c>
      <c r="J16" s="301">
        <f t="shared" si="0"/>
        <v>100</v>
      </c>
    </row>
    <row r="17" spans="1:10" ht="21" customHeight="1" x14ac:dyDescent="0.15">
      <c r="A17" s="309">
        <v>60013016</v>
      </c>
      <c r="B17" s="35">
        <v>0</v>
      </c>
      <c r="C17" s="35" t="s">
        <v>165</v>
      </c>
      <c r="D17" s="35">
        <v>50</v>
      </c>
      <c r="E17" s="35" t="s">
        <v>165</v>
      </c>
      <c r="F17" s="35" t="s">
        <v>165</v>
      </c>
      <c r="G17" s="35">
        <v>1</v>
      </c>
      <c r="H17" s="35" t="s">
        <v>165</v>
      </c>
      <c r="I17" s="35" t="s">
        <v>165</v>
      </c>
      <c r="J17" s="301">
        <f t="shared" si="0"/>
        <v>50</v>
      </c>
    </row>
    <row r="18" spans="1:10" ht="21" customHeight="1" x14ac:dyDescent="0.15">
      <c r="A18" s="309">
        <v>60013017</v>
      </c>
      <c r="B18" s="35">
        <v>0</v>
      </c>
      <c r="C18" s="35" t="s">
        <v>165</v>
      </c>
      <c r="D18" s="35">
        <v>50</v>
      </c>
      <c r="E18" s="35" t="s">
        <v>165</v>
      </c>
      <c r="F18" s="35" t="s">
        <v>165</v>
      </c>
      <c r="G18" s="35" t="s">
        <v>165</v>
      </c>
      <c r="H18" s="35" t="s">
        <v>165</v>
      </c>
      <c r="I18" s="35" t="s">
        <v>165</v>
      </c>
      <c r="J18" s="301">
        <f t="shared" si="0"/>
        <v>50</v>
      </c>
    </row>
    <row r="19" spans="1:10" ht="21" customHeight="1" x14ac:dyDescent="0.15">
      <c r="A19" s="309">
        <v>60013018</v>
      </c>
      <c r="B19" s="35">
        <v>0</v>
      </c>
      <c r="C19" s="35" t="s">
        <v>165</v>
      </c>
      <c r="D19" s="35">
        <v>100</v>
      </c>
      <c r="E19" s="35">
        <v>50</v>
      </c>
      <c r="F19" s="35" t="s">
        <v>165</v>
      </c>
      <c r="G19" s="35">
        <v>1</v>
      </c>
      <c r="H19" s="35" t="s">
        <v>165</v>
      </c>
      <c r="I19" s="35" t="s">
        <v>165</v>
      </c>
      <c r="J19" s="301">
        <f t="shared" si="0"/>
        <v>100</v>
      </c>
    </row>
    <row r="20" spans="1:10" ht="21" customHeight="1" x14ac:dyDescent="0.15">
      <c r="A20" s="309">
        <v>60013019</v>
      </c>
      <c r="B20" s="35">
        <v>1</v>
      </c>
      <c r="C20" s="35" t="s">
        <v>442</v>
      </c>
      <c r="D20" s="35">
        <v>100</v>
      </c>
      <c r="E20" s="35" t="s">
        <v>165</v>
      </c>
      <c r="F20" s="35" t="s">
        <v>165</v>
      </c>
      <c r="G20" s="35">
        <v>1</v>
      </c>
      <c r="H20" s="35" t="s">
        <v>165</v>
      </c>
      <c r="I20" s="35" t="s">
        <v>165</v>
      </c>
      <c r="J20" s="310">
        <f t="shared" si="0"/>
        <v>100</v>
      </c>
    </row>
    <row r="21" spans="1:10" ht="21" customHeight="1" x14ac:dyDescent="0.15">
      <c r="A21" s="309">
        <v>60013020</v>
      </c>
      <c r="B21" s="35">
        <v>0</v>
      </c>
      <c r="C21" s="35" t="s">
        <v>165</v>
      </c>
      <c r="D21" s="35">
        <v>50</v>
      </c>
      <c r="E21" s="35" t="s">
        <v>165</v>
      </c>
      <c r="F21" s="35" t="s">
        <v>165</v>
      </c>
      <c r="G21" s="35">
        <v>1</v>
      </c>
      <c r="H21" s="35" t="s">
        <v>165</v>
      </c>
      <c r="I21" s="35" t="s">
        <v>165</v>
      </c>
      <c r="J21" s="310">
        <f t="shared" si="0"/>
        <v>50</v>
      </c>
    </row>
    <row r="22" spans="1:10" ht="21" customHeight="1" x14ac:dyDescent="0.15">
      <c r="A22" s="309">
        <v>60013021</v>
      </c>
      <c r="B22" s="35">
        <v>0</v>
      </c>
      <c r="C22" s="35" t="s">
        <v>165</v>
      </c>
      <c r="D22" s="35">
        <v>50</v>
      </c>
      <c r="E22" s="35" t="s">
        <v>165</v>
      </c>
      <c r="F22" s="35" t="s">
        <v>165</v>
      </c>
      <c r="G22" s="35" t="s">
        <v>165</v>
      </c>
      <c r="H22" s="35" t="s">
        <v>165</v>
      </c>
      <c r="I22" s="35" t="s">
        <v>165</v>
      </c>
      <c r="J22" s="310">
        <f>D22</f>
        <v>50</v>
      </c>
    </row>
    <row r="23" spans="1:10" ht="21" customHeight="1" x14ac:dyDescent="0.15">
      <c r="A23" s="309">
        <v>60013022</v>
      </c>
      <c r="B23" s="35">
        <v>0</v>
      </c>
      <c r="C23" s="35">
        <v>1</v>
      </c>
      <c r="D23" s="35">
        <v>80</v>
      </c>
      <c r="E23" s="35">
        <v>75</v>
      </c>
      <c r="F23" s="35" t="s">
        <v>165</v>
      </c>
      <c r="G23" s="35">
        <v>3</v>
      </c>
      <c r="H23" s="35" t="s">
        <v>165</v>
      </c>
      <c r="I23" s="35" t="s">
        <v>165</v>
      </c>
      <c r="J23" s="310">
        <f>D23</f>
        <v>80</v>
      </c>
    </row>
    <row r="24" spans="1:10" ht="21" customHeight="1" x14ac:dyDescent="0.15">
      <c r="A24" s="309">
        <v>60013023</v>
      </c>
      <c r="B24" s="35">
        <v>1</v>
      </c>
      <c r="C24" s="35" t="s">
        <v>165</v>
      </c>
      <c r="D24" s="35">
        <v>100</v>
      </c>
      <c r="E24" s="35" t="s">
        <v>165</v>
      </c>
      <c r="F24" s="35" t="s">
        <v>165</v>
      </c>
      <c r="G24" s="35">
        <v>1</v>
      </c>
      <c r="H24" s="35" t="s">
        <v>165</v>
      </c>
      <c r="I24" s="35" t="s">
        <v>165</v>
      </c>
      <c r="J24" s="301">
        <f t="shared" ref="J24" si="1">D24</f>
        <v>100</v>
      </c>
    </row>
    <row r="25" spans="1:10" ht="21" customHeight="1" x14ac:dyDescent="0.15">
      <c r="A25" s="309">
        <v>60013024</v>
      </c>
      <c r="B25" s="35">
        <v>0</v>
      </c>
      <c r="C25" s="35">
        <v>60</v>
      </c>
      <c r="D25" s="35">
        <v>100</v>
      </c>
      <c r="E25" s="35">
        <v>90</v>
      </c>
      <c r="F25" s="35" t="s">
        <v>165</v>
      </c>
      <c r="G25" s="35">
        <v>1</v>
      </c>
      <c r="H25" s="35" t="s">
        <v>165</v>
      </c>
      <c r="I25" s="35" t="s">
        <v>165</v>
      </c>
      <c r="J25" s="301">
        <f t="shared" si="0"/>
        <v>100</v>
      </c>
    </row>
    <row r="26" spans="1:10" ht="21" customHeight="1" x14ac:dyDescent="0.15">
      <c r="A26" s="309">
        <v>60013025</v>
      </c>
      <c r="B26" s="35">
        <v>0</v>
      </c>
      <c r="C26" s="35">
        <v>80</v>
      </c>
      <c r="D26" s="35">
        <v>100</v>
      </c>
      <c r="E26" s="35">
        <v>70</v>
      </c>
      <c r="F26" s="35" t="s">
        <v>165</v>
      </c>
      <c r="G26" s="35">
        <v>1</v>
      </c>
      <c r="H26" s="35" t="s">
        <v>165</v>
      </c>
      <c r="I26" s="35" t="s">
        <v>165</v>
      </c>
      <c r="J26" s="301">
        <f t="shared" si="0"/>
        <v>100</v>
      </c>
    </row>
    <row r="27" spans="1:10" ht="21" customHeight="1" x14ac:dyDescent="0.15">
      <c r="A27" s="309">
        <v>60013026</v>
      </c>
      <c r="B27" s="35">
        <v>0</v>
      </c>
      <c r="C27" s="35">
        <v>100</v>
      </c>
      <c r="D27" s="35">
        <v>100</v>
      </c>
      <c r="E27" s="35">
        <v>50</v>
      </c>
      <c r="F27" s="35" t="s">
        <v>165</v>
      </c>
      <c r="G27" s="35">
        <v>1</v>
      </c>
      <c r="H27" s="35" t="s">
        <v>165</v>
      </c>
      <c r="I27" s="35" t="s">
        <v>165</v>
      </c>
      <c r="J27" s="301">
        <f t="shared" si="0"/>
        <v>100</v>
      </c>
    </row>
    <row r="28" spans="1:10" ht="21" customHeight="1" x14ac:dyDescent="0.15">
      <c r="A28" s="309">
        <v>60013027</v>
      </c>
      <c r="B28" s="35">
        <v>1</v>
      </c>
      <c r="C28" s="35" t="s">
        <v>165</v>
      </c>
      <c r="D28" s="35">
        <v>100</v>
      </c>
      <c r="E28" s="35" t="s">
        <v>165</v>
      </c>
      <c r="F28" s="35" t="s">
        <v>165</v>
      </c>
      <c r="G28" s="35">
        <v>1</v>
      </c>
      <c r="H28" s="35" t="s">
        <v>165</v>
      </c>
      <c r="I28" s="35" t="s">
        <v>165</v>
      </c>
      <c r="J28" s="301">
        <f t="shared" si="0"/>
        <v>100</v>
      </c>
    </row>
    <row r="29" spans="1:10" ht="21" customHeight="1" x14ac:dyDescent="0.15">
      <c r="A29" s="309">
        <v>60013028</v>
      </c>
      <c r="B29" s="35">
        <v>0</v>
      </c>
      <c r="C29" s="35">
        <v>110</v>
      </c>
      <c r="D29" s="35">
        <v>100</v>
      </c>
      <c r="E29" s="35">
        <v>33</v>
      </c>
      <c r="F29" s="35" t="s">
        <v>165</v>
      </c>
      <c r="G29" s="35">
        <v>1</v>
      </c>
      <c r="H29" s="35" t="s">
        <v>165</v>
      </c>
      <c r="I29" s="35" t="s">
        <v>165</v>
      </c>
      <c r="J29" s="301">
        <f t="shared" si="0"/>
        <v>100</v>
      </c>
    </row>
    <row r="30" spans="1:10" ht="21" customHeight="1" x14ac:dyDescent="0.15">
      <c r="A30" s="309">
        <v>60013029</v>
      </c>
      <c r="B30" s="35">
        <v>0</v>
      </c>
      <c r="C30" s="35">
        <v>99</v>
      </c>
      <c r="D30" s="35">
        <v>100</v>
      </c>
      <c r="E30" s="35">
        <v>50</v>
      </c>
      <c r="F30" s="35" t="s">
        <v>165</v>
      </c>
      <c r="G30" s="35">
        <v>1</v>
      </c>
      <c r="H30" s="35" t="s">
        <v>165</v>
      </c>
      <c r="I30" s="35" t="s">
        <v>165</v>
      </c>
      <c r="J30" s="301">
        <f t="shared" si="0"/>
        <v>100</v>
      </c>
    </row>
  </sheetData>
  <autoFilter ref="A1:G1"/>
  <phoneticPr fontId="8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"/>
  <sheetViews>
    <sheetView workbookViewId="0">
      <selection activeCell="K12" sqref="K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1" t="s">
        <v>147</v>
      </c>
      <c r="B1" s="51" t="s">
        <v>148</v>
      </c>
      <c r="C1" s="52" t="s">
        <v>149</v>
      </c>
      <c r="D1" s="57" t="s">
        <v>150</v>
      </c>
      <c r="E1" s="53" t="s">
        <v>151</v>
      </c>
      <c r="F1" s="51" t="s">
        <v>152</v>
      </c>
      <c r="G1" s="51" t="s">
        <v>153</v>
      </c>
      <c r="H1" s="51" t="s">
        <v>154</v>
      </c>
      <c r="I1" s="51" t="s">
        <v>155</v>
      </c>
      <c r="J1" s="51" t="s">
        <v>156</v>
      </c>
      <c r="K1" s="51" t="s">
        <v>157</v>
      </c>
      <c r="L1" s="51" t="s">
        <v>158</v>
      </c>
      <c r="M1" s="51" t="s">
        <v>159</v>
      </c>
      <c r="N1" s="51" t="s">
        <v>160</v>
      </c>
      <c r="O1" s="51" t="s">
        <v>161</v>
      </c>
      <c r="P1" s="51" t="s">
        <v>162</v>
      </c>
      <c r="Q1" s="51" t="s">
        <v>163</v>
      </c>
      <c r="R1" s="51" t="s">
        <v>164</v>
      </c>
    </row>
    <row r="2" spans="1:18" x14ac:dyDescent="0.1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</row>
    <row r="3" spans="1:18" x14ac:dyDescent="0.1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</row>
  </sheetData>
  <phoneticPr fontId="8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61"/>
  <sheetViews>
    <sheetView showGridLines="0" workbookViewId="0">
      <pane ySplit="1" topLeftCell="A2" activePane="bottomLeft" state="frozen"/>
      <selection pane="bottomLeft" activeCell="H64" sqref="H64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2" t="s">
        <v>182</v>
      </c>
      <c r="B1" s="58" t="s">
        <v>183</v>
      </c>
      <c r="C1" s="63" t="s">
        <v>184</v>
      </c>
      <c r="D1" s="63" t="s">
        <v>33</v>
      </c>
      <c r="E1" s="58" t="s">
        <v>185</v>
      </c>
      <c r="F1" s="63" t="s">
        <v>186</v>
      </c>
      <c r="G1" s="63" t="s">
        <v>33</v>
      </c>
      <c r="H1" s="58" t="s">
        <v>187</v>
      </c>
      <c r="I1" s="78" t="s">
        <v>189</v>
      </c>
      <c r="J1" s="65" t="s">
        <v>124</v>
      </c>
      <c r="K1" s="64" t="s">
        <v>181</v>
      </c>
      <c r="L1" s="79" t="s">
        <v>180</v>
      </c>
      <c r="M1" s="66" t="s">
        <v>190</v>
      </c>
    </row>
    <row r="2" spans="1:13" x14ac:dyDescent="0.15">
      <c r="A2" s="67" t="s">
        <v>191</v>
      </c>
      <c r="B2" s="68">
        <v>60013</v>
      </c>
      <c r="C2" s="69" t="str">
        <f ca="1">VLOOKUP($B2,OFFSET([2]quests!$A$1,0,0,COUNTA([2]quests!$A:$A),MATCH(C$1,[2]quests!$1:$1,0)-MATCH($B$1,[2]quests!$1:$1,0)+1),MATCH(C$1,[2]quests!$1:$1,0)-MATCH($B$1,[2]quests!$1:$1,0)+1,FALSE)</f>
        <v>オイラーチャレンジ</v>
      </c>
      <c r="D2" s="69" t="str">
        <f ca="1">VLOOKUP($B2,OFFSET([2]quests!$A$1,0,0,COUNTA([2]quests!$A:$A),MATCH(D$1,[2]quests!$1:$1,0)-MATCH($B$1,[2]quests!$1:$1,0)+1),MATCH(D$1,[2]quests!$1:$1,0)-MATCH($B$1,[2]quests!$1:$1,0)+1,FALSE)</f>
        <v>ランキング1（再開催版）</v>
      </c>
      <c r="E2" s="73">
        <v>1</v>
      </c>
      <c r="F2" s="69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" s="69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ランキング1（再開催版）</v>
      </c>
      <c r="H2" s="71">
        <v>0</v>
      </c>
      <c r="I2">
        <v>3</v>
      </c>
      <c r="J2" s="70" t="s">
        <v>249</v>
      </c>
      <c r="K2" s="80" t="str">
        <f>VLOOKUP(I2,[6]stage_hints!$A:$C,3,FALSE)</f>
        <v>ターゲット</v>
      </c>
      <c r="L2" s="81" t="str">
        <f>VLOOKUP(I2,[6]stage_hints!$A:$D,4,FALSE)</f>
        <v>敵ユニットをタップすると_x000D_その敵を狙い撃ちできます</v>
      </c>
      <c r="M2" s="45" t="s">
        <v>443</v>
      </c>
    </row>
    <row r="3" spans="1:13" x14ac:dyDescent="0.15">
      <c r="A3" s="67" t="s">
        <v>191</v>
      </c>
      <c r="B3" s="68">
        <v>60013</v>
      </c>
      <c r="C3" s="69" t="str">
        <f ca="1">VLOOKUP($B3,OFFSET([2]quests!$A$1,0,0,COUNTA([2]quests!$A:$A),MATCH(C$1,[2]quests!$1:$1,0)-MATCH($B$1,[2]quests!$1:$1,0)+1),MATCH(C$1,[2]quests!$1:$1,0)-MATCH($B$1,[2]quests!$1:$1,0)+1,FALSE)</f>
        <v>オイラーチャレンジ</v>
      </c>
      <c r="D3" s="69" t="str">
        <f ca="1">VLOOKUP($B3,OFFSET([2]quests!$A$1,0,0,COUNTA([2]quests!$A:$A),MATCH(D$1,[2]quests!$1:$1,0)-MATCH($B$1,[2]quests!$1:$1,0)+1),MATCH(D$1,[2]quests!$1:$1,0)-MATCH($B$1,[2]quests!$1:$1,0)+1,FALSE)</f>
        <v>ランキング1（再開催版）</v>
      </c>
      <c r="E3" s="73">
        <v>1</v>
      </c>
      <c r="F3" s="69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" s="69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ランキング1（再開催版）</v>
      </c>
      <c r="H3" s="71">
        <v>0</v>
      </c>
      <c r="I3">
        <v>6</v>
      </c>
      <c r="J3" s="70" t="s">
        <v>249</v>
      </c>
      <c r="K3" s="80" t="str">
        <f>VLOOKUP(I3,[6]stage_hints!$A:$C,3,FALSE)</f>
        <v>ユニット強化の属性ボーナス</v>
      </c>
      <c r="L3" s="81" t="str">
        <f>VLOOKUP(I3,[6]stage_hints!$A:$D,4,FALSE)</f>
        <v>同属性ユニットを強化素材にすると_x000D_経験値が多くもらえます</v>
      </c>
      <c r="M3" s="45" t="s">
        <v>443</v>
      </c>
    </row>
    <row r="4" spans="1:13" x14ac:dyDescent="0.15">
      <c r="A4" s="67" t="s">
        <v>191</v>
      </c>
      <c r="B4" s="68">
        <v>60013</v>
      </c>
      <c r="C4" s="69" t="str">
        <f ca="1">VLOOKUP($B4,OFFSET([2]quests!$A$1,0,0,COUNTA([2]quests!$A:$A),MATCH(C$1,[2]quests!$1:$1,0)-MATCH($B$1,[2]quests!$1:$1,0)+1),MATCH(C$1,[2]quests!$1:$1,0)-MATCH($B$1,[2]quests!$1:$1,0)+1,FALSE)</f>
        <v>オイラーチャレンジ</v>
      </c>
      <c r="D4" s="69" t="str">
        <f ca="1">VLOOKUP($B4,OFFSET([2]quests!$A$1,0,0,COUNTA([2]quests!$A:$A),MATCH(D$1,[2]quests!$1:$1,0)-MATCH($B$1,[2]quests!$1:$1,0)+1),MATCH(D$1,[2]quests!$1:$1,0)-MATCH($B$1,[2]quests!$1:$1,0)+1,FALSE)</f>
        <v>ランキング1（再開催版）</v>
      </c>
      <c r="E4" s="73">
        <v>1</v>
      </c>
      <c r="F4" s="69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4" s="69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ランキング1（再開催版）</v>
      </c>
      <c r="H4" s="71">
        <v>0</v>
      </c>
      <c r="I4">
        <v>7</v>
      </c>
      <c r="J4" s="70" t="s">
        <v>249</v>
      </c>
      <c r="K4" s="80" t="str">
        <f>VLOOKUP(I4,[6]stage_hints!$A:$C,3,FALSE)</f>
        <v>メタルダックで経験値を獲得</v>
      </c>
      <c r="L4" s="81" t="str">
        <f>VLOOKUP(I4,[6]stage_hints!$A:$D,4,FALSE)</f>
        <v>「メタルなアヒル」を強化素材にすると_x000D_大量の経験値がもらえます</v>
      </c>
      <c r="M4" s="45" t="s">
        <v>443</v>
      </c>
    </row>
    <row r="5" spans="1:13" x14ac:dyDescent="0.15">
      <c r="A5" s="67" t="s">
        <v>191</v>
      </c>
      <c r="B5" s="68">
        <v>60013</v>
      </c>
      <c r="C5" s="69" t="str">
        <f ca="1">VLOOKUP($B5,OFFSET([2]quests!$A$1,0,0,COUNTA([2]quests!$A:$A),MATCH(C$1,[2]quests!$1:$1,0)-MATCH($B$1,[2]quests!$1:$1,0)+1),MATCH(C$1,[2]quests!$1:$1,0)-MATCH($B$1,[2]quests!$1:$1,0)+1,FALSE)</f>
        <v>オイラーチャレンジ</v>
      </c>
      <c r="D5" s="69" t="str">
        <f ca="1">VLOOKUP($B5,OFFSET([2]quests!$A$1,0,0,COUNTA([2]quests!$A:$A),MATCH(D$1,[2]quests!$1:$1,0)-MATCH($B$1,[2]quests!$1:$1,0)+1),MATCH(D$1,[2]quests!$1:$1,0)-MATCH($B$1,[2]quests!$1:$1,0)+1,FALSE)</f>
        <v>ランキング1（再開催版）</v>
      </c>
      <c r="E5" s="73">
        <v>1</v>
      </c>
      <c r="F5" s="69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5" s="69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ランキング1（再開催版）</v>
      </c>
      <c r="H5" s="71">
        <v>0</v>
      </c>
      <c r="I5">
        <v>8</v>
      </c>
      <c r="J5" s="70" t="s">
        <v>249</v>
      </c>
      <c r="K5" s="80" t="str">
        <f>VLOOKUP(I5,[6]stage_hints!$A:$C,3,FALSE)</f>
        <v>ゲリラクエストは要チェック</v>
      </c>
      <c r="L5" s="81" t="str">
        <f>VLOOKUP(I5,[6]stage_hints!$A:$D,4,FALSE)</f>
        <v>時間限定の「アヒル捕獲作戦」では_x000D_経験値素材ユニットが多く手に入ります</v>
      </c>
      <c r="M5" s="45" t="s">
        <v>443</v>
      </c>
    </row>
    <row r="6" spans="1:13" x14ac:dyDescent="0.15">
      <c r="A6" s="67" t="s">
        <v>191</v>
      </c>
      <c r="B6" s="68">
        <v>60013</v>
      </c>
      <c r="C6" s="69" t="str">
        <f ca="1">VLOOKUP($B6,OFFSET([2]quests!$A$1,0,0,COUNTA([2]quests!$A:$A),MATCH(C$1,[2]quests!$1:$1,0)-MATCH($B$1,[2]quests!$1:$1,0)+1),MATCH(C$1,[2]quests!$1:$1,0)-MATCH($B$1,[2]quests!$1:$1,0)+1,FALSE)</f>
        <v>オイラーチャレンジ</v>
      </c>
      <c r="D6" s="69" t="str">
        <f ca="1">VLOOKUP($B6,OFFSET([2]quests!$A$1,0,0,COUNTA([2]quests!$A:$A),MATCH(D$1,[2]quests!$1:$1,0)-MATCH($B$1,[2]quests!$1:$1,0)+1),MATCH(D$1,[2]quests!$1:$1,0)-MATCH($B$1,[2]quests!$1:$1,0)+1,FALSE)</f>
        <v>ランキング1（再開催版）</v>
      </c>
      <c r="E6" s="73">
        <v>1</v>
      </c>
      <c r="F6" s="69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" s="69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ランキング1（再開催版）</v>
      </c>
      <c r="H6" s="71">
        <v>0</v>
      </c>
      <c r="I6">
        <v>9</v>
      </c>
      <c r="J6" s="70" t="s">
        <v>397</v>
      </c>
      <c r="K6" s="80" t="str">
        <f>VLOOKUP(I6,[6]stage_hints!$A:$C,3,FALSE)</f>
        <v>ゴールドダックでビットを獲得</v>
      </c>
      <c r="L6" s="81" t="str">
        <f>VLOOKUP(I6,[6]stage_hints!$A:$D,4,FALSE)</f>
        <v>「ゴールドなアヒル」を売却すると_x000D_大量のビットがもらえます</v>
      </c>
      <c r="M6" s="45" t="s">
        <v>444</v>
      </c>
    </row>
    <row r="7" spans="1:13" x14ac:dyDescent="0.15">
      <c r="A7" s="67" t="s">
        <v>191</v>
      </c>
      <c r="B7" s="68">
        <v>60013</v>
      </c>
      <c r="C7" s="69" t="str">
        <f ca="1">VLOOKUP($B7,OFFSET([2]quests!$A$1,0,0,COUNTA([2]quests!$A:$A),MATCH(C$1,[2]quests!$1:$1,0)-MATCH($B$1,[2]quests!$1:$1,0)+1),MATCH(C$1,[2]quests!$1:$1,0)-MATCH($B$1,[2]quests!$1:$1,0)+1,FALSE)</f>
        <v>オイラーチャレンジ</v>
      </c>
      <c r="D7" s="69" t="str">
        <f ca="1">VLOOKUP($B7,OFFSET([2]quests!$A$1,0,0,COUNTA([2]quests!$A:$A),MATCH(D$1,[2]quests!$1:$1,0)-MATCH($B$1,[2]quests!$1:$1,0)+1),MATCH(D$1,[2]quests!$1:$1,0)-MATCH($B$1,[2]quests!$1:$1,0)+1,FALSE)</f>
        <v>ランキング1（再開催版）</v>
      </c>
      <c r="E7" s="73">
        <v>1</v>
      </c>
      <c r="F7" s="69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" s="69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ランキング1（再開催版）</v>
      </c>
      <c r="H7" s="71">
        <v>0</v>
      </c>
      <c r="I7">
        <v>10</v>
      </c>
      <c r="J7" s="70" t="s">
        <v>249</v>
      </c>
      <c r="K7" s="80" t="str">
        <f>VLOOKUP(I7,[6]stage_hints!$A:$C,3,FALSE)</f>
        <v>土日に大量のビットを獲得</v>
      </c>
      <c r="L7" s="81" t="str">
        <f>VLOOKUP(I7,[6]stage_hints!$A:$D,4,FALSE)</f>
        <v>土日限定の「ゴールドカジノ」では_x000D_売却素材ユニットが多く手に入ります</v>
      </c>
      <c r="M7" s="45" t="s">
        <v>443</v>
      </c>
    </row>
    <row r="8" spans="1:13" x14ac:dyDescent="0.15">
      <c r="A8" s="67" t="s">
        <v>191</v>
      </c>
      <c r="B8" s="68">
        <v>60013</v>
      </c>
      <c r="C8" s="69" t="str">
        <f ca="1">VLOOKUP($B8,OFFSET([2]quests!$A$1,0,0,COUNTA([2]quests!$A:$A),MATCH(C$1,[2]quests!$1:$1,0)-MATCH($B$1,[2]quests!$1:$1,0)+1),MATCH(C$1,[2]quests!$1:$1,0)-MATCH($B$1,[2]quests!$1:$1,0)+1,FALSE)</f>
        <v>オイラーチャレンジ</v>
      </c>
      <c r="D8" s="69" t="str">
        <f ca="1">VLOOKUP($B8,OFFSET([2]quests!$A$1,0,0,COUNTA([2]quests!$A:$A),MATCH(D$1,[2]quests!$1:$1,0)-MATCH($B$1,[2]quests!$1:$1,0)+1),MATCH(D$1,[2]quests!$1:$1,0)-MATCH($B$1,[2]quests!$1:$1,0)+1,FALSE)</f>
        <v>ランキング1（再開催版）</v>
      </c>
      <c r="E8" s="73">
        <v>1</v>
      </c>
      <c r="F8" s="69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" s="69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ランキング1（再開催版）</v>
      </c>
      <c r="H8" s="71">
        <v>0</v>
      </c>
      <c r="I8">
        <v>11</v>
      </c>
      <c r="J8" s="70" t="s">
        <v>249</v>
      </c>
      <c r="K8" s="80" t="str">
        <f>VLOOKUP(I8,[6]stage_hints!$A:$C,3,FALSE)</f>
        <v>ランク解放クエスト</v>
      </c>
      <c r="L8" s="81" t="str">
        <f>VLOOKUP(I8,[6]stage_hints!$A:$D,4,FALSE)</f>
        <v>一定ランクに到達すると_x000D_報酬付きのランク開放クエストが現れます</v>
      </c>
      <c r="M8" s="45" t="s">
        <v>443</v>
      </c>
    </row>
    <row r="9" spans="1:13" x14ac:dyDescent="0.15">
      <c r="A9" s="67" t="s">
        <v>191</v>
      </c>
      <c r="B9" s="68">
        <v>60013</v>
      </c>
      <c r="C9" s="69" t="str">
        <f ca="1">VLOOKUP($B9,OFFSET([2]quests!$A$1,0,0,COUNTA([2]quests!$A:$A),MATCH(C$1,[2]quests!$1:$1,0)-MATCH($B$1,[2]quests!$1:$1,0)+1),MATCH(C$1,[2]quests!$1:$1,0)-MATCH($B$1,[2]quests!$1:$1,0)+1,FALSE)</f>
        <v>オイラーチャレンジ</v>
      </c>
      <c r="D9" s="69" t="str">
        <f ca="1">VLOOKUP($B9,OFFSET([2]quests!$A$1,0,0,COUNTA([2]quests!$A:$A),MATCH(D$1,[2]quests!$1:$1,0)-MATCH($B$1,[2]quests!$1:$1,0)+1),MATCH(D$1,[2]quests!$1:$1,0)-MATCH($B$1,[2]quests!$1:$1,0)+1,FALSE)</f>
        <v>ランキング1（再開催版）</v>
      </c>
      <c r="E9" s="73">
        <v>1</v>
      </c>
      <c r="F9" s="69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" s="69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ランキング1（再開催版）</v>
      </c>
      <c r="H9" s="71">
        <v>0</v>
      </c>
      <c r="I9">
        <v>12</v>
      </c>
      <c r="J9" s="70" t="s">
        <v>249</v>
      </c>
      <c r="K9" s="80" t="str">
        <f>VLOOKUP(I9,[6]stage_hints!$A:$C,3,FALSE)</f>
        <v>ユニットのお気に入り登録</v>
      </c>
      <c r="L9" s="81" t="str">
        <f>VLOOKUP(I9,[6]stage_hints!$A:$D,4,FALSE)</f>
        <v>大事なユニットを誤って消さないように_x000D_フォルダから「お気に入り登録」しましょう</v>
      </c>
      <c r="M9" s="45" t="s">
        <v>443</v>
      </c>
    </row>
    <row r="10" spans="1:13" x14ac:dyDescent="0.15">
      <c r="A10" s="67" t="s">
        <v>191</v>
      </c>
      <c r="B10" s="68">
        <v>60013</v>
      </c>
      <c r="C10" s="69" t="str">
        <f ca="1">VLOOKUP($B10,OFFSET([2]quests!$A$1,0,0,COUNTA([2]quests!$A:$A),MATCH(C$1,[2]quests!$1:$1,0)-MATCH($B$1,[2]quests!$1:$1,0)+1),MATCH(C$1,[2]quests!$1:$1,0)-MATCH($B$1,[2]quests!$1:$1,0)+1,FALSE)</f>
        <v>オイラーチャレンジ</v>
      </c>
      <c r="D10" s="69" t="str">
        <f ca="1">VLOOKUP($B10,OFFSET([2]quests!$A$1,0,0,COUNTA([2]quests!$A:$A),MATCH(D$1,[2]quests!$1:$1,0)-MATCH($B$1,[2]quests!$1:$1,0)+1),MATCH(D$1,[2]quests!$1:$1,0)-MATCH($B$1,[2]quests!$1:$1,0)+1,FALSE)</f>
        <v>ランキング1（再開催版）</v>
      </c>
      <c r="E10" s="73">
        <v>1</v>
      </c>
      <c r="F10" s="69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0" s="69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ランキング1（再開催版）</v>
      </c>
      <c r="H10" s="71">
        <v>0</v>
      </c>
      <c r="I10">
        <v>13</v>
      </c>
      <c r="J10" s="70" t="s">
        <v>249</v>
      </c>
      <c r="K10" s="80" t="str">
        <f>VLOOKUP(I10,[6]stage_hints!$A:$C,3,FALSE)</f>
        <v>ユニットの覚醒</v>
      </c>
      <c r="L10" s="81" t="str">
        <f>VLOOKUP(I10,[6]stage_hints!$A:$D,4,FALSE)</f>
        <v>ユニットを覚醒させると_x000D_比べものにならない強さが手に入ります</v>
      </c>
      <c r="M10" s="45" t="s">
        <v>444</v>
      </c>
    </row>
    <row r="11" spans="1:13" x14ac:dyDescent="0.15">
      <c r="A11" s="67" t="s">
        <v>191</v>
      </c>
      <c r="B11" s="68">
        <v>60013</v>
      </c>
      <c r="C11" s="69" t="str">
        <f ca="1">VLOOKUP($B11,OFFSET([2]quests!$A$1,0,0,COUNTA([2]quests!$A:$A),MATCH(C$1,[2]quests!$1:$1,0)-MATCH($B$1,[2]quests!$1:$1,0)+1),MATCH(C$1,[2]quests!$1:$1,0)-MATCH($B$1,[2]quests!$1:$1,0)+1,FALSE)</f>
        <v>オイラーチャレンジ</v>
      </c>
      <c r="D11" s="69" t="str">
        <f ca="1">VLOOKUP($B11,OFFSET([2]quests!$A$1,0,0,COUNTA([2]quests!$A:$A),MATCH(D$1,[2]quests!$1:$1,0)-MATCH($B$1,[2]quests!$1:$1,0)+1),MATCH(D$1,[2]quests!$1:$1,0)-MATCH($B$1,[2]quests!$1:$1,0)+1,FALSE)</f>
        <v>ランキング1（再開催版）</v>
      </c>
      <c r="E11" s="73">
        <v>1</v>
      </c>
      <c r="F11" s="69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1" s="69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ランキング1（再開催版）</v>
      </c>
      <c r="H11" s="71">
        <v>0</v>
      </c>
      <c r="I11">
        <v>14</v>
      </c>
      <c r="J11" s="70" t="s">
        <v>397</v>
      </c>
      <c r="K11" s="80" t="str">
        <f>VLOOKUP(I11,[6]stage_hints!$A:$C,3,FALSE)</f>
        <v>覚醒するにはレベルを最大に</v>
      </c>
      <c r="L11" s="81" t="str">
        <f>VLOOKUP(I11,[6]stage_hints!$A:$D,4,FALSE)</f>
        <v>覚醒するにはユニットのレベルを_x000D_最大まで上げる必要があります</v>
      </c>
      <c r="M11" s="45" t="s">
        <v>444</v>
      </c>
    </row>
    <row r="12" spans="1:13" x14ac:dyDescent="0.15">
      <c r="A12" s="67" t="s">
        <v>191</v>
      </c>
      <c r="B12" s="68">
        <v>60013</v>
      </c>
      <c r="C12" s="69" t="str">
        <f ca="1">VLOOKUP($B12,OFFSET([2]quests!$A$1,0,0,COUNTA([2]quests!$A:$A),MATCH(C$1,[2]quests!$1:$1,0)-MATCH($B$1,[2]quests!$1:$1,0)+1),MATCH(C$1,[2]quests!$1:$1,0)-MATCH($B$1,[2]quests!$1:$1,0)+1,FALSE)</f>
        <v>オイラーチャレンジ</v>
      </c>
      <c r="D12" s="69" t="str">
        <f ca="1">VLOOKUP($B12,OFFSET([2]quests!$A$1,0,0,COUNTA([2]quests!$A:$A),MATCH(D$1,[2]quests!$1:$1,0)-MATCH($B$1,[2]quests!$1:$1,0)+1),MATCH(D$1,[2]quests!$1:$1,0)-MATCH($B$1,[2]quests!$1:$1,0)+1,FALSE)</f>
        <v>ランキング1（再開催版）</v>
      </c>
      <c r="E12" s="73">
        <v>1</v>
      </c>
      <c r="F12" s="69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2" s="69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ランキング1（再開催版）</v>
      </c>
      <c r="H12" s="71">
        <v>0</v>
      </c>
      <c r="I12">
        <v>15</v>
      </c>
      <c r="J12" s="70" t="s">
        <v>397</v>
      </c>
      <c r="K12" s="80" t="str">
        <f>VLOOKUP(I12,[6]stage_hints!$A:$C,3,FALSE)</f>
        <v>覚醒素材を獲得</v>
      </c>
      <c r="L12" s="81" t="str">
        <f>VLOOKUP(I12,[6]stage_hints!$A:$D,4,FALSE)</f>
        <v>「曜日クエスト」では_x000D_ユニットの覚醒に必要な素材が手に入ります</v>
      </c>
      <c r="M12" s="45" t="s">
        <v>445</v>
      </c>
    </row>
    <row r="13" spans="1:13" x14ac:dyDescent="0.15">
      <c r="A13" s="67" t="s">
        <v>191</v>
      </c>
      <c r="B13" s="68">
        <v>60013</v>
      </c>
      <c r="C13" s="69" t="str">
        <f ca="1">VLOOKUP($B13,OFFSET([2]quests!$A$1,0,0,COUNTA([2]quests!$A:$A),MATCH(C$1,[2]quests!$1:$1,0)-MATCH($B$1,[2]quests!$1:$1,0)+1),MATCH(C$1,[2]quests!$1:$1,0)-MATCH($B$1,[2]quests!$1:$1,0)+1,FALSE)</f>
        <v>オイラーチャレンジ</v>
      </c>
      <c r="D13" s="69" t="str">
        <f ca="1">VLOOKUP($B13,OFFSET([2]quests!$A$1,0,0,COUNTA([2]quests!$A:$A),MATCH(D$1,[2]quests!$1:$1,0)-MATCH($B$1,[2]quests!$1:$1,0)+1),MATCH(D$1,[2]quests!$1:$1,0)-MATCH($B$1,[2]quests!$1:$1,0)+1,FALSE)</f>
        <v>ランキング1（再開催版）</v>
      </c>
      <c r="E13" s="73">
        <v>1</v>
      </c>
      <c r="F13" s="69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3" s="69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ランキング1（再開催版）</v>
      </c>
      <c r="H13" s="71">
        <v>0</v>
      </c>
      <c r="I13">
        <v>16</v>
      </c>
      <c r="J13" s="70" t="s">
        <v>446</v>
      </c>
      <c r="K13" s="80" t="str">
        <f>VLOOKUP(I13,[6]stage_hints!$A:$C,3,FALSE)</f>
        <v>マルチプレイのメリット（その1）</v>
      </c>
      <c r="L13" s="81" t="str">
        <f>VLOOKUP(I13,[6]stage_hints!$A:$D,4,FALSE)</f>
        <v>他のプレイヤーとマルチプレイで遊ぶと_x000D_ポリゴンがもらえます（100人まで）</v>
      </c>
      <c r="M13" s="45" t="s">
        <v>445</v>
      </c>
    </row>
    <row r="14" spans="1:13" x14ac:dyDescent="0.15">
      <c r="A14" s="67" t="s">
        <v>191</v>
      </c>
      <c r="B14" s="68">
        <v>60013</v>
      </c>
      <c r="C14" s="69" t="str">
        <f ca="1">VLOOKUP($B14,OFFSET([2]quests!$A$1,0,0,COUNTA([2]quests!$A:$A),MATCH(C$1,[2]quests!$1:$1,0)-MATCH($B$1,[2]quests!$1:$1,0)+1),MATCH(C$1,[2]quests!$1:$1,0)-MATCH($B$1,[2]quests!$1:$1,0)+1,FALSE)</f>
        <v>オイラーチャレンジ</v>
      </c>
      <c r="D14" s="69" t="str">
        <f ca="1">VLOOKUP($B14,OFFSET([2]quests!$A$1,0,0,COUNTA([2]quests!$A:$A),MATCH(D$1,[2]quests!$1:$1,0)-MATCH($B$1,[2]quests!$1:$1,0)+1),MATCH(D$1,[2]quests!$1:$1,0)-MATCH($B$1,[2]quests!$1:$1,0)+1,FALSE)</f>
        <v>ランキング1（再開催版）</v>
      </c>
      <c r="E14" s="73">
        <v>1</v>
      </c>
      <c r="F14" s="69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4" s="69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ランキング1（再開催版）</v>
      </c>
      <c r="H14" s="71">
        <v>0</v>
      </c>
      <c r="I14">
        <v>17</v>
      </c>
      <c r="J14" s="70" t="s">
        <v>446</v>
      </c>
      <c r="K14" s="80" t="str">
        <f>VLOOKUP(I14,[6]stage_hints!$A:$C,3,FALSE)</f>
        <v>リンクガチャ</v>
      </c>
      <c r="L14" s="81" t="str">
        <f>VLOOKUP(I14,[6]stage_hints!$A:$D,4,FALSE)</f>
        <v>無料のリンクガチャを回して_x000D_経験値素材や売却素材を獲得しましょう</v>
      </c>
      <c r="M14" s="45" t="s">
        <v>444</v>
      </c>
    </row>
    <row r="15" spans="1:13" x14ac:dyDescent="0.15">
      <c r="A15" s="67" t="s">
        <v>191</v>
      </c>
      <c r="B15" s="68">
        <v>60013</v>
      </c>
      <c r="C15" s="69" t="str">
        <f ca="1">VLOOKUP($B15,OFFSET([2]quests!$A$1,0,0,COUNTA([2]quests!$A:$A),MATCH(C$1,[2]quests!$1:$1,0)-MATCH($B$1,[2]quests!$1:$1,0)+1),MATCH(C$1,[2]quests!$1:$1,0)-MATCH($B$1,[2]quests!$1:$1,0)+1,FALSE)</f>
        <v>オイラーチャレンジ</v>
      </c>
      <c r="D15" s="69" t="str">
        <f ca="1">VLOOKUP($B15,OFFSET([2]quests!$A$1,0,0,COUNTA([2]quests!$A:$A),MATCH(D$1,[2]quests!$1:$1,0)-MATCH($B$1,[2]quests!$1:$1,0)+1),MATCH(D$1,[2]quests!$1:$1,0)-MATCH($B$1,[2]quests!$1:$1,0)+1,FALSE)</f>
        <v>ランキング1（再開催版）</v>
      </c>
      <c r="E15" s="73">
        <v>1</v>
      </c>
      <c r="F15" s="69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5" s="69" t="str">
        <f ca="1">VLOOKUP($B15&amp;"_"&amp;$E15,OFFSET([2]stages!$A$1,0,0,COUNTA([2]stages!$A:$A),MATCH(G$1,[2]stages!$2:$2,0)-MATCH("temp_stage",[2]stages!$2:$2,0)+1),MATCH(G$1,[2]stages!$2:$2,0)-MATCH("temp_stage",[2]stages!$2:$2,0)+1,FALSE)</f>
        <v>ランキング1（再開催版）</v>
      </c>
      <c r="H15" s="71">
        <v>0</v>
      </c>
      <c r="I15">
        <v>18</v>
      </c>
      <c r="J15" s="70" t="s">
        <v>397</v>
      </c>
      <c r="K15" s="80" t="str">
        <f>VLOOKUP(I15,[6]stage_hints!$A:$C,3,FALSE)</f>
        <v>マルチプレイのメリット（その2）</v>
      </c>
      <c r="L15" s="81" t="str">
        <f>VLOOKUP(I15,[6]stage_hints!$A:$D,4,FALSE)</f>
        <v>マルチプレイならリンクが2倍もらえます_x000D_リンクガチャをたくさん回しましょう</v>
      </c>
      <c r="M15" s="45" t="s">
        <v>447</v>
      </c>
    </row>
    <row r="16" spans="1:13" x14ac:dyDescent="0.15">
      <c r="A16" s="67" t="s">
        <v>191</v>
      </c>
      <c r="B16" s="68">
        <v>60013</v>
      </c>
      <c r="C16" s="69" t="str">
        <f ca="1">VLOOKUP($B16,OFFSET([2]quests!$A$1,0,0,COUNTA([2]quests!$A:$A),MATCH(C$1,[2]quests!$1:$1,0)-MATCH($B$1,[2]quests!$1:$1,0)+1),MATCH(C$1,[2]quests!$1:$1,0)-MATCH($B$1,[2]quests!$1:$1,0)+1,FALSE)</f>
        <v>オイラーチャレンジ</v>
      </c>
      <c r="D16" s="69" t="str">
        <f ca="1">VLOOKUP($B16,OFFSET([2]quests!$A$1,0,0,COUNTA([2]quests!$A:$A),MATCH(D$1,[2]quests!$1:$1,0)-MATCH($B$1,[2]quests!$1:$1,0)+1),MATCH(D$1,[2]quests!$1:$1,0)-MATCH($B$1,[2]quests!$1:$1,0)+1,FALSE)</f>
        <v>ランキング1（再開催版）</v>
      </c>
      <c r="E16" s="73">
        <v>1</v>
      </c>
      <c r="F16" s="69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6" s="69" t="str">
        <f ca="1">VLOOKUP($B16&amp;"_"&amp;$E16,OFFSET([2]stages!$A$1,0,0,COUNTA([2]stages!$A:$A),MATCH(G$1,[2]stages!$2:$2,0)-MATCH("temp_stage",[2]stages!$2:$2,0)+1),MATCH(G$1,[2]stages!$2:$2,0)-MATCH("temp_stage",[2]stages!$2:$2,0)+1,FALSE)</f>
        <v>ランキング1（再開催版）</v>
      </c>
      <c r="H16" s="71">
        <v>0</v>
      </c>
      <c r="I16">
        <v>19</v>
      </c>
      <c r="J16" s="70" t="s">
        <v>448</v>
      </c>
      <c r="K16" s="80" t="str">
        <f>VLOOKUP(I16,[6]stage_hints!$A:$C,3,FALSE)</f>
        <v>ソロ専用タワーオブザクイーン</v>
      </c>
      <c r="L16" s="81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45" t="s">
        <v>443</v>
      </c>
    </row>
    <row r="17" spans="1:13" x14ac:dyDescent="0.15">
      <c r="A17" s="67" t="s">
        <v>191</v>
      </c>
      <c r="B17" s="68">
        <v>60013</v>
      </c>
      <c r="C17" s="69" t="str">
        <f ca="1">VLOOKUP($B17,OFFSET([2]quests!$A$1,0,0,COUNTA([2]quests!$A:$A),MATCH(C$1,[2]quests!$1:$1,0)-MATCH($B$1,[2]quests!$1:$1,0)+1),MATCH(C$1,[2]quests!$1:$1,0)-MATCH($B$1,[2]quests!$1:$1,0)+1,FALSE)</f>
        <v>オイラーチャレンジ</v>
      </c>
      <c r="D17" s="69" t="str">
        <f ca="1">VLOOKUP($B17,OFFSET([2]quests!$A$1,0,0,COUNTA([2]quests!$A:$A),MATCH(D$1,[2]quests!$1:$1,0)-MATCH($B$1,[2]quests!$1:$1,0)+1),MATCH(D$1,[2]quests!$1:$1,0)-MATCH($B$1,[2]quests!$1:$1,0)+1,FALSE)</f>
        <v>ランキング1（再開催版）</v>
      </c>
      <c r="E17" s="73">
        <v>1</v>
      </c>
      <c r="F17" s="69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7" s="69" t="str">
        <f ca="1">VLOOKUP($B17&amp;"_"&amp;$E17,OFFSET([2]stages!$A$1,0,0,COUNTA([2]stages!$A:$A),MATCH(G$1,[2]stages!$2:$2,0)-MATCH("temp_stage",[2]stages!$2:$2,0)+1),MATCH(G$1,[2]stages!$2:$2,0)-MATCH("temp_stage",[2]stages!$2:$2,0)+1,FALSE)</f>
        <v>ランキング1（再開催版）</v>
      </c>
      <c r="H17" s="71">
        <v>0</v>
      </c>
      <c r="I17">
        <v>20</v>
      </c>
      <c r="J17" s="70" t="s">
        <v>249</v>
      </c>
      <c r="K17" s="80" t="str">
        <f>VLOOKUP(I17,[6]stage_hints!$A:$C,3,FALSE)</f>
        <v>マルチプレイのメリット（その3）</v>
      </c>
      <c r="L17" s="81" t="str">
        <f>VLOOKUP(I17,[6]stage_hints!$A:$D,4,FALSE)</f>
        <v>マルチプレイへの参加はエナジー消費ゼロ_x000D_いつでも好きなだけ遊ぶことができます</v>
      </c>
      <c r="M17" s="45" t="s">
        <v>443</v>
      </c>
    </row>
    <row r="18" spans="1:13" x14ac:dyDescent="0.15">
      <c r="A18" s="67" t="s">
        <v>191</v>
      </c>
      <c r="B18" s="68">
        <v>60013</v>
      </c>
      <c r="C18" s="69" t="str">
        <f ca="1">VLOOKUP($B18,OFFSET([2]quests!$A$1,0,0,COUNTA([2]quests!$A:$A),MATCH(C$1,[2]quests!$1:$1,0)-MATCH($B$1,[2]quests!$1:$1,0)+1),MATCH(C$1,[2]quests!$1:$1,0)-MATCH($B$1,[2]quests!$1:$1,0)+1,FALSE)</f>
        <v>オイラーチャレンジ</v>
      </c>
      <c r="D18" s="69" t="str">
        <f ca="1">VLOOKUP($B18,OFFSET([2]quests!$A$1,0,0,COUNTA([2]quests!$A:$A),MATCH(D$1,[2]quests!$1:$1,0)-MATCH($B$1,[2]quests!$1:$1,0)+1),MATCH(D$1,[2]quests!$1:$1,0)-MATCH($B$1,[2]quests!$1:$1,0)+1,FALSE)</f>
        <v>ランキング1（再開催版）</v>
      </c>
      <c r="E18" s="73">
        <v>1</v>
      </c>
      <c r="F18" s="69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8" s="69" t="str">
        <f ca="1">VLOOKUP($B18&amp;"_"&amp;$E18,OFFSET([2]stages!$A$1,0,0,COUNTA([2]stages!$A:$A),MATCH(G$1,[2]stages!$2:$2,0)-MATCH("temp_stage",[2]stages!$2:$2,0)+1),MATCH(G$1,[2]stages!$2:$2,0)-MATCH("temp_stage",[2]stages!$2:$2,0)+1,FALSE)</f>
        <v>ランキング1（再開催版）</v>
      </c>
      <c r="H18" s="71">
        <v>0</v>
      </c>
      <c r="I18">
        <v>21</v>
      </c>
      <c r="J18" s="70" t="s">
        <v>249</v>
      </c>
      <c r="K18" s="80" t="str">
        <f>VLOOKUP(I18,[6]stage_hints!$A:$C,3,FALSE)</f>
        <v>スキルを有効に</v>
      </c>
      <c r="L18" s="81" t="str">
        <f>VLOOKUP(I18,[6]stage_hints!$A:$D,4,FALSE)</f>
        <v>ターン経過でユニットのスキルが使えます_x000D_強力スキルでバトルを有利に進めましょう</v>
      </c>
      <c r="M18" s="45" t="s">
        <v>449</v>
      </c>
    </row>
    <row r="19" spans="1:13" x14ac:dyDescent="0.15">
      <c r="A19" s="67" t="s">
        <v>191</v>
      </c>
      <c r="B19" s="68">
        <v>60013</v>
      </c>
      <c r="C19" s="69" t="str">
        <f ca="1">VLOOKUP($B19,OFFSET([2]quests!$A$1,0,0,COUNTA([2]quests!$A:$A),MATCH(C$1,[2]quests!$1:$1,0)-MATCH($B$1,[2]quests!$1:$1,0)+1),MATCH(C$1,[2]quests!$1:$1,0)-MATCH($B$1,[2]quests!$1:$1,0)+1,FALSE)</f>
        <v>オイラーチャレンジ</v>
      </c>
      <c r="D19" s="69" t="str">
        <f ca="1">VLOOKUP($B19,OFFSET([2]quests!$A$1,0,0,COUNTA([2]quests!$A:$A),MATCH(D$1,[2]quests!$1:$1,0)-MATCH($B$1,[2]quests!$1:$1,0)+1),MATCH(D$1,[2]quests!$1:$1,0)-MATCH($B$1,[2]quests!$1:$1,0)+1,FALSE)</f>
        <v>ランキング1（再開催版）</v>
      </c>
      <c r="E19" s="73">
        <v>1</v>
      </c>
      <c r="F19" s="69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9" s="69" t="str">
        <f ca="1">VLOOKUP($B19&amp;"_"&amp;$E19,OFFSET([2]stages!$A$1,0,0,COUNTA([2]stages!$A:$A),MATCH(G$1,[2]stages!$2:$2,0)-MATCH("temp_stage",[2]stages!$2:$2,0)+1),MATCH(G$1,[2]stages!$2:$2,0)-MATCH("temp_stage",[2]stages!$2:$2,0)+1,FALSE)</f>
        <v>ランキング1（再開催版）</v>
      </c>
      <c r="H19" s="71">
        <v>0</v>
      </c>
      <c r="I19">
        <v>22</v>
      </c>
      <c r="J19" s="70" t="s">
        <v>249</v>
      </c>
      <c r="K19" s="80" t="str">
        <f>VLOOKUP(I19,[6]stage_hints!$A:$C,3,FALSE)</f>
        <v>フィーバーで一発逆転（その1）</v>
      </c>
      <c r="L19" s="81" t="str">
        <f>VLOOKUP(I19,[6]stage_hints!$A:$D,4,FALSE)</f>
        <v>フィーバーは攻撃と回復を兼ね備えます_x000D_ピンチからの一発逆転を狙いましょう</v>
      </c>
      <c r="M19" s="45" t="s">
        <v>443</v>
      </c>
    </row>
    <row r="20" spans="1:13" x14ac:dyDescent="0.15">
      <c r="A20" s="67" t="s">
        <v>191</v>
      </c>
      <c r="B20" s="68">
        <v>60013</v>
      </c>
      <c r="C20" s="69" t="str">
        <f ca="1">VLOOKUP($B20,OFFSET([2]quests!$A$1,0,0,COUNTA([2]quests!$A:$A),MATCH(C$1,[2]quests!$1:$1,0)-MATCH($B$1,[2]quests!$1:$1,0)+1),MATCH(C$1,[2]quests!$1:$1,0)-MATCH($B$1,[2]quests!$1:$1,0)+1,FALSE)</f>
        <v>オイラーチャレンジ</v>
      </c>
      <c r="D20" s="69" t="str">
        <f ca="1">VLOOKUP($B20,OFFSET([2]quests!$A$1,0,0,COUNTA([2]quests!$A:$A),MATCH(D$1,[2]quests!$1:$1,0)-MATCH($B$1,[2]quests!$1:$1,0)+1),MATCH(D$1,[2]quests!$1:$1,0)-MATCH($B$1,[2]quests!$1:$1,0)+1,FALSE)</f>
        <v>ランキング1（再開催版）</v>
      </c>
      <c r="E20" s="73">
        <v>1</v>
      </c>
      <c r="F20" s="69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0" s="69" t="str">
        <f ca="1">VLOOKUP($B20&amp;"_"&amp;$E20,OFFSET([2]stages!$A$1,0,0,COUNTA([2]stages!$A:$A),MATCH(G$1,[2]stages!$2:$2,0)-MATCH("temp_stage",[2]stages!$2:$2,0)+1),MATCH(G$1,[2]stages!$2:$2,0)-MATCH("temp_stage",[2]stages!$2:$2,0)+1,FALSE)</f>
        <v>ランキング1（再開催版）</v>
      </c>
      <c r="H20" s="71">
        <v>0</v>
      </c>
      <c r="I20">
        <v>23</v>
      </c>
      <c r="J20" s="70" t="s">
        <v>249</v>
      </c>
      <c r="K20" s="80" t="str">
        <f>VLOOKUP(I20,[6]stage_hints!$A:$C,3,FALSE)</f>
        <v>フィーバーで一発逆転（その2）</v>
      </c>
      <c r="L20" s="81" t="str">
        <f>VLOOKUP(I20,[6]stage_hints!$A:$D,4,FALSE)</f>
        <v>フィーバー中は虹色のボムパネルを狙って_x000D_画面上のパネルを一気に破壊しましょう</v>
      </c>
      <c r="M20" s="45" t="s">
        <v>443</v>
      </c>
    </row>
    <row r="21" spans="1:13" x14ac:dyDescent="0.15">
      <c r="A21" s="67" t="s">
        <v>191</v>
      </c>
      <c r="B21" s="68">
        <v>60013</v>
      </c>
      <c r="C21" s="69" t="str">
        <f ca="1">VLOOKUP($B21,OFFSET([2]quests!$A$1,0,0,COUNTA([2]quests!$A:$A),MATCH(C$1,[2]quests!$1:$1,0)-MATCH($B$1,[2]quests!$1:$1,0)+1),MATCH(C$1,[2]quests!$1:$1,0)-MATCH($B$1,[2]quests!$1:$1,0)+1,FALSE)</f>
        <v>オイラーチャレンジ</v>
      </c>
      <c r="D21" s="69" t="str">
        <f ca="1">VLOOKUP($B21,OFFSET([2]quests!$A$1,0,0,COUNTA([2]quests!$A:$A),MATCH(D$1,[2]quests!$1:$1,0)-MATCH($B$1,[2]quests!$1:$1,0)+1),MATCH(D$1,[2]quests!$1:$1,0)-MATCH($B$1,[2]quests!$1:$1,0)+1,FALSE)</f>
        <v>ランキング1（再開催版）</v>
      </c>
      <c r="E21" s="73">
        <v>1</v>
      </c>
      <c r="F21" s="69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1" s="69" t="str">
        <f ca="1">VLOOKUP($B21&amp;"_"&amp;$E21,OFFSET([2]stages!$A$1,0,0,COUNTA([2]stages!$A:$A),MATCH(G$1,[2]stages!$2:$2,0)-MATCH("temp_stage",[2]stages!$2:$2,0)+1),MATCH(G$1,[2]stages!$2:$2,0)-MATCH("temp_stage",[2]stages!$2:$2,0)+1,FALSE)</f>
        <v>ランキング1（再開催版）</v>
      </c>
      <c r="H21" s="71">
        <v>0</v>
      </c>
      <c r="I21">
        <v>24</v>
      </c>
      <c r="J21" s="70" t="s">
        <v>249</v>
      </c>
      <c r="K21" s="80" t="str">
        <f>VLOOKUP(I21,[6]stage_hints!$A:$C,3,FALSE)</f>
        <v>りんごを使って限界突破</v>
      </c>
      <c r="L21" s="81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45" t="s">
        <v>443</v>
      </c>
    </row>
    <row r="22" spans="1:13" x14ac:dyDescent="0.15">
      <c r="A22" s="67" t="s">
        <v>191</v>
      </c>
      <c r="B22" s="68">
        <v>60013</v>
      </c>
      <c r="C22" s="69" t="str">
        <f ca="1">VLOOKUP($B22,OFFSET([2]quests!$A$1,0,0,COUNTA([2]quests!$A:$A),MATCH(C$1,[2]quests!$1:$1,0)-MATCH($B$1,[2]quests!$1:$1,0)+1),MATCH(C$1,[2]quests!$1:$1,0)-MATCH($B$1,[2]quests!$1:$1,0)+1,FALSE)</f>
        <v>オイラーチャレンジ</v>
      </c>
      <c r="D22" s="69" t="str">
        <f ca="1">VLOOKUP($B22,OFFSET([2]quests!$A$1,0,0,COUNTA([2]quests!$A:$A),MATCH(D$1,[2]quests!$1:$1,0)-MATCH($B$1,[2]quests!$1:$1,0)+1),MATCH(D$1,[2]quests!$1:$1,0)-MATCH($B$1,[2]quests!$1:$1,0)+1,FALSE)</f>
        <v>ランキング1（再開催版）</v>
      </c>
      <c r="E22" s="73">
        <v>1</v>
      </c>
      <c r="F22" s="69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2" s="69" t="str">
        <f ca="1">VLOOKUP($B22&amp;"_"&amp;$E22,OFFSET([2]stages!$A$1,0,0,COUNTA([2]stages!$A:$A),MATCH(G$1,[2]stages!$2:$2,0)-MATCH("temp_stage",[2]stages!$2:$2,0)+1),MATCH(G$1,[2]stages!$2:$2,0)-MATCH("temp_stage",[2]stages!$2:$2,0)+1,FALSE)</f>
        <v>ランキング1（再開催版）</v>
      </c>
      <c r="H22" s="71">
        <v>0</v>
      </c>
      <c r="I22">
        <v>25</v>
      </c>
      <c r="J22" s="70" t="s">
        <v>249</v>
      </c>
      <c r="K22" s="80" t="str">
        <f>VLOOKUP(I22,[6]stage_hints!$A:$C,3,FALSE)</f>
        <v>スキルレベルアップ</v>
      </c>
      <c r="L22" s="81" t="str">
        <f>VLOOKUP(I22,[6]stage_hints!$A:$D,4,FALSE)</f>
        <v>「クリスタルのりんご」を強化に使うと_x000D_スキルレベルを上げることができます</v>
      </c>
      <c r="M22" s="45" t="s">
        <v>443</v>
      </c>
    </row>
    <row r="23" spans="1:13" x14ac:dyDescent="0.15">
      <c r="A23" s="67" t="s">
        <v>191</v>
      </c>
      <c r="B23" s="68">
        <v>60013</v>
      </c>
      <c r="C23" s="69" t="str">
        <f ca="1">VLOOKUP($B23,OFFSET([2]quests!$A$1,0,0,COUNTA([2]quests!$A:$A),MATCH(C$1,[2]quests!$1:$1,0)-MATCH($B$1,[2]quests!$1:$1,0)+1),MATCH(C$1,[2]quests!$1:$1,0)-MATCH($B$1,[2]quests!$1:$1,0)+1,FALSE)</f>
        <v>オイラーチャレンジ</v>
      </c>
      <c r="D23" s="69" t="str">
        <f ca="1">VLOOKUP($B23,OFFSET([2]quests!$A$1,0,0,COUNTA([2]quests!$A:$A),MATCH(D$1,[2]quests!$1:$1,0)-MATCH($B$1,[2]quests!$1:$1,0)+1),MATCH(D$1,[2]quests!$1:$1,0)-MATCH($B$1,[2]quests!$1:$1,0)+1,FALSE)</f>
        <v>ランキング1（再開催版）</v>
      </c>
      <c r="E23" s="73">
        <v>1</v>
      </c>
      <c r="F23" s="69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3" s="69" t="str">
        <f ca="1">VLOOKUP($B23&amp;"_"&amp;$E23,OFFSET([2]stages!$A$1,0,0,COUNTA([2]stages!$A:$A),MATCH(G$1,[2]stages!$2:$2,0)-MATCH("temp_stage",[2]stages!$2:$2,0)+1),MATCH(G$1,[2]stages!$2:$2,0)-MATCH("temp_stage",[2]stages!$2:$2,0)+1,FALSE)</f>
        <v>ランキング1（再開催版）</v>
      </c>
      <c r="H23" s="71">
        <v>0</v>
      </c>
      <c r="I23">
        <v>26</v>
      </c>
      <c r="J23" s="70" t="s">
        <v>249</v>
      </c>
      <c r="K23" s="80" t="str">
        <f>VLOOKUP(I23,[6]stage_hints!$A:$C,3,FALSE)</f>
        <v>スキルレベルの効果</v>
      </c>
      <c r="L23" s="81" t="str">
        <f>VLOOKUP(I23,[6]stage_hints!$A:$D,4,FALSE)</f>
        <v>スキルレベルが上がると_x000D_短いターンでスキルを使うことができます</v>
      </c>
      <c r="M23" s="45" t="s">
        <v>443</v>
      </c>
    </row>
    <row r="24" spans="1:13" x14ac:dyDescent="0.15">
      <c r="A24" s="67" t="s">
        <v>191</v>
      </c>
      <c r="B24" s="68">
        <v>60013</v>
      </c>
      <c r="C24" s="69" t="str">
        <f ca="1">VLOOKUP($B24,OFFSET([2]quests!$A$1,0,0,COUNTA([2]quests!$A:$A),MATCH(C$1,[2]quests!$1:$1,0)-MATCH($B$1,[2]quests!$1:$1,0)+1),MATCH(C$1,[2]quests!$1:$1,0)-MATCH($B$1,[2]quests!$1:$1,0)+1,FALSE)</f>
        <v>オイラーチャレンジ</v>
      </c>
      <c r="D24" s="69" t="str">
        <f ca="1">VLOOKUP($B24,OFFSET([2]quests!$A$1,0,0,COUNTA([2]quests!$A:$A),MATCH(D$1,[2]quests!$1:$1,0)-MATCH($B$1,[2]quests!$1:$1,0)+1),MATCH(D$1,[2]quests!$1:$1,0)-MATCH($B$1,[2]quests!$1:$1,0)+1,FALSE)</f>
        <v>ランキング1（再開催版）</v>
      </c>
      <c r="E24" s="73">
        <v>1</v>
      </c>
      <c r="F24" s="69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4" s="69" t="str">
        <f ca="1">VLOOKUP($B24&amp;"_"&amp;$E24,OFFSET([2]stages!$A$1,0,0,COUNTA([2]stages!$A:$A),MATCH(G$1,[2]stages!$2:$2,0)-MATCH("temp_stage",[2]stages!$2:$2,0)+1),MATCH(G$1,[2]stages!$2:$2,0)-MATCH("temp_stage",[2]stages!$2:$2,0)+1,FALSE)</f>
        <v>ランキング1（再開催版）</v>
      </c>
      <c r="H24" s="71">
        <v>0</v>
      </c>
      <c r="I24">
        <v>27</v>
      </c>
      <c r="J24" s="70" t="s">
        <v>249</v>
      </c>
      <c r="K24" s="80" t="str">
        <f>VLOOKUP(I24,[6]stage_hints!$A:$C,3,FALSE)</f>
        <v>ホーム画面からデッキを編成</v>
      </c>
      <c r="L24" s="81" t="str">
        <f>VLOOKUP(I24,[6]stage_hints!$A:$D,4,FALSE)</f>
        <v>ホーム画面でユニットを長押しすると_x000D_すぐにパーティ編成に移動できます</v>
      </c>
      <c r="M24" s="45" t="s">
        <v>443</v>
      </c>
    </row>
    <row r="25" spans="1:13" x14ac:dyDescent="0.15">
      <c r="A25" s="67" t="s">
        <v>191</v>
      </c>
      <c r="B25" s="68">
        <v>60013</v>
      </c>
      <c r="C25" s="69" t="str">
        <f ca="1">VLOOKUP($B25,OFFSET([2]quests!$A$1,0,0,COUNTA([2]quests!$A:$A),MATCH(C$1,[2]quests!$1:$1,0)-MATCH($B$1,[2]quests!$1:$1,0)+1),MATCH(C$1,[2]quests!$1:$1,0)-MATCH($B$1,[2]quests!$1:$1,0)+1,FALSE)</f>
        <v>オイラーチャレンジ</v>
      </c>
      <c r="D25" s="69" t="str">
        <f ca="1">VLOOKUP($B25,OFFSET([2]quests!$A$1,0,0,COUNTA([2]quests!$A:$A),MATCH(D$1,[2]quests!$1:$1,0)-MATCH($B$1,[2]quests!$1:$1,0)+1),MATCH(D$1,[2]quests!$1:$1,0)-MATCH($B$1,[2]quests!$1:$1,0)+1,FALSE)</f>
        <v>ランキング1（再開催版）</v>
      </c>
      <c r="E25" s="73">
        <v>1</v>
      </c>
      <c r="F25" s="69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5" s="69" t="str">
        <f ca="1">VLOOKUP($B25&amp;"_"&amp;$E25,OFFSET([2]stages!$A$1,0,0,COUNTA([2]stages!$A:$A),MATCH(G$1,[2]stages!$2:$2,0)-MATCH("temp_stage",[2]stages!$2:$2,0)+1),MATCH(G$1,[2]stages!$2:$2,0)-MATCH("temp_stage",[2]stages!$2:$2,0)+1,FALSE)</f>
        <v>ランキング1（再開催版）</v>
      </c>
      <c r="H25" s="71">
        <v>0</v>
      </c>
      <c r="I25">
        <v>28</v>
      </c>
      <c r="J25" s="70" t="s">
        <v>249</v>
      </c>
      <c r="K25" s="80" t="str">
        <f>VLOOKUP(I25,[6]stage_hints!$A:$C,3,FALSE)</f>
        <v>ステータス情報は長押しで</v>
      </c>
      <c r="L25" s="81" t="str">
        <f>VLOOKUP(I25,[6]stage_hints!$A:$D,4,FALSE)</f>
        <v>ユニットのアイコンを長押しすると_x000D_ステータス情報を確認することができます</v>
      </c>
      <c r="M25" s="45" t="s">
        <v>443</v>
      </c>
    </row>
    <row r="26" spans="1:13" x14ac:dyDescent="0.15">
      <c r="A26" s="67" t="s">
        <v>191</v>
      </c>
      <c r="B26" s="68">
        <v>60013</v>
      </c>
      <c r="C26" s="69" t="str">
        <f ca="1">VLOOKUP($B26,OFFSET([2]quests!$A$1,0,0,COUNTA([2]quests!$A:$A),MATCH(C$1,[2]quests!$1:$1,0)-MATCH($B$1,[2]quests!$1:$1,0)+1),MATCH(C$1,[2]quests!$1:$1,0)-MATCH($B$1,[2]quests!$1:$1,0)+1,FALSE)</f>
        <v>オイラーチャレンジ</v>
      </c>
      <c r="D26" s="69" t="str">
        <f ca="1">VLOOKUP($B26,OFFSET([2]quests!$A$1,0,0,COUNTA([2]quests!$A:$A),MATCH(D$1,[2]quests!$1:$1,0)-MATCH($B$1,[2]quests!$1:$1,0)+1),MATCH(D$1,[2]quests!$1:$1,0)-MATCH($B$1,[2]quests!$1:$1,0)+1,FALSE)</f>
        <v>ランキング1（再開催版）</v>
      </c>
      <c r="E26" s="73">
        <v>1</v>
      </c>
      <c r="F26" s="69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6" s="69" t="str">
        <f ca="1">VLOOKUP($B26&amp;"_"&amp;$E26,OFFSET([2]stages!$A$1,0,0,COUNTA([2]stages!$A:$A),MATCH(G$1,[2]stages!$2:$2,0)-MATCH("temp_stage",[2]stages!$2:$2,0)+1),MATCH(G$1,[2]stages!$2:$2,0)-MATCH("temp_stage",[2]stages!$2:$2,0)+1,FALSE)</f>
        <v>ランキング1（再開催版）</v>
      </c>
      <c r="H26" s="71">
        <v>0</v>
      </c>
      <c r="I26">
        <v>29</v>
      </c>
      <c r="J26" s="70" t="s">
        <v>249</v>
      </c>
      <c r="K26" s="80" t="str">
        <f>VLOOKUP(I26,[6]stage_hints!$A:$C,3,FALSE)</f>
        <v>「バグ」のメリット</v>
      </c>
      <c r="L26" s="81" t="str">
        <f>VLOOKUP(I26,[6]stage_hints!$A:$D,4,FALSE)</f>
        <v>ユニットの「バグ」を増やすと_x000D_報酬をもらえる確率がアップします</v>
      </c>
      <c r="M26" s="45" t="s">
        <v>443</v>
      </c>
    </row>
    <row r="27" spans="1:13" x14ac:dyDescent="0.15">
      <c r="A27" s="67" t="s">
        <v>191</v>
      </c>
      <c r="B27" s="68">
        <v>60013</v>
      </c>
      <c r="C27" s="69" t="str">
        <f ca="1">VLOOKUP($B27,OFFSET([2]quests!$A$1,0,0,COUNTA([2]quests!$A:$A),MATCH(C$1,[2]quests!$1:$1,0)-MATCH($B$1,[2]quests!$1:$1,0)+1),MATCH(C$1,[2]quests!$1:$1,0)-MATCH($B$1,[2]quests!$1:$1,0)+1,FALSE)</f>
        <v>オイラーチャレンジ</v>
      </c>
      <c r="D27" s="69" t="str">
        <f ca="1">VLOOKUP($B27,OFFSET([2]quests!$A$1,0,0,COUNTA([2]quests!$A:$A),MATCH(D$1,[2]quests!$1:$1,0)-MATCH($B$1,[2]quests!$1:$1,0)+1),MATCH(D$1,[2]quests!$1:$1,0)-MATCH($B$1,[2]quests!$1:$1,0)+1,FALSE)</f>
        <v>ランキング1（再開催版）</v>
      </c>
      <c r="E27" s="73">
        <v>1</v>
      </c>
      <c r="F27" s="69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7" s="69" t="str">
        <f ca="1">VLOOKUP($B27&amp;"_"&amp;$E27,OFFSET([2]stages!$A$1,0,0,COUNTA([2]stages!$A:$A),MATCH(G$1,[2]stages!$2:$2,0)-MATCH("temp_stage",[2]stages!$2:$2,0)+1),MATCH(G$1,[2]stages!$2:$2,0)-MATCH("temp_stage",[2]stages!$2:$2,0)+1,FALSE)</f>
        <v>ランキング1（再開催版）</v>
      </c>
      <c r="H27" s="71">
        <v>0</v>
      </c>
      <c r="I27">
        <v>30</v>
      </c>
      <c r="J27" s="70" t="s">
        <v>249</v>
      </c>
      <c r="K27" s="80" t="str">
        <f>VLOOKUP(I27,[6]stage_hints!$A:$C,3,FALSE)</f>
        <v>「バグ」の増やし方</v>
      </c>
      <c r="L27" s="81" t="str">
        <f>VLOOKUP(I27,[6]stage_hints!$A:$D,4,FALSE)</f>
        <v>同じユニット同士を強化で合成すると_x000D_「バグ」を増やすことができます</v>
      </c>
      <c r="M27" s="45" t="s">
        <v>443</v>
      </c>
    </row>
    <row r="28" spans="1:13" x14ac:dyDescent="0.15">
      <c r="A28" s="67" t="s">
        <v>191</v>
      </c>
      <c r="B28" s="68">
        <v>60013</v>
      </c>
      <c r="C28" s="69" t="str">
        <f ca="1">VLOOKUP($B28,OFFSET([2]quests!$A$1,0,0,COUNTA([2]quests!$A:$A),MATCH(C$1,[2]quests!$1:$1,0)-MATCH($B$1,[2]quests!$1:$1,0)+1),MATCH(C$1,[2]quests!$1:$1,0)-MATCH($B$1,[2]quests!$1:$1,0)+1,FALSE)</f>
        <v>オイラーチャレンジ</v>
      </c>
      <c r="D28" s="69" t="str">
        <f ca="1">VLOOKUP($B28,OFFSET([2]quests!$A$1,0,0,COUNTA([2]quests!$A:$A),MATCH(D$1,[2]quests!$1:$1,0)-MATCH($B$1,[2]quests!$1:$1,0)+1),MATCH(D$1,[2]quests!$1:$1,0)-MATCH($B$1,[2]quests!$1:$1,0)+1,FALSE)</f>
        <v>ランキング1（再開催版）</v>
      </c>
      <c r="E28" s="73">
        <v>1</v>
      </c>
      <c r="F28" s="69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8" s="69" t="str">
        <f ca="1">VLOOKUP($B28&amp;"_"&amp;$E28,OFFSET([2]stages!$A$1,0,0,COUNTA([2]stages!$A:$A),MATCH(G$1,[2]stages!$2:$2,0)-MATCH("temp_stage",[2]stages!$2:$2,0)+1),MATCH(G$1,[2]stages!$2:$2,0)-MATCH("temp_stage",[2]stages!$2:$2,0)+1,FALSE)</f>
        <v>ランキング1（再開催版）</v>
      </c>
      <c r="H28" s="71">
        <v>0</v>
      </c>
      <c r="I28">
        <v>31</v>
      </c>
      <c r="J28" s="70" t="s">
        <v>249</v>
      </c>
      <c r="K28" s="80" t="str">
        <f>VLOOKUP(I28,[6]stage_hints!$A:$C,3,FALSE)</f>
        <v>イベントはお知らせでチェック</v>
      </c>
      <c r="L28" s="81" t="str">
        <f>VLOOKUP(I28,[6]stage_hints!$A:$D,4,FALSE)</f>
        <v>イベント限定ユニットを取り忘れないように_x000D_お知らせをこまめにチェックしましょう</v>
      </c>
      <c r="M28" s="45" t="s">
        <v>443</v>
      </c>
    </row>
    <row r="29" spans="1:13" x14ac:dyDescent="0.15">
      <c r="A29" s="67" t="s">
        <v>191</v>
      </c>
      <c r="B29" s="68">
        <v>60013</v>
      </c>
      <c r="C29" s="69" t="str">
        <f ca="1">VLOOKUP($B29,OFFSET([2]quests!$A$1,0,0,COUNTA([2]quests!$A:$A),MATCH(C$1,[2]quests!$1:$1,0)-MATCH($B$1,[2]quests!$1:$1,0)+1),MATCH(C$1,[2]quests!$1:$1,0)-MATCH($B$1,[2]quests!$1:$1,0)+1,FALSE)</f>
        <v>オイラーチャレンジ</v>
      </c>
      <c r="D29" s="69" t="str">
        <f ca="1">VLOOKUP($B29,OFFSET([2]quests!$A$1,0,0,COUNTA([2]quests!$A:$A),MATCH(D$1,[2]quests!$1:$1,0)-MATCH($B$1,[2]quests!$1:$1,0)+1),MATCH(D$1,[2]quests!$1:$1,0)-MATCH($B$1,[2]quests!$1:$1,0)+1,FALSE)</f>
        <v>ランキング1（再開催版）</v>
      </c>
      <c r="E29" s="73">
        <v>1</v>
      </c>
      <c r="F29" s="69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9" s="69" t="str">
        <f ca="1">VLOOKUP($B29&amp;"_"&amp;$E29,OFFSET([2]stages!$A$1,0,0,COUNTA([2]stages!$A:$A),MATCH(G$1,[2]stages!$2:$2,0)-MATCH("temp_stage",[2]stages!$2:$2,0)+1),MATCH(G$1,[2]stages!$2:$2,0)-MATCH("temp_stage",[2]stages!$2:$2,0)+1,FALSE)</f>
        <v>ランキング1（再開催版）</v>
      </c>
      <c r="H29" s="71">
        <v>0</v>
      </c>
      <c r="I29">
        <v>32</v>
      </c>
      <c r="J29" s="70" t="s">
        <v>249</v>
      </c>
      <c r="K29" s="80" t="str">
        <f>VLOOKUP(I29,[6]stage_hints!$A:$C,3,FALSE)</f>
        <v>敵の連続攻撃には</v>
      </c>
      <c r="L29" s="81" t="str">
        <f>VLOOKUP(I29,[6]stage_hints!$A:$D,4,FALSE)</f>
        <v>カウンタースキルを持つユニットがいれば_x000D_ダメージ回数分の反撃ができます</v>
      </c>
      <c r="M29" s="45" t="s">
        <v>443</v>
      </c>
    </row>
    <row r="30" spans="1:13" x14ac:dyDescent="0.15">
      <c r="A30" s="67" t="s">
        <v>191</v>
      </c>
      <c r="B30" s="68">
        <v>60013</v>
      </c>
      <c r="C30" s="69" t="str">
        <f ca="1">VLOOKUP($B30,OFFSET([2]quests!$A$1,0,0,COUNTA([2]quests!$A:$A),MATCH(C$1,[2]quests!$1:$1,0)-MATCH($B$1,[2]quests!$1:$1,0)+1),MATCH(C$1,[2]quests!$1:$1,0)-MATCH($B$1,[2]quests!$1:$1,0)+1,FALSE)</f>
        <v>オイラーチャレンジ</v>
      </c>
      <c r="D30" s="69" t="str">
        <f ca="1">VLOOKUP($B30,OFFSET([2]quests!$A$1,0,0,COUNTA([2]quests!$A:$A),MATCH(D$1,[2]quests!$1:$1,0)-MATCH($B$1,[2]quests!$1:$1,0)+1),MATCH(D$1,[2]quests!$1:$1,0)-MATCH($B$1,[2]quests!$1:$1,0)+1,FALSE)</f>
        <v>ランキング1（再開催版）</v>
      </c>
      <c r="E30" s="73">
        <v>1</v>
      </c>
      <c r="F30" s="69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0" s="69" t="str">
        <f ca="1">VLOOKUP($B30&amp;"_"&amp;$E30,OFFSET([2]stages!$A$1,0,0,COUNTA([2]stages!$A:$A),MATCH(G$1,[2]stages!$2:$2,0)-MATCH("temp_stage",[2]stages!$2:$2,0)+1),MATCH(G$1,[2]stages!$2:$2,0)-MATCH("temp_stage",[2]stages!$2:$2,0)+1,FALSE)</f>
        <v>ランキング1（再開催版）</v>
      </c>
      <c r="H30" s="71">
        <v>0</v>
      </c>
      <c r="I30">
        <v>33</v>
      </c>
      <c r="J30" s="70" t="s">
        <v>249</v>
      </c>
      <c r="K30" s="80" t="str">
        <f>VLOOKUP(I30,[6]stage_hints!$A:$C,3,FALSE)</f>
        <v>敵のカウンター攻撃には</v>
      </c>
      <c r="L30" s="81" t="str">
        <f>VLOOKUP(I30,[6]stage_hints!$A:$D,4,FALSE)</f>
        <v>カウンターブレイクスキルを持っていれば_x000D_敵のカウンターを解除して攻撃ができます</v>
      </c>
      <c r="M30" s="45" t="s">
        <v>443</v>
      </c>
    </row>
    <row r="31" spans="1:13" x14ac:dyDescent="0.15">
      <c r="A31" s="67" t="s">
        <v>191</v>
      </c>
      <c r="B31" s="68">
        <v>60013</v>
      </c>
      <c r="C31" s="69" t="str">
        <f ca="1">VLOOKUP($B31,OFFSET([2]quests!$A$1,0,0,COUNTA([2]quests!$A:$A),MATCH(C$1,[2]quests!$1:$1,0)-MATCH($B$1,[2]quests!$1:$1,0)+1),MATCH(C$1,[2]quests!$1:$1,0)-MATCH($B$1,[2]quests!$1:$1,0)+1,FALSE)</f>
        <v>オイラーチャレンジ</v>
      </c>
      <c r="D31" s="69" t="str">
        <f ca="1">VLOOKUP($B31,OFFSET([2]quests!$A$1,0,0,COUNTA([2]quests!$A:$A),MATCH(D$1,[2]quests!$1:$1,0)-MATCH($B$1,[2]quests!$1:$1,0)+1),MATCH(D$1,[2]quests!$1:$1,0)-MATCH($B$1,[2]quests!$1:$1,0)+1,FALSE)</f>
        <v>ランキング1（再開催版）</v>
      </c>
      <c r="E31" s="73">
        <v>1</v>
      </c>
      <c r="F31" s="69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1" s="69" t="str">
        <f ca="1">VLOOKUP($B31&amp;"_"&amp;$E31,OFFSET([2]stages!$A$1,0,0,COUNTA([2]stages!$A:$A),MATCH(G$1,[2]stages!$2:$2,0)-MATCH("temp_stage",[2]stages!$2:$2,0)+1),MATCH(G$1,[2]stages!$2:$2,0)-MATCH("temp_stage",[2]stages!$2:$2,0)+1,FALSE)</f>
        <v>ランキング1（再開催版）</v>
      </c>
      <c r="H31" s="71">
        <v>0</v>
      </c>
      <c r="I31">
        <v>34</v>
      </c>
      <c r="J31" s="70" t="s">
        <v>249</v>
      </c>
      <c r="K31" s="80" t="str">
        <f>VLOOKUP(I31,[6]stage_hints!$A:$C,3,FALSE)</f>
        <v>ステータスをスキルで下げられたら</v>
      </c>
      <c r="L31" s="81" t="str">
        <f>VLOOKUP(I31,[6]stage_hints!$A:$D,4,FALSE)</f>
        <v>ステータスダウンのスキルを受けたら_x000D_ステータスアップスキルで上書きしましょう</v>
      </c>
      <c r="M31" s="45" t="s">
        <v>443</v>
      </c>
    </row>
    <row r="32" spans="1:13" x14ac:dyDescent="0.15">
      <c r="A32" s="67" t="s">
        <v>191</v>
      </c>
      <c r="B32" s="68">
        <v>60013</v>
      </c>
      <c r="C32" s="69" t="str">
        <f ca="1">VLOOKUP($B32,OFFSET([2]quests!$A$1,0,0,COUNTA([2]quests!$A:$A),MATCH(C$1,[2]quests!$1:$1,0)-MATCH($B$1,[2]quests!$1:$1,0)+1),MATCH(C$1,[2]quests!$1:$1,0)-MATCH($B$1,[2]quests!$1:$1,0)+1,FALSE)</f>
        <v>オイラーチャレンジ</v>
      </c>
      <c r="D32" s="69" t="str">
        <f ca="1">VLOOKUP($B32,OFFSET([2]quests!$A$1,0,0,COUNTA([2]quests!$A:$A),MATCH(D$1,[2]quests!$1:$1,0)-MATCH($B$1,[2]quests!$1:$1,0)+1),MATCH(D$1,[2]quests!$1:$1,0)-MATCH($B$1,[2]quests!$1:$1,0)+1,FALSE)</f>
        <v>ランキング1（再開催版）</v>
      </c>
      <c r="E32" s="73">
        <v>1</v>
      </c>
      <c r="F32" s="69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2" s="69" t="str">
        <f ca="1">VLOOKUP($B32&amp;"_"&amp;$E32,OFFSET([2]stages!$A$1,0,0,COUNTA([2]stages!$A:$A),MATCH(G$1,[2]stages!$2:$2,0)-MATCH("temp_stage",[2]stages!$2:$2,0)+1),MATCH(G$1,[2]stages!$2:$2,0)-MATCH("temp_stage",[2]stages!$2:$2,0)+1,FALSE)</f>
        <v>ランキング1（再開催版）</v>
      </c>
      <c r="H32" s="71">
        <v>0</v>
      </c>
      <c r="I32">
        <v>35</v>
      </c>
      <c r="J32" s="70" t="s">
        <v>450</v>
      </c>
      <c r="K32" s="80" t="str">
        <f>VLOOKUP(I32,[6]stage_hints!$A:$C,3,FALSE)</f>
        <v>敵のステータスがスキルで上がったら</v>
      </c>
      <c r="L32" s="81" t="str">
        <f>VLOOKUP(I32,[6]stage_hints!$A:$D,4,FALSE)</f>
        <v>敵のステータスがスキルでアップしたときは_x000D_ステータスダウンスキルで上書きしましょう</v>
      </c>
      <c r="M32" s="45" t="s">
        <v>451</v>
      </c>
    </row>
    <row r="33" spans="1:13" x14ac:dyDescent="0.15">
      <c r="A33" s="67" t="s">
        <v>191</v>
      </c>
      <c r="B33" s="68">
        <v>60013</v>
      </c>
      <c r="C33" s="69" t="str">
        <f ca="1">VLOOKUP($B33,OFFSET([2]quests!$A$1,0,0,COUNTA([2]quests!$A:$A),MATCH(C$1,[2]quests!$1:$1,0)-MATCH($B$1,[2]quests!$1:$1,0)+1),MATCH(C$1,[2]quests!$1:$1,0)-MATCH($B$1,[2]quests!$1:$1,0)+1,FALSE)</f>
        <v>オイラーチャレンジ</v>
      </c>
      <c r="D33" s="69" t="str">
        <f ca="1">VLOOKUP($B33,OFFSET([2]quests!$A$1,0,0,COUNTA([2]quests!$A:$A),MATCH(D$1,[2]quests!$1:$1,0)-MATCH($B$1,[2]quests!$1:$1,0)+1),MATCH(D$1,[2]quests!$1:$1,0)-MATCH($B$1,[2]quests!$1:$1,0)+1,FALSE)</f>
        <v>ランキング1（再開催版）</v>
      </c>
      <c r="E33" s="73">
        <v>1</v>
      </c>
      <c r="F33" s="69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3" s="69" t="str">
        <f ca="1">VLOOKUP($B33&amp;"_"&amp;$E33,OFFSET([2]stages!$A$1,0,0,COUNTA([2]stages!$A:$A),MATCH(G$1,[2]stages!$2:$2,0)-MATCH("temp_stage",[2]stages!$2:$2,0)+1),MATCH(G$1,[2]stages!$2:$2,0)-MATCH("temp_stage",[2]stages!$2:$2,0)+1,FALSE)</f>
        <v>ランキング1（再開催版）</v>
      </c>
      <c r="H33" s="71">
        <v>0</v>
      </c>
      <c r="I33">
        <v>39</v>
      </c>
      <c r="J33" s="70" t="s">
        <v>450</v>
      </c>
      <c r="K33" s="80" t="str">
        <f>VLOOKUP(I33,[6]stage_hints!$A:$C,3,FALSE)</f>
        <v>システム適合者を確認</v>
      </c>
      <c r="L33" s="81" t="str">
        <f>VLOOKUP(I33,[6]stage_hints!$A:$D,4,FALSE)</f>
        <v>ALICEが 「アナタ」を呼んでいます</v>
      </c>
      <c r="M33" s="45" t="s">
        <v>451</v>
      </c>
    </row>
    <row r="34" spans="1:13" x14ac:dyDescent="0.15">
      <c r="A34" s="67" t="s">
        <v>191</v>
      </c>
      <c r="B34" s="68">
        <v>60013</v>
      </c>
      <c r="C34" s="69" t="str">
        <f ca="1">VLOOKUP($B34,OFFSET([2]quests!$A$1,0,0,COUNTA([2]quests!$A:$A),MATCH(C$1,[2]quests!$1:$1,0)-MATCH($B$1,[2]quests!$1:$1,0)+1),MATCH(C$1,[2]quests!$1:$1,0)-MATCH($B$1,[2]quests!$1:$1,0)+1,FALSE)</f>
        <v>オイラーチャレンジ</v>
      </c>
      <c r="D34" s="69" t="str">
        <f ca="1">VLOOKUP($B34,OFFSET([2]quests!$A$1,0,0,COUNTA([2]quests!$A:$A),MATCH(D$1,[2]quests!$1:$1,0)-MATCH($B$1,[2]quests!$1:$1,0)+1),MATCH(D$1,[2]quests!$1:$1,0)-MATCH($B$1,[2]quests!$1:$1,0)+1,FALSE)</f>
        <v>ランキング1（再開催版）</v>
      </c>
      <c r="E34" s="73">
        <v>2</v>
      </c>
      <c r="F34" s="69" t="str">
        <f ca="1">VLOOKUP($B34&amp;"_"&amp;$E34,OFFSET([2]stages!$A$1,0,0,COUNTA([2]stages!$A:$A),MATCH(F$1,[2]stages!$2:$2,0)-MATCH("temp_stage",[2]stages!$2:$2,0)+1),MATCH(F$1,[2]stages!$2:$2,0)-MATCH("temp_stage",[2]stages!$2:$2,0)+1,FALSE)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4" s="69" t="str">
        <f ca="1">VLOOKUP($B34&amp;"_"&amp;$E34,OFFSET([2]stages!$A$1,0,0,COUNTA([2]stages!$A:$A),MATCH(G$1,[2]stages!$2:$2,0)-MATCH("temp_stage",[2]stages!$2:$2,0)+1),MATCH(G$1,[2]stages!$2:$2,0)-MATCH("temp_stage",[2]stages!$2:$2,0)+1,FALSE)</f>
        <v>ランキング1（再開催版）</v>
      </c>
      <c r="H34" s="71">
        <v>0</v>
      </c>
      <c r="I34">
        <v>12</v>
      </c>
      <c r="J34" s="70" t="s">
        <v>249</v>
      </c>
      <c r="K34" s="80" t="str">
        <f>VLOOKUP(I34,[6]stage_hints!$A:$C,3,FALSE)</f>
        <v>ユニットのお気に入り登録</v>
      </c>
      <c r="L34" s="81" t="str">
        <f>VLOOKUP(I34,[6]stage_hints!$A:$D,4,FALSE)</f>
        <v>大事なユニットを誤って消さないように_x000D_フォルダから「お気に入り登録」しましょう</v>
      </c>
      <c r="M34" s="45" t="s">
        <v>443</v>
      </c>
    </row>
    <row r="35" spans="1:13" x14ac:dyDescent="0.15">
      <c r="A35" s="67" t="s">
        <v>191</v>
      </c>
      <c r="B35" s="68">
        <v>60013</v>
      </c>
      <c r="C35" s="69" t="str">
        <f ca="1">VLOOKUP($B35,OFFSET([2]quests!$A$1,0,0,COUNTA([2]quests!$A:$A),MATCH(C$1,[2]quests!$1:$1,0)-MATCH($B$1,[2]quests!$1:$1,0)+1),MATCH(C$1,[2]quests!$1:$1,0)-MATCH($B$1,[2]quests!$1:$1,0)+1,FALSE)</f>
        <v>オイラーチャレンジ</v>
      </c>
      <c r="D35" s="69" t="str">
        <f ca="1">VLOOKUP($B35,OFFSET([2]quests!$A$1,0,0,COUNTA([2]quests!$A:$A),MATCH(D$1,[2]quests!$1:$1,0)-MATCH($B$1,[2]quests!$1:$1,0)+1),MATCH(D$1,[2]quests!$1:$1,0)-MATCH($B$1,[2]quests!$1:$1,0)+1,FALSE)</f>
        <v>ランキング1（再開催版）</v>
      </c>
      <c r="E35" s="73">
        <v>2</v>
      </c>
      <c r="F35" s="69" t="str">
        <f ca="1">VLOOKUP($B35&amp;"_"&amp;$E35,OFFSET([2]stages!$A$1,0,0,COUNTA([2]stages!$A:$A),MATCH(F$1,[2]stages!$2:$2,0)-MATCH("temp_stage",[2]stages!$2:$2,0)+1),MATCH(F$1,[2]stages!$2:$2,0)-MATCH("temp_stage",[2]stages!$2:$2,0)+1,FALSE)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5" s="69" t="str">
        <f ca="1">VLOOKUP($B35&amp;"_"&amp;$E35,OFFSET([2]stages!$A$1,0,0,COUNTA([2]stages!$A:$A),MATCH(G$1,[2]stages!$2:$2,0)-MATCH("temp_stage",[2]stages!$2:$2,0)+1),MATCH(G$1,[2]stages!$2:$2,0)-MATCH("temp_stage",[2]stages!$2:$2,0)+1,FALSE)</f>
        <v>ランキング1（再開催版）</v>
      </c>
      <c r="H35" s="71">
        <v>0</v>
      </c>
      <c r="I35">
        <v>17</v>
      </c>
      <c r="J35" s="70" t="s">
        <v>249</v>
      </c>
      <c r="K35" s="80" t="str">
        <f>VLOOKUP(I35,[6]stage_hints!$A:$C,3,FALSE)</f>
        <v>リンクガチャ</v>
      </c>
      <c r="L35" s="81" t="str">
        <f>VLOOKUP(I35,[6]stage_hints!$A:$D,4,FALSE)</f>
        <v>無料のリンクガチャを回して_x000D_経験値素材や売却素材を獲得しましょう</v>
      </c>
      <c r="M35" s="45" t="s">
        <v>443</v>
      </c>
    </row>
    <row r="36" spans="1:13" x14ac:dyDescent="0.15">
      <c r="A36" s="67" t="s">
        <v>191</v>
      </c>
      <c r="B36" s="68">
        <v>60013</v>
      </c>
      <c r="C36" s="69" t="str">
        <f ca="1">VLOOKUP($B36,OFFSET([2]quests!$A$1,0,0,COUNTA([2]quests!$A:$A),MATCH(C$1,[2]quests!$1:$1,0)-MATCH($B$1,[2]quests!$1:$1,0)+1),MATCH(C$1,[2]quests!$1:$1,0)-MATCH($B$1,[2]quests!$1:$1,0)+1,FALSE)</f>
        <v>オイラーチャレンジ</v>
      </c>
      <c r="D36" s="69" t="str">
        <f ca="1">VLOOKUP($B36,OFFSET([2]quests!$A$1,0,0,COUNTA([2]quests!$A:$A),MATCH(D$1,[2]quests!$1:$1,0)-MATCH($B$1,[2]quests!$1:$1,0)+1),MATCH(D$1,[2]quests!$1:$1,0)-MATCH($B$1,[2]quests!$1:$1,0)+1,FALSE)</f>
        <v>ランキング1（再開催版）</v>
      </c>
      <c r="E36" s="73">
        <v>2</v>
      </c>
      <c r="F36" s="69" t="str">
        <f ca="1">VLOOKUP($B36&amp;"_"&amp;$E36,OFFSET([2]stages!$A$1,0,0,COUNTA([2]stages!$A:$A),MATCH(F$1,[2]stages!$2:$2,0)-MATCH("temp_stage",[2]stages!$2:$2,0)+1),MATCH(F$1,[2]stages!$2:$2,0)-MATCH("temp_stage",[2]stages!$2:$2,0)+1,FALSE)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6" s="69" t="str">
        <f ca="1">VLOOKUP($B36&amp;"_"&amp;$E36,OFFSET([2]stages!$A$1,0,0,COUNTA([2]stages!$A:$A),MATCH(G$1,[2]stages!$2:$2,0)-MATCH("temp_stage",[2]stages!$2:$2,0)+1),MATCH(G$1,[2]stages!$2:$2,0)-MATCH("temp_stage",[2]stages!$2:$2,0)+1,FALSE)</f>
        <v>ランキング1（再開催版）</v>
      </c>
      <c r="H36" s="71">
        <v>0</v>
      </c>
      <c r="I36">
        <v>19</v>
      </c>
      <c r="J36" s="70" t="s">
        <v>249</v>
      </c>
      <c r="K36" s="80" t="str">
        <f>VLOOKUP(I36,[6]stage_hints!$A:$C,3,FALSE)</f>
        <v>ソロ専用タワーオブザクイーン</v>
      </c>
      <c r="L36" s="81" t="str">
        <f>VLOOKUP(I36,[6]stage_hints!$A:$D,4,FALSE)</f>
        <v>ソロ専用の「タワーオブザクイーン」は_x000D_期間限定で定期的に開催されます_x000D_ここでしか獲得できない報酬もあるようです</v>
      </c>
      <c r="M36" s="45" t="s">
        <v>443</v>
      </c>
    </row>
    <row r="37" spans="1:13" x14ac:dyDescent="0.15">
      <c r="A37" s="67" t="s">
        <v>191</v>
      </c>
      <c r="B37" s="68">
        <v>60013</v>
      </c>
      <c r="C37" s="69" t="str">
        <f ca="1">VLOOKUP($B37,OFFSET([2]quests!$A$1,0,0,COUNTA([2]quests!$A:$A),MATCH(C$1,[2]quests!$1:$1,0)-MATCH($B$1,[2]quests!$1:$1,0)+1),MATCH(C$1,[2]quests!$1:$1,0)-MATCH($B$1,[2]quests!$1:$1,0)+1,FALSE)</f>
        <v>オイラーチャレンジ</v>
      </c>
      <c r="D37" s="69" t="str">
        <f ca="1">VLOOKUP($B37,OFFSET([2]quests!$A$1,0,0,COUNTA([2]quests!$A:$A),MATCH(D$1,[2]quests!$1:$1,0)-MATCH($B$1,[2]quests!$1:$1,0)+1),MATCH(D$1,[2]quests!$1:$1,0)-MATCH($B$1,[2]quests!$1:$1,0)+1,FALSE)</f>
        <v>ランキング1（再開催版）</v>
      </c>
      <c r="E37" s="73">
        <v>2</v>
      </c>
      <c r="F37" s="69" t="str">
        <f ca="1">VLOOKUP($B37&amp;"_"&amp;$E37,OFFSET([2]stages!$A$1,0,0,COUNTA([2]stages!$A:$A),MATCH(F$1,[2]stages!$2:$2,0)-MATCH("temp_stage",[2]stages!$2:$2,0)+1),MATCH(F$1,[2]stages!$2:$2,0)-MATCH("temp_stage",[2]stages!$2:$2,0)+1,FALSE)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7" s="69" t="str">
        <f ca="1">VLOOKUP($B37&amp;"_"&amp;$E37,OFFSET([2]stages!$A$1,0,0,COUNTA([2]stages!$A:$A),MATCH(G$1,[2]stages!$2:$2,0)-MATCH("temp_stage",[2]stages!$2:$2,0)+1),MATCH(G$1,[2]stages!$2:$2,0)-MATCH("temp_stage",[2]stages!$2:$2,0)+1,FALSE)</f>
        <v>ランキング1（再開催版）</v>
      </c>
      <c r="H37" s="71">
        <v>0</v>
      </c>
      <c r="I37">
        <v>21</v>
      </c>
      <c r="J37" s="70" t="s">
        <v>448</v>
      </c>
      <c r="K37" s="80" t="str">
        <f>VLOOKUP(I37,[6]stage_hints!$A:$C,3,FALSE)</f>
        <v>スキルを有効に</v>
      </c>
      <c r="L37" s="81" t="str">
        <f>VLOOKUP(I37,[6]stage_hints!$A:$D,4,FALSE)</f>
        <v>ターン経過でユニットのスキルが使えます_x000D_強力スキルでバトルを有利に進めましょう</v>
      </c>
      <c r="M37" s="45" t="s">
        <v>443</v>
      </c>
    </row>
    <row r="38" spans="1:13" x14ac:dyDescent="0.15">
      <c r="A38" s="67" t="s">
        <v>191</v>
      </c>
      <c r="B38" s="68">
        <v>60013</v>
      </c>
      <c r="C38" s="69" t="str">
        <f ca="1">VLOOKUP($B38,OFFSET([2]quests!$A$1,0,0,COUNTA([2]quests!$A:$A),MATCH(C$1,[2]quests!$1:$1,0)-MATCH($B$1,[2]quests!$1:$1,0)+1),MATCH(C$1,[2]quests!$1:$1,0)-MATCH($B$1,[2]quests!$1:$1,0)+1,FALSE)</f>
        <v>オイラーチャレンジ</v>
      </c>
      <c r="D38" s="69" t="str">
        <f ca="1">VLOOKUP($B38,OFFSET([2]quests!$A$1,0,0,COUNTA([2]quests!$A:$A),MATCH(D$1,[2]quests!$1:$1,0)-MATCH($B$1,[2]quests!$1:$1,0)+1),MATCH(D$1,[2]quests!$1:$1,0)-MATCH($B$1,[2]quests!$1:$1,0)+1,FALSE)</f>
        <v>ランキング1（再開催版）</v>
      </c>
      <c r="E38" s="73">
        <v>2</v>
      </c>
      <c r="F38" s="69" t="str">
        <f ca="1">VLOOKUP($B38&amp;"_"&amp;$E38,OFFSET([2]stages!$A$1,0,0,COUNTA([2]stages!$A:$A),MATCH(F$1,[2]stages!$2:$2,0)-MATCH("temp_stage",[2]stages!$2:$2,0)+1),MATCH(F$1,[2]stages!$2:$2,0)-MATCH("temp_stage",[2]stages!$2:$2,0)+1,FALSE)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8" s="69" t="str">
        <f ca="1">VLOOKUP($B38&amp;"_"&amp;$E38,OFFSET([2]stages!$A$1,0,0,COUNTA([2]stages!$A:$A),MATCH(G$1,[2]stages!$2:$2,0)-MATCH("temp_stage",[2]stages!$2:$2,0)+1),MATCH(G$1,[2]stages!$2:$2,0)-MATCH("temp_stage",[2]stages!$2:$2,0)+1,FALSE)</f>
        <v>ランキング1（再開催版）</v>
      </c>
      <c r="H38" s="71">
        <v>0</v>
      </c>
      <c r="I38">
        <v>27</v>
      </c>
      <c r="J38" s="70" t="s">
        <v>448</v>
      </c>
      <c r="K38" s="80" t="str">
        <f>VLOOKUP(I38,[6]stage_hints!$A:$C,3,FALSE)</f>
        <v>ホーム画面からデッキを編成</v>
      </c>
      <c r="L38" s="81" t="str">
        <f>VLOOKUP(I38,[6]stage_hints!$A:$D,4,FALSE)</f>
        <v>ホーム画面でユニットを長押しすると_x000D_すぐにパーティ編成に移動できます</v>
      </c>
      <c r="M38" s="45" t="s">
        <v>443</v>
      </c>
    </row>
    <row r="39" spans="1:13" x14ac:dyDescent="0.15">
      <c r="A39" s="67" t="s">
        <v>191</v>
      </c>
      <c r="B39" s="68">
        <v>60013</v>
      </c>
      <c r="C39" s="69" t="str">
        <f ca="1">VLOOKUP($B39,OFFSET([2]quests!$A$1,0,0,COUNTA([2]quests!$A:$A),MATCH(C$1,[2]quests!$1:$1,0)-MATCH($B$1,[2]quests!$1:$1,0)+1),MATCH(C$1,[2]quests!$1:$1,0)-MATCH($B$1,[2]quests!$1:$1,0)+1,FALSE)</f>
        <v>オイラーチャレンジ</v>
      </c>
      <c r="D39" s="69" t="str">
        <f ca="1">VLOOKUP($B39,OFFSET([2]quests!$A$1,0,0,COUNTA([2]quests!$A:$A),MATCH(D$1,[2]quests!$1:$1,0)-MATCH($B$1,[2]quests!$1:$1,0)+1),MATCH(D$1,[2]quests!$1:$1,0)-MATCH($B$1,[2]quests!$1:$1,0)+1,FALSE)</f>
        <v>ランキング1（再開催版）</v>
      </c>
      <c r="E39" s="73">
        <v>2</v>
      </c>
      <c r="F39" s="69" t="str">
        <f ca="1">VLOOKUP($B39&amp;"_"&amp;$E39,OFFSET([2]stages!$A$1,0,0,COUNTA([2]stages!$A:$A),MATCH(F$1,[2]stages!$2:$2,0)-MATCH("temp_stage",[2]stages!$2:$2,0)+1),MATCH(F$1,[2]stages!$2:$2,0)-MATCH("temp_stage",[2]stages!$2:$2,0)+1,FALSE)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9" s="69" t="str">
        <f ca="1">VLOOKUP($B39&amp;"_"&amp;$E39,OFFSET([2]stages!$A$1,0,0,COUNTA([2]stages!$A:$A),MATCH(G$1,[2]stages!$2:$2,0)-MATCH("temp_stage",[2]stages!$2:$2,0)+1),MATCH(G$1,[2]stages!$2:$2,0)-MATCH("temp_stage",[2]stages!$2:$2,0)+1,FALSE)</f>
        <v>ランキング1（再開催版）</v>
      </c>
      <c r="H39" s="71">
        <v>0</v>
      </c>
      <c r="I39">
        <v>28</v>
      </c>
      <c r="J39" s="70" t="s">
        <v>249</v>
      </c>
      <c r="K39" s="80" t="str">
        <f>VLOOKUP(I39,[6]stage_hints!$A:$C,3,FALSE)</f>
        <v>ステータス情報は長押しで</v>
      </c>
      <c r="L39" s="81" t="str">
        <f>VLOOKUP(I39,[6]stage_hints!$A:$D,4,FALSE)</f>
        <v>ユニットのアイコンを長押しすると_x000D_ステータス情報を確認することができます</v>
      </c>
      <c r="M39" s="45" t="s">
        <v>443</v>
      </c>
    </row>
    <row r="40" spans="1:13" x14ac:dyDescent="0.15">
      <c r="A40" s="67" t="s">
        <v>191</v>
      </c>
      <c r="B40" s="68">
        <v>60013</v>
      </c>
      <c r="C40" s="69" t="str">
        <f ca="1">VLOOKUP($B40,OFFSET([2]quests!$A$1,0,0,COUNTA([2]quests!$A:$A),MATCH(C$1,[2]quests!$1:$1,0)-MATCH($B$1,[2]quests!$1:$1,0)+1),MATCH(C$1,[2]quests!$1:$1,0)-MATCH($B$1,[2]quests!$1:$1,0)+1,FALSE)</f>
        <v>オイラーチャレンジ</v>
      </c>
      <c r="D40" s="69" t="str">
        <f ca="1">VLOOKUP($B40,OFFSET([2]quests!$A$1,0,0,COUNTA([2]quests!$A:$A),MATCH(D$1,[2]quests!$1:$1,0)-MATCH($B$1,[2]quests!$1:$1,0)+1),MATCH(D$1,[2]quests!$1:$1,0)-MATCH($B$1,[2]quests!$1:$1,0)+1,FALSE)</f>
        <v>ランキング1（再開催版）</v>
      </c>
      <c r="E40" s="73">
        <v>2</v>
      </c>
      <c r="F40" s="69" t="str">
        <f ca="1">VLOOKUP($B40&amp;"_"&amp;$E40,OFFSET([2]stages!$A$1,0,0,COUNTA([2]stages!$A:$A),MATCH(F$1,[2]stages!$2:$2,0)-MATCH("temp_stage",[2]stages!$2:$2,0)+1),MATCH(F$1,[2]stages!$2:$2,0)-MATCH("temp_stage",[2]stages!$2:$2,0)+1,FALSE)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0" s="69" t="str">
        <f ca="1">VLOOKUP($B40&amp;"_"&amp;$E40,OFFSET([2]stages!$A$1,0,0,COUNTA([2]stages!$A:$A),MATCH(G$1,[2]stages!$2:$2,0)-MATCH("temp_stage",[2]stages!$2:$2,0)+1),MATCH(G$1,[2]stages!$2:$2,0)-MATCH("temp_stage",[2]stages!$2:$2,0)+1,FALSE)</f>
        <v>ランキング1（再開催版）</v>
      </c>
      <c r="H40" s="71">
        <v>0</v>
      </c>
      <c r="I40">
        <v>29</v>
      </c>
      <c r="J40" s="70" t="s">
        <v>249</v>
      </c>
      <c r="K40" s="80" t="str">
        <f>VLOOKUP(I40,[6]stage_hints!$A:$C,3,FALSE)</f>
        <v>「バグ」のメリット</v>
      </c>
      <c r="L40" s="81" t="str">
        <f>VLOOKUP(I40,[6]stage_hints!$A:$D,4,FALSE)</f>
        <v>ユニットの「バグ」を増やすと_x000D_報酬をもらえる確率がアップします</v>
      </c>
      <c r="M40" s="45" t="s">
        <v>443</v>
      </c>
    </row>
    <row r="41" spans="1:13" x14ac:dyDescent="0.15">
      <c r="A41" s="67" t="s">
        <v>191</v>
      </c>
      <c r="B41" s="68">
        <v>60013</v>
      </c>
      <c r="C41" s="69" t="str">
        <f ca="1">VLOOKUP($B41,OFFSET([2]quests!$A$1,0,0,COUNTA([2]quests!$A:$A),MATCH(C$1,[2]quests!$1:$1,0)-MATCH($B$1,[2]quests!$1:$1,0)+1),MATCH(C$1,[2]quests!$1:$1,0)-MATCH($B$1,[2]quests!$1:$1,0)+1,FALSE)</f>
        <v>オイラーチャレンジ</v>
      </c>
      <c r="D41" s="69" t="str">
        <f ca="1">VLOOKUP($B41,OFFSET([2]quests!$A$1,0,0,COUNTA([2]quests!$A:$A),MATCH(D$1,[2]quests!$1:$1,0)-MATCH($B$1,[2]quests!$1:$1,0)+1),MATCH(D$1,[2]quests!$1:$1,0)-MATCH($B$1,[2]quests!$1:$1,0)+1,FALSE)</f>
        <v>ランキング1（再開催版）</v>
      </c>
      <c r="E41" s="73">
        <v>2</v>
      </c>
      <c r="F41" s="69" t="str">
        <f ca="1">VLOOKUP($B41&amp;"_"&amp;$E41,OFFSET([2]stages!$A$1,0,0,COUNTA([2]stages!$A:$A),MATCH(F$1,[2]stages!$2:$2,0)-MATCH("temp_stage",[2]stages!$2:$2,0)+1),MATCH(F$1,[2]stages!$2:$2,0)-MATCH("temp_stage",[2]stages!$2:$2,0)+1,FALSE)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1" s="69" t="str">
        <f ca="1">VLOOKUP($B41&amp;"_"&amp;$E41,OFFSET([2]stages!$A$1,0,0,COUNTA([2]stages!$A:$A),MATCH(G$1,[2]stages!$2:$2,0)-MATCH("temp_stage",[2]stages!$2:$2,0)+1),MATCH(G$1,[2]stages!$2:$2,0)-MATCH("temp_stage",[2]stages!$2:$2,0)+1,FALSE)</f>
        <v>ランキング1（再開催版）</v>
      </c>
      <c r="H41" s="71">
        <v>0</v>
      </c>
      <c r="I41">
        <v>30</v>
      </c>
      <c r="J41" s="70" t="s">
        <v>452</v>
      </c>
      <c r="K41" s="80" t="str">
        <f>VLOOKUP(I41,[6]stage_hints!$A:$C,3,FALSE)</f>
        <v>「バグ」の増やし方</v>
      </c>
      <c r="L41" s="81" t="str">
        <f>VLOOKUP(I41,[6]stage_hints!$A:$D,4,FALSE)</f>
        <v>同じユニット同士を強化で合成すると_x000D_「バグ」を増やすことができます</v>
      </c>
      <c r="M41" s="45" t="s">
        <v>443</v>
      </c>
    </row>
    <row r="42" spans="1:13" x14ac:dyDescent="0.15">
      <c r="A42" s="67" t="s">
        <v>191</v>
      </c>
      <c r="B42" s="68">
        <v>60013</v>
      </c>
      <c r="C42" s="69" t="str">
        <f ca="1">VLOOKUP($B42,OFFSET([2]quests!$A$1,0,0,COUNTA([2]quests!$A:$A),MATCH(C$1,[2]quests!$1:$1,0)-MATCH($B$1,[2]quests!$1:$1,0)+1),MATCH(C$1,[2]quests!$1:$1,0)-MATCH($B$1,[2]quests!$1:$1,0)+1,FALSE)</f>
        <v>オイラーチャレンジ</v>
      </c>
      <c r="D42" s="69" t="str">
        <f ca="1">VLOOKUP($B42,OFFSET([2]quests!$A$1,0,0,COUNTA([2]quests!$A:$A),MATCH(D$1,[2]quests!$1:$1,0)-MATCH($B$1,[2]quests!$1:$1,0)+1),MATCH(D$1,[2]quests!$1:$1,0)-MATCH($B$1,[2]quests!$1:$1,0)+1,FALSE)</f>
        <v>ランキング1（再開催版）</v>
      </c>
      <c r="E42" s="73">
        <v>2</v>
      </c>
      <c r="F42" s="69" t="str">
        <f ca="1">VLOOKUP($B42&amp;"_"&amp;$E42,OFFSET([2]stages!$A$1,0,0,COUNTA([2]stages!$A:$A),MATCH(F$1,[2]stages!$2:$2,0)-MATCH("temp_stage",[2]stages!$2:$2,0)+1),MATCH(F$1,[2]stages!$2:$2,0)-MATCH("temp_stage",[2]stages!$2:$2,0)+1,FALSE)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2" s="69" t="str">
        <f ca="1">VLOOKUP($B42&amp;"_"&amp;$E42,OFFSET([2]stages!$A$1,0,0,COUNTA([2]stages!$A:$A),MATCH(G$1,[2]stages!$2:$2,0)-MATCH("temp_stage",[2]stages!$2:$2,0)+1),MATCH(G$1,[2]stages!$2:$2,0)-MATCH("temp_stage",[2]stages!$2:$2,0)+1,FALSE)</f>
        <v>ランキング1（再開催版）</v>
      </c>
      <c r="H42" s="71">
        <v>0</v>
      </c>
      <c r="I42">
        <v>32</v>
      </c>
      <c r="J42" s="70" t="s">
        <v>249</v>
      </c>
      <c r="K42" s="80" t="str">
        <f>VLOOKUP(I42,[6]stage_hints!$A:$C,3,FALSE)</f>
        <v>敵の連続攻撃には</v>
      </c>
      <c r="L42" s="81" t="str">
        <f>VLOOKUP(I42,[6]stage_hints!$A:$D,4,FALSE)</f>
        <v>カウンタースキルを持つユニットがいれば_x000D_ダメージ回数分の反撃ができます</v>
      </c>
      <c r="M42" s="45" t="s">
        <v>443</v>
      </c>
    </row>
    <row r="43" spans="1:13" x14ac:dyDescent="0.15">
      <c r="A43" s="67" t="s">
        <v>191</v>
      </c>
      <c r="B43" s="68">
        <v>60013</v>
      </c>
      <c r="C43" s="69" t="str">
        <f ca="1">VLOOKUP($B43,OFFSET([2]quests!$A$1,0,0,COUNTA([2]quests!$A:$A),MATCH(C$1,[2]quests!$1:$1,0)-MATCH($B$1,[2]quests!$1:$1,0)+1),MATCH(C$1,[2]quests!$1:$1,0)-MATCH($B$1,[2]quests!$1:$1,0)+1,FALSE)</f>
        <v>オイラーチャレンジ</v>
      </c>
      <c r="D43" s="69" t="str">
        <f ca="1">VLOOKUP($B43,OFFSET([2]quests!$A$1,0,0,COUNTA([2]quests!$A:$A),MATCH(D$1,[2]quests!$1:$1,0)-MATCH($B$1,[2]quests!$1:$1,0)+1),MATCH(D$1,[2]quests!$1:$1,0)-MATCH($B$1,[2]quests!$1:$1,0)+1,FALSE)</f>
        <v>ランキング1（再開催版）</v>
      </c>
      <c r="E43" s="73">
        <v>2</v>
      </c>
      <c r="F43" s="69" t="str">
        <f ca="1">VLOOKUP($B43&amp;"_"&amp;$E43,OFFSET([2]stages!$A$1,0,0,COUNTA([2]stages!$A:$A),MATCH(F$1,[2]stages!$2:$2,0)-MATCH("temp_stage",[2]stages!$2:$2,0)+1),MATCH(F$1,[2]stages!$2:$2,0)-MATCH("temp_stage",[2]stages!$2:$2,0)+1,FALSE)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3" s="69" t="str">
        <f ca="1">VLOOKUP($B43&amp;"_"&amp;$E43,OFFSET([2]stages!$A$1,0,0,COUNTA([2]stages!$A:$A),MATCH(G$1,[2]stages!$2:$2,0)-MATCH("temp_stage",[2]stages!$2:$2,0)+1),MATCH(G$1,[2]stages!$2:$2,0)-MATCH("temp_stage",[2]stages!$2:$2,0)+1,FALSE)</f>
        <v>ランキング1（再開催版）</v>
      </c>
      <c r="H43" s="71">
        <v>0</v>
      </c>
      <c r="I43">
        <v>33</v>
      </c>
      <c r="J43" s="70" t="s">
        <v>249</v>
      </c>
      <c r="K43" s="80" t="str">
        <f>VLOOKUP(I43,[6]stage_hints!$A:$C,3,FALSE)</f>
        <v>敵のカウンター攻撃には</v>
      </c>
      <c r="L43" s="81" t="str">
        <f>VLOOKUP(I43,[6]stage_hints!$A:$D,4,FALSE)</f>
        <v>カウンターブレイクスキルを持っていれば_x000D_敵のカウンターを解除して攻撃ができます</v>
      </c>
      <c r="M43" s="45" t="s">
        <v>443</v>
      </c>
    </row>
    <row r="44" spans="1:13" x14ac:dyDescent="0.15">
      <c r="A44" s="67" t="s">
        <v>191</v>
      </c>
      <c r="B44" s="68">
        <v>60013</v>
      </c>
      <c r="C44" s="69" t="str">
        <f ca="1">VLOOKUP($B44,OFFSET([2]quests!$A$1,0,0,COUNTA([2]quests!$A:$A),MATCH(C$1,[2]quests!$1:$1,0)-MATCH($B$1,[2]quests!$1:$1,0)+1),MATCH(C$1,[2]quests!$1:$1,0)-MATCH($B$1,[2]quests!$1:$1,0)+1,FALSE)</f>
        <v>オイラーチャレンジ</v>
      </c>
      <c r="D44" s="69" t="str">
        <f ca="1">VLOOKUP($B44,OFFSET([2]quests!$A$1,0,0,COUNTA([2]quests!$A:$A),MATCH(D$1,[2]quests!$1:$1,0)-MATCH($B$1,[2]quests!$1:$1,0)+1),MATCH(D$1,[2]quests!$1:$1,0)-MATCH($B$1,[2]quests!$1:$1,0)+1,FALSE)</f>
        <v>ランキング1（再開催版）</v>
      </c>
      <c r="E44" s="73">
        <v>2</v>
      </c>
      <c r="F44" s="69" t="str">
        <f ca="1">VLOOKUP($B44&amp;"_"&amp;$E44,OFFSET([2]stages!$A$1,0,0,COUNTA([2]stages!$A:$A),MATCH(F$1,[2]stages!$2:$2,0)-MATCH("temp_stage",[2]stages!$2:$2,0)+1),MATCH(F$1,[2]stages!$2:$2,0)-MATCH("temp_stage",[2]stages!$2:$2,0)+1,FALSE)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4" s="69" t="str">
        <f ca="1">VLOOKUP($B44&amp;"_"&amp;$E44,OFFSET([2]stages!$A$1,0,0,COUNTA([2]stages!$A:$A),MATCH(G$1,[2]stages!$2:$2,0)-MATCH("temp_stage",[2]stages!$2:$2,0)+1),MATCH(G$1,[2]stages!$2:$2,0)-MATCH("temp_stage",[2]stages!$2:$2,0)+1,FALSE)</f>
        <v>ランキング1（再開催版）</v>
      </c>
      <c r="H44" s="71">
        <v>0</v>
      </c>
      <c r="I44">
        <v>34</v>
      </c>
      <c r="J44" s="70" t="s">
        <v>453</v>
      </c>
      <c r="K44" s="80" t="str">
        <f>VLOOKUP(I44,[6]stage_hints!$A:$C,3,FALSE)</f>
        <v>ステータスをスキルで下げられたら</v>
      </c>
      <c r="L44" s="81" t="str">
        <f>VLOOKUP(I44,[6]stage_hints!$A:$D,4,FALSE)</f>
        <v>ステータスダウンのスキルを受けたら_x000D_ステータスアップスキルで上書きしましょう</v>
      </c>
      <c r="M44" s="45" t="s">
        <v>443</v>
      </c>
    </row>
    <row r="45" spans="1:13" x14ac:dyDescent="0.15">
      <c r="A45" s="67" t="s">
        <v>191</v>
      </c>
      <c r="B45" s="68">
        <v>60013</v>
      </c>
      <c r="C45" s="69" t="str">
        <f ca="1">VLOOKUP($B45,OFFSET([2]quests!$A$1,0,0,COUNTA([2]quests!$A:$A),MATCH(C$1,[2]quests!$1:$1,0)-MATCH($B$1,[2]quests!$1:$1,0)+1),MATCH(C$1,[2]quests!$1:$1,0)-MATCH($B$1,[2]quests!$1:$1,0)+1,FALSE)</f>
        <v>オイラーチャレンジ</v>
      </c>
      <c r="D45" s="69" t="str">
        <f ca="1">VLOOKUP($B45,OFFSET([2]quests!$A$1,0,0,COUNTA([2]quests!$A:$A),MATCH(D$1,[2]quests!$1:$1,0)-MATCH($B$1,[2]quests!$1:$1,0)+1),MATCH(D$1,[2]quests!$1:$1,0)-MATCH($B$1,[2]quests!$1:$1,0)+1,FALSE)</f>
        <v>ランキング1（再開催版）</v>
      </c>
      <c r="E45" s="73">
        <v>2</v>
      </c>
      <c r="F45" s="69" t="str">
        <f ca="1">VLOOKUP($B45&amp;"_"&amp;$E45,OFFSET([2]stages!$A$1,0,0,COUNTA([2]stages!$A:$A),MATCH(F$1,[2]stages!$2:$2,0)-MATCH("temp_stage",[2]stages!$2:$2,0)+1),MATCH(F$1,[2]stages!$2:$2,0)-MATCH("temp_stage",[2]stages!$2:$2,0)+1,FALSE)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5" s="69" t="str">
        <f ca="1">VLOOKUP($B45&amp;"_"&amp;$E45,OFFSET([2]stages!$A$1,0,0,COUNTA([2]stages!$A:$A),MATCH(G$1,[2]stages!$2:$2,0)-MATCH("temp_stage",[2]stages!$2:$2,0)+1),MATCH(G$1,[2]stages!$2:$2,0)-MATCH("temp_stage",[2]stages!$2:$2,0)+1,FALSE)</f>
        <v>ランキング1（再開催版）</v>
      </c>
      <c r="H45" s="71">
        <v>0</v>
      </c>
      <c r="I45">
        <v>35</v>
      </c>
      <c r="J45" s="70" t="s">
        <v>249</v>
      </c>
      <c r="K45" s="80" t="str">
        <f>VLOOKUP(I45,[6]stage_hints!$A:$C,3,FALSE)</f>
        <v>敵のステータスがスキルで上がったら</v>
      </c>
      <c r="L45" s="81" t="str">
        <f>VLOOKUP(I45,[6]stage_hints!$A:$D,4,FALSE)</f>
        <v>敵のステータスがスキルでアップしたときは_x000D_ステータスダウンスキルで上書きしましょう</v>
      </c>
      <c r="M45" s="45" t="s">
        <v>443</v>
      </c>
    </row>
    <row r="46" spans="1:13" x14ac:dyDescent="0.15">
      <c r="A46" s="67" t="s">
        <v>191</v>
      </c>
      <c r="B46" s="68">
        <v>60013</v>
      </c>
      <c r="C46" s="69" t="str">
        <f ca="1">VLOOKUP($B46,OFFSET([2]quests!$A$1,0,0,COUNTA([2]quests!$A:$A),MATCH(C$1,[2]quests!$1:$1,0)-MATCH($B$1,[2]quests!$1:$1,0)+1),MATCH(C$1,[2]quests!$1:$1,0)-MATCH($B$1,[2]quests!$1:$1,0)+1,FALSE)</f>
        <v>オイラーチャレンジ</v>
      </c>
      <c r="D46" s="69" t="str">
        <f ca="1">VLOOKUP($B46,OFFSET([2]quests!$A$1,0,0,COUNTA([2]quests!$A:$A),MATCH(D$1,[2]quests!$1:$1,0)-MATCH($B$1,[2]quests!$1:$1,0)+1),MATCH(D$1,[2]quests!$1:$1,0)-MATCH($B$1,[2]quests!$1:$1,0)+1,FALSE)</f>
        <v>ランキング1（再開催版）</v>
      </c>
      <c r="E46" s="73">
        <v>2</v>
      </c>
      <c r="F46" s="69" t="str">
        <f ca="1">VLOOKUP($B46&amp;"_"&amp;$E46,OFFSET([2]stages!$A$1,0,0,COUNTA([2]stages!$A:$A),MATCH(F$1,[2]stages!$2:$2,0)-MATCH("temp_stage",[2]stages!$2:$2,0)+1),MATCH(F$1,[2]stages!$2:$2,0)-MATCH("temp_stage",[2]stages!$2:$2,0)+1,FALSE)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6" s="69" t="str">
        <f ca="1">VLOOKUP($B46&amp;"_"&amp;$E46,OFFSET([2]stages!$A$1,0,0,COUNTA([2]stages!$A:$A),MATCH(G$1,[2]stages!$2:$2,0)-MATCH("temp_stage",[2]stages!$2:$2,0)+1),MATCH(G$1,[2]stages!$2:$2,0)-MATCH("temp_stage",[2]stages!$2:$2,0)+1,FALSE)</f>
        <v>ランキング1（再開催版）</v>
      </c>
      <c r="H46" s="71">
        <v>0</v>
      </c>
      <c r="I46">
        <v>36</v>
      </c>
      <c r="J46" s="70" t="s">
        <v>249</v>
      </c>
      <c r="K46" s="80" t="str">
        <f>VLOOKUP(I46,[6]stage_hints!$A:$C,3,FALSE)</f>
        <v>タワーオブザクイーンのボス</v>
      </c>
      <c r="L46" s="81" t="str">
        <f>VLOOKUP(I46,[6]stage_hints!$A:$D,4,FALSE)</f>
        <v>「タワーオブザクイーン」最上階のボスは_x000D_15階の初回クリア報酬で獲得できるほか_x000D_その階にて低確率でドロップもします</v>
      </c>
      <c r="M46" s="45" t="s">
        <v>443</v>
      </c>
    </row>
    <row r="47" spans="1:13" x14ac:dyDescent="0.15">
      <c r="A47" s="67" t="s">
        <v>191</v>
      </c>
      <c r="B47" s="68">
        <v>60013</v>
      </c>
      <c r="C47" s="69" t="str">
        <f ca="1">VLOOKUP($B47,OFFSET([2]quests!$A$1,0,0,COUNTA([2]quests!$A:$A),MATCH(C$1,[2]quests!$1:$1,0)-MATCH($B$1,[2]quests!$1:$1,0)+1),MATCH(C$1,[2]quests!$1:$1,0)-MATCH($B$1,[2]quests!$1:$1,0)+1,FALSE)</f>
        <v>オイラーチャレンジ</v>
      </c>
      <c r="D47" s="69" t="str">
        <f ca="1">VLOOKUP($B47,OFFSET([2]quests!$A$1,0,0,COUNTA([2]quests!$A:$A),MATCH(D$1,[2]quests!$1:$1,0)-MATCH($B$1,[2]quests!$1:$1,0)+1),MATCH(D$1,[2]quests!$1:$1,0)-MATCH($B$1,[2]quests!$1:$1,0)+1,FALSE)</f>
        <v>ランキング1（再開催版）</v>
      </c>
      <c r="E47" s="73">
        <v>2</v>
      </c>
      <c r="F47" s="69" t="str">
        <f ca="1">VLOOKUP($B47&amp;"_"&amp;$E47,OFFSET([2]stages!$A$1,0,0,COUNTA([2]stages!$A:$A),MATCH(F$1,[2]stages!$2:$2,0)-MATCH("temp_stage",[2]stages!$2:$2,0)+1),MATCH(F$1,[2]stages!$2:$2,0)-MATCH("temp_stage",[2]stages!$2:$2,0)+1,FALSE)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7" s="69" t="str">
        <f ca="1">VLOOKUP($B47&amp;"_"&amp;$E47,OFFSET([2]stages!$A$1,0,0,COUNTA([2]stages!$A:$A),MATCH(G$1,[2]stages!$2:$2,0)-MATCH("temp_stage",[2]stages!$2:$2,0)+1),MATCH(G$1,[2]stages!$2:$2,0)-MATCH("temp_stage",[2]stages!$2:$2,0)+1,FALSE)</f>
        <v>ランキング1（再開催版）</v>
      </c>
      <c r="H47" s="71">
        <v>0</v>
      </c>
      <c r="I47">
        <v>37</v>
      </c>
      <c r="J47" s="70" t="s">
        <v>249</v>
      </c>
      <c r="K47" s="80" t="str">
        <f>VLOOKUP(I47,[6]stage_hints!$A:$C,3,FALSE)</f>
        <v>限界突破値の引き継ぎ</v>
      </c>
      <c r="L47" s="81" t="str">
        <f>VLOOKUP(I47,[6]stage_hints!$A:$D,4,FALSE)</f>
        <v>同じユニットを強化で合成すると_x000D_限界突破値を引き継げます（覚醒前後も可）</v>
      </c>
      <c r="M47" s="45" t="s">
        <v>443</v>
      </c>
    </row>
    <row r="48" spans="1:13" x14ac:dyDescent="0.15">
      <c r="A48" s="67" t="s">
        <v>191</v>
      </c>
      <c r="B48" s="68">
        <v>60013</v>
      </c>
      <c r="C48" s="69" t="str">
        <f ca="1">VLOOKUP($B48,OFFSET([2]quests!$A$1,0,0,COUNTA([2]quests!$A:$A),MATCH(C$1,[2]quests!$1:$1,0)-MATCH($B$1,[2]quests!$1:$1,0)+1),MATCH(C$1,[2]quests!$1:$1,0)-MATCH($B$1,[2]quests!$1:$1,0)+1,FALSE)</f>
        <v>オイラーチャレンジ</v>
      </c>
      <c r="D48" s="69" t="str">
        <f ca="1">VLOOKUP($B48,OFFSET([2]quests!$A$1,0,0,COUNTA([2]quests!$A:$A),MATCH(D$1,[2]quests!$1:$1,0)-MATCH($B$1,[2]quests!$1:$1,0)+1),MATCH(D$1,[2]quests!$1:$1,0)-MATCH($B$1,[2]quests!$1:$1,0)+1,FALSE)</f>
        <v>ランキング1（再開催版）</v>
      </c>
      <c r="E48" s="73">
        <v>2</v>
      </c>
      <c r="F48" s="69" t="str">
        <f ca="1">VLOOKUP($B48&amp;"_"&amp;$E48,OFFSET([2]stages!$A$1,0,0,COUNTA([2]stages!$A:$A),MATCH(F$1,[2]stages!$2:$2,0)-MATCH("temp_stage",[2]stages!$2:$2,0)+1),MATCH(F$1,[2]stages!$2:$2,0)-MATCH("temp_stage",[2]stages!$2:$2,0)+1,FALSE)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8" s="69" t="str">
        <f ca="1">VLOOKUP($B48&amp;"_"&amp;$E48,OFFSET([2]stages!$A$1,0,0,COUNTA([2]stages!$A:$A),MATCH(G$1,[2]stages!$2:$2,0)-MATCH("temp_stage",[2]stages!$2:$2,0)+1),MATCH(G$1,[2]stages!$2:$2,0)-MATCH("temp_stage",[2]stages!$2:$2,0)+1,FALSE)</f>
        <v>ランキング1（再開催版）</v>
      </c>
      <c r="H48" s="71">
        <v>0</v>
      </c>
      <c r="I48">
        <v>39</v>
      </c>
      <c r="J48" s="70" t="s">
        <v>249</v>
      </c>
      <c r="K48" s="80" t="str">
        <f>VLOOKUP(I48,[6]stage_hints!$A:$C,3,FALSE)</f>
        <v>システム適合者を確認</v>
      </c>
      <c r="L48" s="81" t="str">
        <f>VLOOKUP(I48,[6]stage_hints!$A:$D,4,FALSE)</f>
        <v>ALICEが 「アナタ」を呼んでいます</v>
      </c>
      <c r="M48" s="45" t="s">
        <v>443</v>
      </c>
    </row>
    <row r="49" spans="1:13" x14ac:dyDescent="0.15">
      <c r="A49" s="67" t="s">
        <v>191</v>
      </c>
      <c r="B49" s="68">
        <v>60013</v>
      </c>
      <c r="C49" s="69" t="str">
        <f ca="1">VLOOKUP($B49,OFFSET([2]quests!$A$1,0,0,COUNTA([2]quests!$A:$A),MATCH(C$1,[2]quests!$1:$1,0)-MATCH($B$1,[2]quests!$1:$1,0)+1),MATCH(C$1,[2]quests!$1:$1,0)-MATCH($B$1,[2]quests!$1:$1,0)+1,FALSE)</f>
        <v>オイラーチャレンジ</v>
      </c>
      <c r="D49" s="69" t="str">
        <f ca="1">VLOOKUP($B49,OFFSET([2]quests!$A$1,0,0,COUNTA([2]quests!$A:$A),MATCH(D$1,[2]quests!$1:$1,0)-MATCH($B$1,[2]quests!$1:$1,0)+1),MATCH(D$1,[2]quests!$1:$1,0)-MATCH($B$1,[2]quests!$1:$1,0)+1,FALSE)</f>
        <v>ランキング1（再開催版）</v>
      </c>
      <c r="E49" s="73">
        <v>3</v>
      </c>
      <c r="F49" s="69" t="str">
        <f ca="1">VLOOKUP($B49&amp;"_"&amp;$E49,OFFSET([2]stages!$A$1,0,0,COUNTA([2]stages!$A:$A),MATCH(F$1,[2]stages!$2:$2,0)-MATCH("temp_stage",[2]stages!$2:$2,0)+1),MATCH(F$1,[2]stages!$2:$2,0)-MATCH("temp_stage",[2]stages!$2:$2,0)+1,FALSE)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49" s="69" t="str">
        <f ca="1">VLOOKUP($B49&amp;"_"&amp;$E49,OFFSET([2]stages!$A$1,0,0,COUNTA([2]stages!$A:$A),MATCH(G$1,[2]stages!$2:$2,0)-MATCH("temp_stage",[2]stages!$2:$2,0)+1),MATCH(G$1,[2]stages!$2:$2,0)-MATCH("temp_stage",[2]stages!$2:$2,0)+1,FALSE)</f>
        <v>ランキング1（再開催版）</v>
      </c>
      <c r="H49" s="71">
        <v>0</v>
      </c>
      <c r="I49">
        <v>12</v>
      </c>
      <c r="J49" s="70" t="s">
        <v>249</v>
      </c>
      <c r="K49" s="80" t="str">
        <f>VLOOKUP(I49,[6]stage_hints!$A:$C,3,FALSE)</f>
        <v>ユニットのお気に入り登録</v>
      </c>
      <c r="L49" s="81" t="str">
        <f>VLOOKUP(I49,[6]stage_hints!$A:$D,4,FALSE)</f>
        <v>大事なユニットを誤って消さないように_x000D_フォルダから「お気に入り登録」しましょう</v>
      </c>
      <c r="M49" s="45" t="s">
        <v>443</v>
      </c>
    </row>
    <row r="50" spans="1:13" x14ac:dyDescent="0.15">
      <c r="A50" s="67" t="s">
        <v>191</v>
      </c>
      <c r="B50" s="68">
        <v>60013</v>
      </c>
      <c r="C50" s="69" t="str">
        <f ca="1">VLOOKUP($B50,OFFSET([2]quests!$A$1,0,0,COUNTA([2]quests!$A:$A),MATCH(C$1,[2]quests!$1:$1,0)-MATCH($B$1,[2]quests!$1:$1,0)+1),MATCH(C$1,[2]quests!$1:$1,0)-MATCH($B$1,[2]quests!$1:$1,0)+1,FALSE)</f>
        <v>オイラーチャレンジ</v>
      </c>
      <c r="D50" s="69" t="str">
        <f ca="1">VLOOKUP($B50,OFFSET([2]quests!$A$1,0,0,COUNTA([2]quests!$A:$A),MATCH(D$1,[2]quests!$1:$1,0)-MATCH($B$1,[2]quests!$1:$1,0)+1),MATCH(D$1,[2]quests!$1:$1,0)-MATCH($B$1,[2]quests!$1:$1,0)+1,FALSE)</f>
        <v>ランキング1（再開催版）</v>
      </c>
      <c r="E50" s="73">
        <v>3</v>
      </c>
      <c r="F50" s="69" t="str">
        <f ca="1">VLOOKUP($B50&amp;"_"&amp;$E50,OFFSET([2]stages!$A$1,0,0,COUNTA([2]stages!$A:$A),MATCH(F$1,[2]stages!$2:$2,0)-MATCH("temp_stage",[2]stages!$2:$2,0)+1),MATCH(F$1,[2]stages!$2:$2,0)-MATCH("temp_stage",[2]stages!$2:$2,0)+1,FALSE)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0" s="69" t="str">
        <f ca="1">VLOOKUP($B50&amp;"_"&amp;$E50,OFFSET([2]stages!$A$1,0,0,COUNTA([2]stages!$A:$A),MATCH(G$1,[2]stages!$2:$2,0)-MATCH("temp_stage",[2]stages!$2:$2,0)+1),MATCH(G$1,[2]stages!$2:$2,0)-MATCH("temp_stage",[2]stages!$2:$2,0)+1,FALSE)</f>
        <v>ランキング1（再開催版）</v>
      </c>
      <c r="H50" s="71">
        <v>0</v>
      </c>
      <c r="I50">
        <v>17</v>
      </c>
      <c r="J50" s="70" t="s">
        <v>249</v>
      </c>
      <c r="K50" s="80" t="str">
        <f>VLOOKUP(I50,[6]stage_hints!$A:$C,3,FALSE)</f>
        <v>リンクガチャ</v>
      </c>
      <c r="L50" s="81" t="str">
        <f>VLOOKUP(I50,[6]stage_hints!$A:$D,4,FALSE)</f>
        <v>無料のリンクガチャを回して_x000D_経験値素材や売却素材を獲得しましょう</v>
      </c>
      <c r="M50" s="45" t="s">
        <v>444</v>
      </c>
    </row>
    <row r="51" spans="1:13" x14ac:dyDescent="0.15">
      <c r="A51" s="67" t="s">
        <v>191</v>
      </c>
      <c r="B51" s="68">
        <v>60013</v>
      </c>
      <c r="C51" s="69" t="str">
        <f ca="1">VLOOKUP($B51,OFFSET([2]quests!$A$1,0,0,COUNTA([2]quests!$A:$A),MATCH(C$1,[2]quests!$1:$1,0)-MATCH($B$1,[2]quests!$1:$1,0)+1),MATCH(C$1,[2]quests!$1:$1,0)-MATCH($B$1,[2]quests!$1:$1,0)+1,FALSE)</f>
        <v>オイラーチャレンジ</v>
      </c>
      <c r="D51" s="69" t="str">
        <f ca="1">VLOOKUP($B51,OFFSET([2]quests!$A$1,0,0,COUNTA([2]quests!$A:$A),MATCH(D$1,[2]quests!$1:$1,0)-MATCH($B$1,[2]quests!$1:$1,0)+1),MATCH(D$1,[2]quests!$1:$1,0)-MATCH($B$1,[2]quests!$1:$1,0)+1,FALSE)</f>
        <v>ランキング1（再開催版）</v>
      </c>
      <c r="E51" s="73">
        <v>3</v>
      </c>
      <c r="F51" s="69" t="str">
        <f ca="1">VLOOKUP($B51&amp;"_"&amp;$E51,OFFSET([2]stages!$A$1,0,0,COUNTA([2]stages!$A:$A),MATCH(F$1,[2]stages!$2:$2,0)-MATCH("temp_stage",[2]stages!$2:$2,0)+1),MATCH(F$1,[2]stages!$2:$2,0)-MATCH("temp_stage",[2]stages!$2:$2,0)+1,FALSE)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1" s="69" t="str">
        <f ca="1">VLOOKUP($B51&amp;"_"&amp;$E51,OFFSET([2]stages!$A$1,0,0,COUNTA([2]stages!$A:$A),MATCH(G$1,[2]stages!$2:$2,0)-MATCH("temp_stage",[2]stages!$2:$2,0)+1),MATCH(G$1,[2]stages!$2:$2,0)-MATCH("temp_stage",[2]stages!$2:$2,0)+1,FALSE)</f>
        <v>ランキング1（再開催版）</v>
      </c>
      <c r="H51" s="71">
        <v>0</v>
      </c>
      <c r="I51">
        <v>19</v>
      </c>
      <c r="J51" s="70" t="s">
        <v>397</v>
      </c>
      <c r="K51" s="80" t="str">
        <f>VLOOKUP(I51,[6]stage_hints!$A:$C,3,FALSE)</f>
        <v>ソロ専用タワーオブザクイーン</v>
      </c>
      <c r="L51" s="81" t="str">
        <f>VLOOKUP(I51,[6]stage_hints!$A:$D,4,FALSE)</f>
        <v>ソロ専用の「タワーオブザクイーン」は_x000D_期間限定で定期的に開催されます_x000D_ここでしか獲得できない報酬もあるようです</v>
      </c>
      <c r="M51" s="45" t="s">
        <v>443</v>
      </c>
    </row>
    <row r="52" spans="1:13" x14ac:dyDescent="0.15">
      <c r="A52" s="67" t="s">
        <v>191</v>
      </c>
      <c r="B52" s="68">
        <v>60013</v>
      </c>
      <c r="C52" s="69" t="str">
        <f ca="1">VLOOKUP($B52,OFFSET([2]quests!$A$1,0,0,COUNTA([2]quests!$A:$A),MATCH(C$1,[2]quests!$1:$1,0)-MATCH($B$1,[2]quests!$1:$1,0)+1),MATCH(C$1,[2]quests!$1:$1,0)-MATCH($B$1,[2]quests!$1:$1,0)+1,FALSE)</f>
        <v>オイラーチャレンジ</v>
      </c>
      <c r="D52" s="69" t="str">
        <f ca="1">VLOOKUP($B52,OFFSET([2]quests!$A$1,0,0,COUNTA([2]quests!$A:$A),MATCH(D$1,[2]quests!$1:$1,0)-MATCH($B$1,[2]quests!$1:$1,0)+1),MATCH(D$1,[2]quests!$1:$1,0)-MATCH($B$1,[2]quests!$1:$1,0)+1,FALSE)</f>
        <v>ランキング1（再開催版）</v>
      </c>
      <c r="E52" s="73">
        <v>3</v>
      </c>
      <c r="F52" s="69" t="str">
        <f ca="1">VLOOKUP($B52&amp;"_"&amp;$E52,OFFSET([2]stages!$A$1,0,0,COUNTA([2]stages!$A:$A),MATCH(F$1,[2]stages!$2:$2,0)-MATCH("temp_stage",[2]stages!$2:$2,0)+1),MATCH(F$1,[2]stages!$2:$2,0)-MATCH("temp_stage",[2]stages!$2:$2,0)+1,FALSE)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2" s="69" t="str">
        <f ca="1">VLOOKUP($B52&amp;"_"&amp;$E52,OFFSET([2]stages!$A$1,0,0,COUNTA([2]stages!$A:$A),MATCH(G$1,[2]stages!$2:$2,0)-MATCH("temp_stage",[2]stages!$2:$2,0)+1),MATCH(G$1,[2]stages!$2:$2,0)-MATCH("temp_stage",[2]stages!$2:$2,0)+1,FALSE)</f>
        <v>ランキング1（再開催版）</v>
      </c>
      <c r="H52" s="71">
        <v>0</v>
      </c>
      <c r="I52">
        <v>21</v>
      </c>
      <c r="J52" s="70" t="s">
        <v>249</v>
      </c>
      <c r="K52" s="80" t="str">
        <f>VLOOKUP(I52,[6]stage_hints!$A:$C,3,FALSE)</f>
        <v>スキルを有効に</v>
      </c>
      <c r="L52" s="81" t="str">
        <f>VLOOKUP(I52,[6]stage_hints!$A:$D,4,FALSE)</f>
        <v>ターン経過でユニットのスキルが使えます_x000D_強力スキルでバトルを有利に進めましょう</v>
      </c>
      <c r="M52" s="45" t="s">
        <v>443</v>
      </c>
    </row>
    <row r="53" spans="1:13" x14ac:dyDescent="0.15">
      <c r="A53" s="67" t="s">
        <v>191</v>
      </c>
      <c r="B53" s="68">
        <v>60013</v>
      </c>
      <c r="C53" s="69" t="str">
        <f ca="1">VLOOKUP($B53,OFFSET([2]quests!$A$1,0,0,COUNTA([2]quests!$A:$A),MATCH(C$1,[2]quests!$1:$1,0)-MATCH($B$1,[2]quests!$1:$1,0)+1),MATCH(C$1,[2]quests!$1:$1,0)-MATCH($B$1,[2]quests!$1:$1,0)+1,FALSE)</f>
        <v>オイラーチャレンジ</v>
      </c>
      <c r="D53" s="69" t="str">
        <f ca="1">VLOOKUP($B53,OFFSET([2]quests!$A$1,0,0,COUNTA([2]quests!$A:$A),MATCH(D$1,[2]quests!$1:$1,0)-MATCH($B$1,[2]quests!$1:$1,0)+1),MATCH(D$1,[2]quests!$1:$1,0)-MATCH($B$1,[2]quests!$1:$1,0)+1,FALSE)</f>
        <v>ランキング1（再開催版）</v>
      </c>
      <c r="E53" s="73">
        <v>3</v>
      </c>
      <c r="F53" s="69" t="str">
        <f ca="1">VLOOKUP($B53&amp;"_"&amp;$E53,OFFSET([2]stages!$A$1,0,0,COUNTA([2]stages!$A:$A),MATCH(F$1,[2]stages!$2:$2,0)-MATCH("temp_stage",[2]stages!$2:$2,0)+1),MATCH(F$1,[2]stages!$2:$2,0)-MATCH("temp_stage",[2]stages!$2:$2,0)+1,FALSE)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3" s="69" t="str">
        <f ca="1">VLOOKUP($B53&amp;"_"&amp;$E53,OFFSET([2]stages!$A$1,0,0,COUNTA([2]stages!$A:$A),MATCH(G$1,[2]stages!$2:$2,0)-MATCH("temp_stage",[2]stages!$2:$2,0)+1),MATCH(G$1,[2]stages!$2:$2,0)-MATCH("temp_stage",[2]stages!$2:$2,0)+1,FALSE)</f>
        <v>ランキング1（再開催版）</v>
      </c>
      <c r="H53" s="71">
        <v>0</v>
      </c>
      <c r="I53">
        <v>29</v>
      </c>
      <c r="J53" s="70" t="s">
        <v>249</v>
      </c>
      <c r="K53" s="80" t="str">
        <f>VLOOKUP(I53,[6]stage_hints!$A:$C,3,FALSE)</f>
        <v>「バグ」のメリット</v>
      </c>
      <c r="L53" s="81" t="str">
        <f>VLOOKUP(I53,[6]stage_hints!$A:$D,4,FALSE)</f>
        <v>ユニットの「バグ」を増やすと_x000D_報酬をもらえる確率がアップします</v>
      </c>
      <c r="M53" s="45" t="s">
        <v>443</v>
      </c>
    </row>
    <row r="54" spans="1:13" x14ac:dyDescent="0.15">
      <c r="A54" s="67" t="s">
        <v>191</v>
      </c>
      <c r="B54" s="68">
        <v>60013</v>
      </c>
      <c r="C54" s="69" t="str">
        <f ca="1">VLOOKUP($B54,OFFSET([2]quests!$A$1,0,0,COUNTA([2]quests!$A:$A),MATCH(C$1,[2]quests!$1:$1,0)-MATCH($B$1,[2]quests!$1:$1,0)+1),MATCH(C$1,[2]quests!$1:$1,0)-MATCH($B$1,[2]quests!$1:$1,0)+1,FALSE)</f>
        <v>オイラーチャレンジ</v>
      </c>
      <c r="D54" s="69" t="str">
        <f ca="1">VLOOKUP($B54,OFFSET([2]quests!$A$1,0,0,COUNTA([2]quests!$A:$A),MATCH(D$1,[2]quests!$1:$1,0)-MATCH($B$1,[2]quests!$1:$1,0)+1),MATCH(D$1,[2]quests!$1:$1,0)-MATCH($B$1,[2]quests!$1:$1,0)+1,FALSE)</f>
        <v>ランキング1（再開催版）</v>
      </c>
      <c r="E54" s="73">
        <v>3</v>
      </c>
      <c r="F54" s="69" t="str">
        <f ca="1">VLOOKUP($B54&amp;"_"&amp;$E54,OFFSET([2]stages!$A$1,0,0,COUNTA([2]stages!$A:$A),MATCH(F$1,[2]stages!$2:$2,0)-MATCH("temp_stage",[2]stages!$2:$2,0)+1),MATCH(F$1,[2]stages!$2:$2,0)-MATCH("temp_stage",[2]stages!$2:$2,0)+1,FALSE)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4" s="69" t="str">
        <f ca="1">VLOOKUP($B54&amp;"_"&amp;$E54,OFFSET([2]stages!$A$1,0,0,COUNTA([2]stages!$A:$A),MATCH(G$1,[2]stages!$2:$2,0)-MATCH("temp_stage",[2]stages!$2:$2,0)+1),MATCH(G$1,[2]stages!$2:$2,0)-MATCH("temp_stage",[2]stages!$2:$2,0)+1,FALSE)</f>
        <v>ランキング1（再開催版）</v>
      </c>
      <c r="H54" s="71">
        <v>0</v>
      </c>
      <c r="I54">
        <v>30</v>
      </c>
      <c r="J54" s="70" t="s">
        <v>249</v>
      </c>
      <c r="K54" s="80" t="str">
        <f>VLOOKUP(I54,[6]stage_hints!$A:$C,3,FALSE)</f>
        <v>「バグ」の増やし方</v>
      </c>
      <c r="L54" s="81" t="str">
        <f>VLOOKUP(I54,[6]stage_hints!$A:$D,4,FALSE)</f>
        <v>同じユニット同士を強化で合成すると_x000D_「バグ」を増やすことができます</v>
      </c>
      <c r="M54" s="45" t="s">
        <v>443</v>
      </c>
    </row>
    <row r="55" spans="1:13" x14ac:dyDescent="0.15">
      <c r="A55" s="67" t="s">
        <v>191</v>
      </c>
      <c r="B55" s="68">
        <v>60013</v>
      </c>
      <c r="C55" s="69" t="str">
        <f ca="1">VLOOKUP($B55,OFFSET([2]quests!$A$1,0,0,COUNTA([2]quests!$A:$A),MATCH(C$1,[2]quests!$1:$1,0)-MATCH($B$1,[2]quests!$1:$1,0)+1),MATCH(C$1,[2]quests!$1:$1,0)-MATCH($B$1,[2]quests!$1:$1,0)+1,FALSE)</f>
        <v>オイラーチャレンジ</v>
      </c>
      <c r="D55" s="69" t="str">
        <f ca="1">VLOOKUP($B55,OFFSET([2]quests!$A$1,0,0,COUNTA([2]quests!$A:$A),MATCH(D$1,[2]quests!$1:$1,0)-MATCH($B$1,[2]quests!$1:$1,0)+1),MATCH(D$1,[2]quests!$1:$1,0)-MATCH($B$1,[2]quests!$1:$1,0)+1,FALSE)</f>
        <v>ランキング1（再開催版）</v>
      </c>
      <c r="E55" s="73">
        <v>3</v>
      </c>
      <c r="F55" s="69" t="str">
        <f ca="1">VLOOKUP($B55&amp;"_"&amp;$E55,OFFSET([2]stages!$A$1,0,0,COUNTA([2]stages!$A:$A),MATCH(F$1,[2]stages!$2:$2,0)-MATCH("temp_stage",[2]stages!$2:$2,0)+1),MATCH(F$1,[2]stages!$2:$2,0)-MATCH("temp_stage",[2]stages!$2:$2,0)+1,FALSE)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5" s="69" t="str">
        <f ca="1">VLOOKUP($B55&amp;"_"&amp;$E55,OFFSET([2]stages!$A$1,0,0,COUNTA([2]stages!$A:$A),MATCH(G$1,[2]stages!$2:$2,0)-MATCH("temp_stage",[2]stages!$2:$2,0)+1),MATCH(G$1,[2]stages!$2:$2,0)-MATCH("temp_stage",[2]stages!$2:$2,0)+1,FALSE)</f>
        <v>ランキング1（再開催版）</v>
      </c>
      <c r="H55" s="71">
        <v>0</v>
      </c>
      <c r="I55">
        <v>32</v>
      </c>
      <c r="J55" s="70" t="s">
        <v>249</v>
      </c>
      <c r="K55" s="80" t="str">
        <f>VLOOKUP(I55,[6]stage_hints!$A:$C,3,FALSE)</f>
        <v>敵の連続攻撃には</v>
      </c>
      <c r="L55" s="81" t="str">
        <f>VLOOKUP(I55,[6]stage_hints!$A:$D,4,FALSE)</f>
        <v>カウンタースキルを持つユニットがいれば_x000D_ダメージ回数分の反撃ができます</v>
      </c>
      <c r="M55" s="45" t="s">
        <v>443</v>
      </c>
    </row>
    <row r="56" spans="1:13" x14ac:dyDescent="0.15">
      <c r="A56" s="67" t="s">
        <v>191</v>
      </c>
      <c r="B56" s="68">
        <v>60013</v>
      </c>
      <c r="C56" s="69" t="str">
        <f ca="1">VLOOKUP($B56,OFFSET([2]quests!$A$1,0,0,COUNTA([2]quests!$A:$A),MATCH(C$1,[2]quests!$1:$1,0)-MATCH($B$1,[2]quests!$1:$1,0)+1),MATCH(C$1,[2]quests!$1:$1,0)-MATCH($B$1,[2]quests!$1:$1,0)+1,FALSE)</f>
        <v>オイラーチャレンジ</v>
      </c>
      <c r="D56" s="69" t="str">
        <f ca="1">VLOOKUP($B56,OFFSET([2]quests!$A$1,0,0,COUNTA([2]quests!$A:$A),MATCH(D$1,[2]quests!$1:$1,0)-MATCH($B$1,[2]quests!$1:$1,0)+1),MATCH(D$1,[2]quests!$1:$1,0)-MATCH($B$1,[2]quests!$1:$1,0)+1,FALSE)</f>
        <v>ランキング1（再開催版）</v>
      </c>
      <c r="E56" s="73">
        <v>3</v>
      </c>
      <c r="F56" s="69" t="str">
        <f ca="1">VLOOKUP($B56&amp;"_"&amp;$E56,OFFSET([2]stages!$A$1,0,0,COUNTA([2]stages!$A:$A),MATCH(F$1,[2]stages!$2:$2,0)-MATCH("temp_stage",[2]stages!$2:$2,0)+1),MATCH(F$1,[2]stages!$2:$2,0)-MATCH("temp_stage",[2]stages!$2:$2,0)+1,FALSE)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6" s="69" t="str">
        <f ca="1">VLOOKUP($B56&amp;"_"&amp;$E56,OFFSET([2]stages!$A$1,0,0,COUNTA([2]stages!$A:$A),MATCH(G$1,[2]stages!$2:$2,0)-MATCH("temp_stage",[2]stages!$2:$2,0)+1),MATCH(G$1,[2]stages!$2:$2,0)-MATCH("temp_stage",[2]stages!$2:$2,0)+1,FALSE)</f>
        <v>ランキング1（再開催版）</v>
      </c>
      <c r="H56" s="71">
        <v>0</v>
      </c>
      <c r="I56">
        <v>33</v>
      </c>
      <c r="J56" s="70" t="s">
        <v>249</v>
      </c>
      <c r="K56" s="80" t="str">
        <f>VLOOKUP(I56,[6]stage_hints!$A:$C,3,FALSE)</f>
        <v>敵のカウンター攻撃には</v>
      </c>
      <c r="L56" s="81" t="str">
        <f>VLOOKUP(I56,[6]stage_hints!$A:$D,4,FALSE)</f>
        <v>カウンターブレイクスキルを持っていれば_x000D_敵のカウンターを解除して攻撃ができます</v>
      </c>
      <c r="M56" s="45" t="s">
        <v>443</v>
      </c>
    </row>
    <row r="57" spans="1:13" x14ac:dyDescent="0.15">
      <c r="A57" s="67" t="s">
        <v>191</v>
      </c>
      <c r="B57" s="68">
        <v>60013</v>
      </c>
      <c r="C57" s="69" t="str">
        <f ca="1">VLOOKUP($B57,OFFSET([2]quests!$A$1,0,0,COUNTA([2]quests!$A:$A),MATCH(C$1,[2]quests!$1:$1,0)-MATCH($B$1,[2]quests!$1:$1,0)+1),MATCH(C$1,[2]quests!$1:$1,0)-MATCH($B$1,[2]quests!$1:$1,0)+1,FALSE)</f>
        <v>オイラーチャレンジ</v>
      </c>
      <c r="D57" s="69" t="str">
        <f ca="1">VLOOKUP($B57,OFFSET([2]quests!$A$1,0,0,COUNTA([2]quests!$A:$A),MATCH(D$1,[2]quests!$1:$1,0)-MATCH($B$1,[2]quests!$1:$1,0)+1),MATCH(D$1,[2]quests!$1:$1,0)-MATCH($B$1,[2]quests!$1:$1,0)+1,FALSE)</f>
        <v>ランキング1（再開催版）</v>
      </c>
      <c r="E57" s="73">
        <v>3</v>
      </c>
      <c r="F57" s="69" t="str">
        <f ca="1">VLOOKUP($B57&amp;"_"&amp;$E57,OFFSET([2]stages!$A$1,0,0,COUNTA([2]stages!$A:$A),MATCH(F$1,[2]stages!$2:$2,0)-MATCH("temp_stage",[2]stages!$2:$2,0)+1),MATCH(F$1,[2]stages!$2:$2,0)-MATCH("temp_stage",[2]stages!$2:$2,0)+1,FALSE)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7" s="69" t="str">
        <f ca="1">VLOOKUP($B57&amp;"_"&amp;$E57,OFFSET([2]stages!$A$1,0,0,COUNTA([2]stages!$A:$A),MATCH(G$1,[2]stages!$2:$2,0)-MATCH("temp_stage",[2]stages!$2:$2,0)+1),MATCH(G$1,[2]stages!$2:$2,0)-MATCH("temp_stage",[2]stages!$2:$2,0)+1,FALSE)</f>
        <v>ランキング1（再開催版）</v>
      </c>
      <c r="H57" s="71">
        <v>0</v>
      </c>
      <c r="I57">
        <v>34</v>
      </c>
      <c r="J57" s="70" t="s">
        <v>249</v>
      </c>
      <c r="K57" s="80" t="str">
        <f>VLOOKUP(I57,[6]stage_hints!$A:$C,3,FALSE)</f>
        <v>ステータスをスキルで下げられたら</v>
      </c>
      <c r="L57" s="81" t="str">
        <f>VLOOKUP(I57,[6]stage_hints!$A:$D,4,FALSE)</f>
        <v>ステータスダウンのスキルを受けたら_x000D_ステータスアップスキルで上書きしましょう</v>
      </c>
      <c r="M57" s="45" t="s">
        <v>443</v>
      </c>
    </row>
    <row r="58" spans="1:13" x14ac:dyDescent="0.15">
      <c r="A58" s="67" t="s">
        <v>191</v>
      </c>
      <c r="B58" s="68">
        <v>60013</v>
      </c>
      <c r="C58" s="69" t="str">
        <f ca="1">VLOOKUP($B58,OFFSET([2]quests!$A$1,0,0,COUNTA([2]quests!$A:$A),MATCH(C$1,[2]quests!$1:$1,0)-MATCH($B$1,[2]quests!$1:$1,0)+1),MATCH(C$1,[2]quests!$1:$1,0)-MATCH($B$1,[2]quests!$1:$1,0)+1,FALSE)</f>
        <v>オイラーチャレンジ</v>
      </c>
      <c r="D58" s="69" t="str">
        <f ca="1">VLOOKUP($B58,OFFSET([2]quests!$A$1,0,0,COUNTA([2]quests!$A:$A),MATCH(D$1,[2]quests!$1:$1,0)-MATCH($B$1,[2]quests!$1:$1,0)+1),MATCH(D$1,[2]quests!$1:$1,0)-MATCH($B$1,[2]quests!$1:$1,0)+1,FALSE)</f>
        <v>ランキング1（再開催版）</v>
      </c>
      <c r="E58" s="73">
        <v>3</v>
      </c>
      <c r="F58" s="69" t="str">
        <f ca="1">VLOOKUP($B58&amp;"_"&amp;$E58,OFFSET([2]stages!$A$1,0,0,COUNTA([2]stages!$A:$A),MATCH(F$1,[2]stages!$2:$2,0)-MATCH("temp_stage",[2]stages!$2:$2,0)+1),MATCH(F$1,[2]stages!$2:$2,0)-MATCH("temp_stage",[2]stages!$2:$2,0)+1,FALSE)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8" s="69" t="str">
        <f ca="1">VLOOKUP($B58&amp;"_"&amp;$E58,OFFSET([2]stages!$A$1,0,0,COUNTA([2]stages!$A:$A),MATCH(G$1,[2]stages!$2:$2,0)-MATCH("temp_stage",[2]stages!$2:$2,0)+1),MATCH(G$1,[2]stages!$2:$2,0)-MATCH("temp_stage",[2]stages!$2:$2,0)+1,FALSE)</f>
        <v>ランキング1（再開催版）</v>
      </c>
      <c r="H58" s="71">
        <v>0</v>
      </c>
      <c r="I58">
        <v>35</v>
      </c>
      <c r="J58" s="70" t="s">
        <v>249</v>
      </c>
      <c r="K58" s="80" t="str">
        <f>VLOOKUP(I58,[6]stage_hints!$A:$C,3,FALSE)</f>
        <v>敵のステータスがスキルで上がったら</v>
      </c>
      <c r="L58" s="81" t="str">
        <f>VLOOKUP(I58,[6]stage_hints!$A:$D,4,FALSE)</f>
        <v>敵のステータスがスキルでアップしたときは_x000D_ステータスダウンスキルで上書きしましょう</v>
      </c>
      <c r="M58" s="45" t="s">
        <v>443</v>
      </c>
    </row>
    <row r="59" spans="1:13" x14ac:dyDescent="0.15">
      <c r="A59" s="67" t="s">
        <v>191</v>
      </c>
      <c r="B59" s="68">
        <v>60013</v>
      </c>
      <c r="C59" s="69" t="str">
        <f ca="1">VLOOKUP($B59,OFFSET([2]quests!$A$1,0,0,COUNTA([2]quests!$A:$A),MATCH(C$1,[2]quests!$1:$1,0)-MATCH($B$1,[2]quests!$1:$1,0)+1),MATCH(C$1,[2]quests!$1:$1,0)-MATCH($B$1,[2]quests!$1:$1,0)+1,FALSE)</f>
        <v>オイラーチャレンジ</v>
      </c>
      <c r="D59" s="69" t="str">
        <f ca="1">VLOOKUP($B59,OFFSET([2]quests!$A$1,0,0,COUNTA([2]quests!$A:$A),MATCH(D$1,[2]quests!$1:$1,0)-MATCH($B$1,[2]quests!$1:$1,0)+1),MATCH(D$1,[2]quests!$1:$1,0)-MATCH($B$1,[2]quests!$1:$1,0)+1,FALSE)</f>
        <v>ランキング1（再開催版）</v>
      </c>
      <c r="E59" s="73">
        <v>3</v>
      </c>
      <c r="F59" s="69" t="str">
        <f ca="1">VLOOKUP($B59&amp;"_"&amp;$E59,OFFSET([2]stages!$A$1,0,0,COUNTA([2]stages!$A:$A),MATCH(F$1,[2]stages!$2:$2,0)-MATCH("temp_stage",[2]stages!$2:$2,0)+1),MATCH(F$1,[2]stages!$2:$2,0)-MATCH("temp_stage",[2]stages!$2:$2,0)+1,FALSE)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9" s="69" t="str">
        <f ca="1">VLOOKUP($B59&amp;"_"&amp;$E59,OFFSET([2]stages!$A$1,0,0,COUNTA([2]stages!$A:$A),MATCH(G$1,[2]stages!$2:$2,0)-MATCH("temp_stage",[2]stages!$2:$2,0)+1),MATCH(G$1,[2]stages!$2:$2,0)-MATCH("temp_stage",[2]stages!$2:$2,0)+1,FALSE)</f>
        <v>ランキング1（再開催版）</v>
      </c>
      <c r="H59" s="71">
        <v>0</v>
      </c>
      <c r="I59">
        <v>36</v>
      </c>
      <c r="J59" s="70" t="s">
        <v>453</v>
      </c>
      <c r="K59" s="80" t="str">
        <f>VLOOKUP(I59,[6]stage_hints!$A:$C,3,FALSE)</f>
        <v>タワーオブザクイーンのボス</v>
      </c>
      <c r="L59" s="81" t="str">
        <f>VLOOKUP(I59,[6]stage_hints!$A:$D,4,FALSE)</f>
        <v>「タワーオブザクイーン」最上階のボスは_x000D_15階の初回クリア報酬で獲得できるほか_x000D_その階にて低確率でドロップもします</v>
      </c>
      <c r="M59" s="45" t="s">
        <v>454</v>
      </c>
    </row>
    <row r="60" spans="1:13" x14ac:dyDescent="0.15">
      <c r="A60" s="67" t="s">
        <v>191</v>
      </c>
      <c r="B60" s="68">
        <v>60013</v>
      </c>
      <c r="C60" s="69" t="str">
        <f ca="1">VLOOKUP($B60,OFFSET([2]quests!$A$1,0,0,COUNTA([2]quests!$A:$A),MATCH(C$1,[2]quests!$1:$1,0)-MATCH($B$1,[2]quests!$1:$1,0)+1),MATCH(C$1,[2]quests!$1:$1,0)-MATCH($B$1,[2]quests!$1:$1,0)+1,FALSE)</f>
        <v>オイラーチャレンジ</v>
      </c>
      <c r="D60" s="69" t="str">
        <f ca="1">VLOOKUP($B60,OFFSET([2]quests!$A$1,0,0,COUNTA([2]quests!$A:$A),MATCH(D$1,[2]quests!$1:$1,0)-MATCH($B$1,[2]quests!$1:$1,0)+1),MATCH(D$1,[2]quests!$1:$1,0)-MATCH($B$1,[2]quests!$1:$1,0)+1,FALSE)</f>
        <v>ランキング1（再開催版）</v>
      </c>
      <c r="E60" s="73">
        <v>3</v>
      </c>
      <c r="F60" s="69" t="str">
        <f ca="1">VLOOKUP($B60&amp;"_"&amp;$E60,OFFSET([2]stages!$A$1,0,0,COUNTA([2]stages!$A:$A),MATCH(F$1,[2]stages!$2:$2,0)-MATCH("temp_stage",[2]stages!$2:$2,0)+1),MATCH(F$1,[2]stages!$2:$2,0)-MATCH("temp_stage",[2]stages!$2:$2,0)+1,FALSE)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60" s="69" t="str">
        <f ca="1">VLOOKUP($B60&amp;"_"&amp;$E60,OFFSET([2]stages!$A$1,0,0,COUNTA([2]stages!$A:$A),MATCH(G$1,[2]stages!$2:$2,0)-MATCH("temp_stage",[2]stages!$2:$2,0)+1),MATCH(G$1,[2]stages!$2:$2,0)-MATCH("temp_stage",[2]stages!$2:$2,0)+1,FALSE)</f>
        <v>ランキング1（再開催版）</v>
      </c>
      <c r="H60" s="71">
        <v>0</v>
      </c>
      <c r="I60">
        <v>37</v>
      </c>
      <c r="J60" s="70" t="s">
        <v>453</v>
      </c>
      <c r="K60" s="80" t="str">
        <f>VLOOKUP(I60,[6]stage_hints!$A:$C,3,FALSE)</f>
        <v>限界突破値の引き継ぎ</v>
      </c>
      <c r="L60" s="81" t="str">
        <f>VLOOKUP(I60,[6]stage_hints!$A:$D,4,FALSE)</f>
        <v>同じユニットを強化で合成すると_x000D_限界突破値を引き継げます（覚醒前後も可）</v>
      </c>
      <c r="M60" s="45" t="s">
        <v>454</v>
      </c>
    </row>
    <row r="61" spans="1:13" x14ac:dyDescent="0.15">
      <c r="A61" s="67" t="s">
        <v>191</v>
      </c>
      <c r="B61" s="68">
        <v>60013</v>
      </c>
      <c r="C61" s="69" t="str">
        <f ca="1">VLOOKUP($B61,OFFSET([2]quests!$A$1,0,0,COUNTA([2]quests!$A:$A),MATCH(C$1,[2]quests!$1:$1,0)-MATCH($B$1,[2]quests!$1:$1,0)+1),MATCH(C$1,[2]quests!$1:$1,0)-MATCH($B$1,[2]quests!$1:$1,0)+1,FALSE)</f>
        <v>オイラーチャレンジ</v>
      </c>
      <c r="D61" s="69" t="str">
        <f ca="1">VLOOKUP($B61,OFFSET([2]quests!$A$1,0,0,COUNTA([2]quests!$A:$A),MATCH(D$1,[2]quests!$1:$1,0)-MATCH($B$1,[2]quests!$1:$1,0)+1),MATCH(D$1,[2]quests!$1:$1,0)-MATCH($B$1,[2]quests!$1:$1,0)+1,FALSE)</f>
        <v>ランキング1（再開催版）</v>
      </c>
      <c r="E61" s="73">
        <v>3</v>
      </c>
      <c r="F61" s="69" t="str">
        <f ca="1">VLOOKUP($B61&amp;"_"&amp;$E61,OFFSET([2]stages!$A$1,0,0,COUNTA([2]stages!$A:$A),MATCH(F$1,[2]stages!$2:$2,0)-MATCH("temp_stage",[2]stages!$2:$2,0)+1),MATCH(F$1,[2]stages!$2:$2,0)-MATCH("temp_stage",[2]stages!$2:$2,0)+1,FALSE)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61" s="69" t="str">
        <f ca="1">VLOOKUP($B61&amp;"_"&amp;$E61,OFFSET([2]stages!$A$1,0,0,COUNTA([2]stages!$A:$A),MATCH(G$1,[2]stages!$2:$2,0)-MATCH("temp_stage",[2]stages!$2:$2,0)+1),MATCH(G$1,[2]stages!$2:$2,0)-MATCH("temp_stage",[2]stages!$2:$2,0)+1,FALSE)</f>
        <v>ランキング1（再開催版）</v>
      </c>
      <c r="H61" s="71">
        <v>0</v>
      </c>
      <c r="I61">
        <v>39</v>
      </c>
      <c r="J61" s="70" t="s">
        <v>453</v>
      </c>
      <c r="K61" s="80" t="str">
        <f>VLOOKUP(I61,[6]stage_hints!$A:$C,3,FALSE)</f>
        <v>システム適合者を確認</v>
      </c>
      <c r="L61" s="81" t="str">
        <f>VLOOKUP(I61,[6]stage_hints!$A:$D,4,FALSE)</f>
        <v>ALICEが 「アナタ」を呼んでいます</v>
      </c>
      <c r="M61" s="45" t="s">
        <v>454</v>
      </c>
    </row>
  </sheetData>
  <phoneticPr fontId="8"/>
  <dataValidations count="1">
    <dataValidation type="list" allowBlank="1" showInputMessage="1" showErrorMessage="1" sqref="A2:A6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B6" sqref="B6"/>
    </sheetView>
  </sheetViews>
  <sheetFormatPr baseColWidth="12" defaultColWidth="13" defaultRowHeight="15" outlineLevelCol="1" x14ac:dyDescent="0.15"/>
  <cols>
    <col min="1" max="1" width="13" style="75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2" t="s">
        <v>182</v>
      </c>
      <c r="B1" s="58" t="s">
        <v>147</v>
      </c>
      <c r="C1" s="63" t="s">
        <v>184</v>
      </c>
      <c r="D1" s="63" t="s">
        <v>33</v>
      </c>
      <c r="E1" s="58" t="s">
        <v>185</v>
      </c>
      <c r="F1" s="63" t="s">
        <v>18</v>
      </c>
      <c r="G1" s="63" t="s">
        <v>33</v>
      </c>
      <c r="H1" s="58" t="s">
        <v>187</v>
      </c>
      <c r="I1" s="76" t="s">
        <v>188</v>
      </c>
      <c r="J1" s="78" t="s">
        <v>189</v>
      </c>
      <c r="K1" s="65" t="s">
        <v>124</v>
      </c>
      <c r="L1" s="64" t="s">
        <v>181</v>
      </c>
      <c r="M1" s="79" t="s">
        <v>180</v>
      </c>
      <c r="N1" s="66" t="s">
        <v>190</v>
      </c>
    </row>
    <row r="2" spans="1:14" x14ac:dyDescent="0.15">
      <c r="A2" s="67"/>
      <c r="B2" s="68"/>
      <c r="C2" s="69"/>
      <c r="D2" s="69"/>
      <c r="E2" s="70"/>
      <c r="F2" s="69"/>
      <c r="G2" s="69"/>
      <c r="H2" s="71"/>
      <c r="I2" s="77"/>
      <c r="J2" s="72"/>
      <c r="K2" s="70"/>
      <c r="L2" s="73"/>
      <c r="M2" s="74"/>
      <c r="N2" s="45"/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2017-01-12T06:08:57Z</dcterms:modified>
</cp:coreProperties>
</file>