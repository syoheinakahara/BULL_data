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502010" sheetId="157" r:id="rId4"/>
    <sheet name="tables_502010" sheetId="158" r:id="rId5"/>
    <sheet name="input_502100" sheetId="153" r:id="rId6"/>
    <sheet name="tables_502100" sheetId="154" r:id="rId7"/>
    <sheet name="tables_settle_502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tables_502010!$A$1:$V$69</definedName>
    <definedName name="_xlnm._FilterDatabase" localSheetId="6" hidden="1">tables_502100!$A$1:$V$73</definedName>
    <definedName name="_xlnm._FilterDatabase" localSheetId="7" hidden="1">tables_settle_502100!$A$1:$V$37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59" l="1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2" i="159"/>
  <c r="E47" i="159"/>
  <c r="E44" i="159"/>
  <c r="M9" i="153"/>
  <c r="M8" i="153"/>
  <c r="M7" i="153"/>
  <c r="M6" i="153"/>
  <c r="M5" i="153"/>
  <c r="M4" i="153"/>
  <c r="M3" i="153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J18" i="159"/>
  <c r="D18" i="159"/>
  <c r="I19" i="159"/>
  <c r="J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2" i="159"/>
  <c r="D2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E45" i="159"/>
  <c r="F44" i="159"/>
  <c r="F45" i="159"/>
  <c r="F46" i="159"/>
  <c r="F47" i="159"/>
  <c r="A2" i="153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A38" i="159"/>
  <c r="A39" i="159"/>
  <c r="A40" i="159"/>
  <c r="A41" i="159"/>
  <c r="A42" i="159"/>
  <c r="A43" i="159"/>
  <c r="B3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B10" i="153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A2" i="157"/>
  <c r="F6" i="157"/>
  <c r="A36" i="157"/>
  <c r="E27" i="157"/>
  <c r="B27" i="157"/>
  <c r="G27" i="157"/>
  <c r="H27" i="157"/>
  <c r="O23" i="158"/>
  <c r="E6" i="157"/>
  <c r="E18" i="157"/>
  <c r="E19" i="157"/>
  <c r="B19" i="157"/>
  <c r="E24" i="157"/>
  <c r="B24" i="157"/>
  <c r="B17" i="157"/>
  <c r="B18" i="157"/>
  <c r="G18" i="157"/>
  <c r="H18" i="157"/>
  <c r="O2" i="158"/>
  <c r="O3" i="158"/>
  <c r="O4" i="158"/>
  <c r="O5" i="158"/>
  <c r="O6" i="158"/>
  <c r="E25" i="157"/>
  <c r="B25" i="157"/>
  <c r="G25" i="157"/>
  <c r="H25" i="157"/>
  <c r="E20" i="157"/>
  <c r="B20" i="157"/>
  <c r="G20" i="157"/>
  <c r="H20" i="157"/>
  <c r="O7" i="158"/>
  <c r="E26" i="157"/>
  <c r="B26" i="157"/>
  <c r="G26" i="157"/>
  <c r="H26" i="157"/>
  <c r="E23" i="157"/>
  <c r="B23" i="157"/>
  <c r="E28" i="157"/>
  <c r="B28" i="157"/>
  <c r="B21" i="157"/>
  <c r="G21" i="157"/>
  <c r="E21" i="157"/>
  <c r="H21" i="157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G28" i="157"/>
  <c r="H28" i="157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G23" i="157"/>
  <c r="H23" i="157"/>
  <c r="O39" i="158"/>
  <c r="O40" i="158"/>
  <c r="O41" i="158"/>
  <c r="O42" i="158"/>
  <c r="O43" i="158"/>
  <c r="O44" i="158"/>
  <c r="O45" i="158"/>
  <c r="O46" i="158"/>
  <c r="O47" i="158"/>
  <c r="E22" i="157"/>
  <c r="B22" i="157"/>
  <c r="G22" i="157"/>
  <c r="H22" i="157"/>
  <c r="O48" i="158"/>
  <c r="G29" i="157"/>
  <c r="H29" i="157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G31" i="157"/>
  <c r="E31" i="157"/>
  <c r="H31" i="157"/>
  <c r="R3" i="157"/>
  <c r="O68" i="158"/>
  <c r="G30" i="157"/>
  <c r="E30" i="157"/>
  <c r="H30" i="157"/>
  <c r="R4" i="157"/>
  <c r="O69" i="158"/>
  <c r="R5" i="157"/>
  <c r="O70" i="158"/>
  <c r="R6" i="157"/>
  <c r="O71" i="158"/>
  <c r="R7" i="157"/>
  <c r="O72" i="158"/>
  <c r="R8" i="157"/>
  <c r="O73" i="158"/>
  <c r="R9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G48" i="157"/>
  <c r="F42" i="157"/>
  <c r="G42" i="157"/>
  <c r="F35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F34" i="157"/>
  <c r="A36" i="153"/>
  <c r="G29" i="153"/>
  <c r="H29" i="153"/>
  <c r="J2" i="159"/>
  <c r="E2" i="159"/>
  <c r="F2" i="159"/>
  <c r="C2" i="159"/>
  <c r="G17" i="153"/>
  <c r="E17" i="153"/>
  <c r="H17" i="153"/>
  <c r="J3" i="159"/>
  <c r="E3" i="159"/>
  <c r="F3" i="159"/>
  <c r="C3" i="159"/>
  <c r="G18" i="153"/>
  <c r="H18" i="153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G24" i="153"/>
  <c r="H24" i="153"/>
  <c r="G25" i="153"/>
  <c r="H25" i="153"/>
  <c r="G26" i="153"/>
  <c r="H26" i="153"/>
  <c r="G19" i="153"/>
  <c r="H19" i="153"/>
  <c r="G20" i="153"/>
  <c r="H20" i="153"/>
  <c r="G21" i="153"/>
  <c r="E21" i="153"/>
  <c r="H21" i="153"/>
  <c r="G27" i="153"/>
  <c r="H27" i="153"/>
  <c r="G28" i="153"/>
  <c r="H28" i="153"/>
  <c r="G23" i="153"/>
  <c r="H23" i="153"/>
  <c r="G22" i="153"/>
  <c r="H22" i="153"/>
  <c r="P37" i="159"/>
  <c r="N37" i="159"/>
  <c r="M37" i="159"/>
  <c r="L37" i="159"/>
  <c r="K37" i="159"/>
  <c r="H37" i="159"/>
  <c r="A37" i="159"/>
  <c r="P36" i="159"/>
  <c r="N36" i="159"/>
  <c r="M36" i="159"/>
  <c r="L36" i="159"/>
  <c r="K36" i="159"/>
  <c r="H36" i="159"/>
  <c r="A36" i="159"/>
  <c r="P35" i="159"/>
  <c r="N35" i="159"/>
  <c r="M35" i="159"/>
  <c r="L35" i="159"/>
  <c r="K35" i="159"/>
  <c r="H35" i="159"/>
  <c r="A35" i="159"/>
  <c r="P34" i="159"/>
  <c r="N34" i="159"/>
  <c r="M34" i="159"/>
  <c r="L34" i="159"/>
  <c r="K34" i="159"/>
  <c r="H34" i="159"/>
  <c r="A34" i="159"/>
  <c r="P33" i="159"/>
  <c r="N33" i="159"/>
  <c r="M33" i="159"/>
  <c r="L33" i="159"/>
  <c r="K33" i="159"/>
  <c r="H33" i="159"/>
  <c r="A33" i="159"/>
  <c r="P32" i="159"/>
  <c r="N32" i="159"/>
  <c r="M32" i="159"/>
  <c r="L32" i="159"/>
  <c r="K32" i="159"/>
  <c r="H32" i="159"/>
  <c r="A32" i="159"/>
  <c r="P31" i="159"/>
  <c r="N31" i="159"/>
  <c r="M31" i="159"/>
  <c r="L31" i="159"/>
  <c r="K31" i="159"/>
  <c r="H31" i="159"/>
  <c r="A31" i="159"/>
  <c r="P30" i="159"/>
  <c r="N30" i="159"/>
  <c r="M30" i="159"/>
  <c r="L30" i="159"/>
  <c r="K30" i="159"/>
  <c r="H30" i="159"/>
  <c r="A30" i="159"/>
  <c r="P29" i="159"/>
  <c r="N29" i="159"/>
  <c r="M29" i="159"/>
  <c r="L29" i="159"/>
  <c r="K29" i="159"/>
  <c r="H29" i="159"/>
  <c r="A29" i="159"/>
  <c r="P28" i="159"/>
  <c r="N28" i="159"/>
  <c r="M28" i="159"/>
  <c r="L28" i="159"/>
  <c r="K28" i="159"/>
  <c r="H28" i="159"/>
  <c r="A28" i="159"/>
  <c r="P27" i="159"/>
  <c r="N27" i="159"/>
  <c r="M27" i="159"/>
  <c r="L27" i="159"/>
  <c r="K27" i="159"/>
  <c r="H27" i="159"/>
  <c r="A27" i="159"/>
  <c r="P26" i="159"/>
  <c r="N26" i="159"/>
  <c r="M26" i="159"/>
  <c r="L26" i="159"/>
  <c r="K26" i="159"/>
  <c r="H26" i="159"/>
  <c r="A26" i="159"/>
  <c r="P25" i="159"/>
  <c r="N25" i="159"/>
  <c r="M25" i="159"/>
  <c r="L25" i="159"/>
  <c r="K25" i="159"/>
  <c r="H25" i="159"/>
  <c r="A25" i="159"/>
  <c r="P24" i="159"/>
  <c r="N24" i="159"/>
  <c r="M24" i="159"/>
  <c r="L24" i="159"/>
  <c r="K24" i="159"/>
  <c r="H24" i="159"/>
  <c r="A24" i="159"/>
  <c r="P23" i="159"/>
  <c r="N23" i="159"/>
  <c r="M23" i="159"/>
  <c r="L23" i="159"/>
  <c r="K23" i="159"/>
  <c r="H23" i="159"/>
  <c r="A23" i="159"/>
  <c r="P22" i="159"/>
  <c r="N22" i="159"/>
  <c r="M22" i="159"/>
  <c r="L22" i="159"/>
  <c r="K22" i="159"/>
  <c r="H22" i="159"/>
  <c r="A22" i="159"/>
  <c r="P21" i="159"/>
  <c r="N21" i="159"/>
  <c r="M21" i="159"/>
  <c r="L21" i="159"/>
  <c r="K21" i="159"/>
  <c r="H21" i="159"/>
  <c r="A21" i="159"/>
  <c r="P20" i="159"/>
  <c r="N20" i="159"/>
  <c r="M20" i="159"/>
  <c r="L20" i="159"/>
  <c r="K20" i="159"/>
  <c r="H20" i="159"/>
  <c r="A20" i="159"/>
  <c r="P19" i="159"/>
  <c r="N19" i="159"/>
  <c r="M19" i="159"/>
  <c r="L19" i="159"/>
  <c r="K19" i="159"/>
  <c r="H19" i="159"/>
  <c r="A19" i="159"/>
  <c r="P18" i="159"/>
  <c r="N18" i="159"/>
  <c r="M18" i="159"/>
  <c r="L18" i="159"/>
  <c r="K18" i="159"/>
  <c r="H18" i="159"/>
  <c r="A18" i="159"/>
  <c r="P17" i="159"/>
  <c r="N17" i="159"/>
  <c r="M17" i="159"/>
  <c r="L17" i="159"/>
  <c r="K17" i="159"/>
  <c r="H17" i="159"/>
  <c r="A17" i="159"/>
  <c r="P16" i="159"/>
  <c r="N16" i="159"/>
  <c r="M16" i="159"/>
  <c r="L16" i="159"/>
  <c r="K16" i="159"/>
  <c r="H16" i="159"/>
  <c r="A16" i="159"/>
  <c r="P15" i="159"/>
  <c r="N15" i="159"/>
  <c r="M15" i="159"/>
  <c r="L15" i="159"/>
  <c r="K15" i="159"/>
  <c r="H15" i="159"/>
  <c r="A15" i="159"/>
  <c r="P14" i="159"/>
  <c r="N14" i="159"/>
  <c r="M14" i="159"/>
  <c r="L14" i="159"/>
  <c r="K14" i="159"/>
  <c r="H14" i="159"/>
  <c r="A14" i="159"/>
  <c r="P13" i="159"/>
  <c r="N13" i="159"/>
  <c r="M13" i="159"/>
  <c r="L13" i="159"/>
  <c r="K13" i="159"/>
  <c r="H13" i="159"/>
  <c r="A13" i="159"/>
  <c r="P12" i="159"/>
  <c r="N12" i="159"/>
  <c r="M12" i="159"/>
  <c r="L12" i="159"/>
  <c r="K12" i="159"/>
  <c r="H12" i="159"/>
  <c r="A12" i="159"/>
  <c r="P11" i="159"/>
  <c r="N11" i="159"/>
  <c r="M11" i="159"/>
  <c r="L11" i="159"/>
  <c r="K11" i="159"/>
  <c r="H11" i="159"/>
  <c r="A11" i="159"/>
  <c r="P10" i="159"/>
  <c r="N10" i="159"/>
  <c r="M10" i="159"/>
  <c r="L10" i="159"/>
  <c r="K10" i="159"/>
  <c r="H10" i="159"/>
  <c r="A10" i="159"/>
  <c r="P9" i="159"/>
  <c r="N9" i="159"/>
  <c r="M9" i="159"/>
  <c r="L9" i="159"/>
  <c r="K9" i="159"/>
  <c r="H9" i="159"/>
  <c r="A9" i="159"/>
  <c r="P8" i="159"/>
  <c r="N8" i="159"/>
  <c r="M8" i="159"/>
  <c r="L8" i="159"/>
  <c r="K8" i="159"/>
  <c r="H8" i="159"/>
  <c r="A8" i="159"/>
  <c r="P7" i="159"/>
  <c r="N7" i="159"/>
  <c r="M7" i="159"/>
  <c r="L7" i="159"/>
  <c r="K7" i="159"/>
  <c r="H7" i="159"/>
  <c r="A7" i="159"/>
  <c r="P6" i="159"/>
  <c r="N6" i="159"/>
  <c r="M6" i="159"/>
  <c r="L6" i="159"/>
  <c r="K6" i="159"/>
  <c r="H6" i="159"/>
  <c r="A6" i="159"/>
  <c r="P5" i="159"/>
  <c r="N5" i="159"/>
  <c r="M5" i="159"/>
  <c r="L5" i="159"/>
  <c r="K5" i="159"/>
  <c r="H5" i="159"/>
  <c r="A5" i="159"/>
  <c r="P4" i="159"/>
  <c r="N4" i="159"/>
  <c r="M4" i="159"/>
  <c r="L4" i="159"/>
  <c r="K4" i="159"/>
  <c r="H4" i="159"/>
  <c r="A4" i="159"/>
  <c r="P3" i="159"/>
  <c r="N3" i="159"/>
  <c r="M3" i="159"/>
  <c r="L3" i="159"/>
  <c r="K3" i="159"/>
  <c r="H3" i="159"/>
  <c r="A3" i="159"/>
  <c r="P2" i="159"/>
  <c r="N2" i="159"/>
  <c r="M2" i="159"/>
  <c r="L2" i="159"/>
  <c r="K2" i="159"/>
  <c r="H2" i="159"/>
  <c r="A2" i="159"/>
  <c r="O2" i="154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R3" i="153"/>
  <c r="O68" i="154"/>
  <c r="R4" i="153"/>
  <c r="O69" i="154"/>
  <c r="E30" i="153"/>
  <c r="G30" i="153"/>
  <c r="H30" i="153"/>
  <c r="R5" i="153"/>
  <c r="O70" i="154"/>
  <c r="E31" i="153"/>
  <c r="G31" i="153"/>
  <c r="H31" i="153"/>
  <c r="R6" i="153"/>
  <c r="O71" i="154"/>
  <c r="R7" i="153"/>
  <c r="O72" i="154"/>
  <c r="R8" i="153"/>
  <c r="O73" i="154"/>
  <c r="R9" i="153"/>
  <c r="B10" i="157"/>
  <c r="G17" i="157"/>
  <c r="E17" i="157"/>
  <c r="H17" i="157"/>
  <c r="G24" i="157"/>
  <c r="H24" i="157"/>
  <c r="G19" i="157"/>
  <c r="H19" i="157"/>
  <c r="F41" i="153"/>
  <c r="G41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F49" i="153"/>
  <c r="F42" i="153"/>
  <c r="G42" i="153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C4" i="103"/>
  <c r="E4" i="103"/>
  <c r="B30" i="157"/>
  <c r="R10" i="15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<sst xmlns="http://schemas.openxmlformats.org/spreadsheetml/2006/main" count="535" uniqueCount="255">
  <si>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</si>
  <si>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</si>
  <si>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</si>
  <si>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</si>
  <si>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</si>
  <si>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</si>
  <si>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</si>
  <si>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</si>
  <si>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</si>
  <si>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</si>
  <si>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</si>
  <si>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</si>
  <si>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</si>
  <si>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</si>
  <si>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</si>
  <si>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</si>
  <si>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</si>
  <si>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</si>
  <si>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</si>
  <si>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</si>
  <si>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</si>
  <si>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</si>
  <si>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</si>
  <si>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</si>
  <si>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</si>
  <si>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</si>
  <si>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</si>
  <si>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</si>
  <si>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</si>
  <si>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</si>
  <si>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</si>
  <si>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</si>
  <si>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</si>
  <si>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</si>
  <si>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</si>
  <si>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</si>
  <si>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</si>
  <si>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</si>
  <si>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</si>
  <si>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</si>
  <si>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</si>
  <si>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</si>
  <si>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</si>
  <si>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</si>
  <si>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</si>
  <si>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</si>
  <si>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</si>
  <si>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</si>
  <si>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</si>
  <si>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</si>
  <si>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</si>
  <si>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</si>
  <si>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</si>
  <si>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</si>
  <si>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</si>
  <si>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</si>
  <si>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</si>
  <si>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</si>
  <si>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</si>
  <si>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</si>
  <si>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</si>
  <si>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</si>
  <si>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</si>
  <si>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</si>
  <si>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</si>
  <si>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</si>
  <si>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</si>
  <si>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</si>
  <si>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</si>
  <si>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</si>
  <si>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</si>
  <si>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</si>
  <si>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</si>
  <si>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</si>
  <si>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</si>
  <si>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</si>
  <si>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</si>
  <si>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</si>
  <si>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</si>
  <si>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</si>
  <si>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</si>
  <si>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</si>
  <si>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</si>
  <si>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</si>
  <si>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</si>
  <si>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</si>
  <si>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</si>
  <si>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</si>
  <si>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</si>
  <si>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</si>
  <si>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</si>
  <si>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</si>
  <si>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</si>
  <si>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</si>
  <si>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</si>
  <si>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</si>
  <si>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</si>
  <si>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</si>
  <si>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</si>
  <si>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</si>
  <si>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</si>
  <si>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</si>
  <si>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</si>
  <si>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</si>
  <si>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</si>
  <si>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</si>
  <si>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</si>
  <si>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</si>
  <si>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</si>
  <si>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</si>
  <si>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</si>
  <si>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</si>
  <si>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</si>
  <si>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</si>
  <si>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</si>
  <si>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</si>
  <si>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</si>
  <si>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</si>
  <si>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</si>
  <si>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</si>
  <si>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</si>
  <si>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</si>
  <si>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</si>
  <si>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</si>
  <si>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</si>
  <si>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</si>
  <si>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</si>
  <si>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</si>
  <si>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</si>
  <si>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</si>
  <si>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</si>
  <si>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</si>
  <si>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</si>
  <si>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</si>
  <si>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</si>
  <si>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</si>
  <si>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</si>
  <si>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</si>
  <si>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</si>
  <si>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</si>
  <si>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</si>
  <si>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</si>
  <si>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</si>
  <si>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</si>
  <si>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</si>
  <si>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</si>
  <si>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</si>
  <si>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</si>
  <si>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</si>
  <si>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</si>
  <si>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</si>
  <si>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</si>
  <si>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</si>
  <si>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</si>
  <si>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</si>
  <si>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</si>
  <si>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</si>
  <si>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</si>
  <si>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</si>
  <si>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</si>
  <si>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</si>
  <si>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</si>
  <si>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</si>
  <si>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</si>
  <si>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</si>
  <si>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</si>
  <si>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</si>
  <si>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</si>
  <si>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</si>
  <si>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</si>
  <si>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</si>
  <si>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</si>
  <si>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</si>
  <si>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</si>
  <si>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</si>
  <si>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</si>
  <si>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</si>
  <si>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</si>
  <si>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</si>
  <si>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</si>
  <si>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</si>
  <si>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</si>
  <si>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</si>
  <si>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</si>
  <si>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</si>
  <si>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</si>
  <si>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</si>
  <si>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</si>
  <si>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</si>
  <si>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</si>
  <si>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</si>
  <si>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</si>
  <si>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</si>
  <si>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</si>
  <si>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</si>
  <si>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</si>
  <si>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</si>
  <si>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</si>
  <si>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</si>
  <si>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</si>
  <si>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</si>
  <si>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</si>
  <si>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</si>
  <si>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</si>
  <si>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</si>
  <si>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</si>
  <si>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</si>
  <si>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</si>
  <si>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</si>
  <si>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</si>
  <si>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</si>
  <si>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</si>
  <si>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</si>
  <si>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</si>
  <si>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</si>
  <si>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</si>
  <si>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</si>
  <si>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</si>
  <si>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</si>
  <si>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</si>
  <si>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</si>
  <si>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</si>
  <si>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</si>
  <si>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</si>
  <si>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</si>
  <si>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</si>
  <si>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</si>
  <si>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</si>
  <si>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</si>
  <si>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</si>
  <si>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</si>
  <si>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</si>
  <si>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</si>
  <si>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</si>
  <si>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</si>
  <si>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</si>
  <si>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</si>
  <si>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</si>
  <si>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</si>
  <si>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</si>
  <si>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</si>
  <si>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</si>
  <si>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</si>
  <si>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</si>
  <si>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</si>
  <si>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</si>
  <si>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</si>
  <si>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</si>
  <si>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</si>
  <si>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</si>
  <si>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</si>
  <si>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old</t>
    <phoneticPr fontId="20"/>
  </si>
  <si>
    <t>tables_502100</t>
  </si>
  <si>
    <t>tables_502010</t>
  </si>
  <si>
    <t>tables_settle_502100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</si>
</sst>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7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4" borderId="1" xfId="2978" applyFont="1" applyFill="1" applyBorder="1"/>
    <xf numFmtId="0" fontId="2" fillId="0" borderId="1" xfId="3036" applyFon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あけおめダック２０１７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媽祖_超覚醒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蛟龍_超覚醒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12" sqref="E1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6" t="s">
        <v>251</v>
      </c>
      <c r="B2" s="61" t="s">
        <v>110</v>
      </c>
      <c r="C2" s="50" t="str">
        <f t="shared" ref="C2" si="0">RIGHT(F2,6)</f>
        <v>502100</v>
      </c>
      <c r="D2" s="19" t="s">
        <v>45</v>
      </c>
      <c r="E2" s="17" t="str">
        <f t="shared" ref="E2" si="1">B2&amp;C2&amp;D2</f>
        <v>gacha_select_tables_502100.tmp</v>
      </c>
      <c r="F2" s="95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251</v>
      </c>
      <c r="B3" s="61" t="s">
        <v>110</v>
      </c>
      <c r="C3" s="50" t="str">
        <f t="shared" ref="C3:C7" si="2">RIGHT(F3,6)</f>
        <v>502010</v>
      </c>
      <c r="D3" s="19" t="s">
        <v>45</v>
      </c>
      <c r="E3" s="17" t="str">
        <f t="shared" ref="E3:E10" si="3">B3&amp;C3&amp;D3</f>
        <v>gacha_select_tables_502010.tmp</v>
      </c>
      <c r="F3" s="95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2" t="s">
        <v>247</v>
      </c>
      <c r="C4" s="93" t="str">
        <f t="shared" si="2"/>
        <v>502100</v>
      </c>
      <c r="D4" s="19" t="s">
        <v>248</v>
      </c>
      <c r="E4" s="17" t="str">
        <f t="shared" si="3"/>
        <v>gacha_settle_tables_502100.tmp</v>
      </c>
      <c r="F4" s="95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G49" sqref="G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">
        <v>760</v>
      </c>
      <c r="M3" s="37" t="str">
        <f>VLOOKUP(L3,[1]characters!$A:$C,3,FALSE)</f>
        <v>限論顕現 クロネッカー</v>
      </c>
      <c r="N3" s="76">
        <v>4.0000000000000001E-3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VLOOKUP(L3,tables_502010!B:C,2,FALSE)</f>
        <v>PremiumSSS5R3less</v>
      </c>
      <c r="R3" s="62">
        <f t="shared" ref="R3:R20" si="1">N3*A$36</f>
        <v>22880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">
        <v>410</v>
      </c>
      <c r="M4" s="37" t="str">
        <f>VLOOKUP(L4,[1]characters!$A:$C,3,FALSE)</f>
        <v>ファラデー</v>
      </c>
      <c r="N4" s="76">
        <v>2E-3</v>
      </c>
      <c r="O4" s="37">
        <f>VLOOKUP(L4,[1]characters!$A:$I,9,FALSE)</f>
        <v>4</v>
      </c>
      <c r="P4" s="37" t="str">
        <f>VLOOKUP(L4,[1]characters!$A:$J,10,FALSE)</f>
        <v>PremiumSSS</v>
      </c>
      <c r="Q4" s="37" t="str">
        <f>VLOOKUP(L4,tables_502010!B:C,2,FALSE)</f>
        <v>PremiumSSS4R3less</v>
      </c>
      <c r="R4" s="62">
        <f t="shared" si="1"/>
        <v>11440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4.2307692307692307E-3</v>
      </c>
      <c r="F5">
        <f>(COUNTIF(tables_502010!C:C,input_502010!A28)+COUNTIF(tables_502010!C:C,input_502010!A29))</f>
        <v>18</v>
      </c>
      <c r="H5" s="83">
        <v>0.02</v>
      </c>
      <c r="I5" s="31">
        <v>5</v>
      </c>
      <c r="L5" s="60">
        <v>411</v>
      </c>
      <c r="M5" s="37" t="str">
        <f>VLOOKUP(L5,[1]characters!$A:$C,3,FALSE)</f>
        <v>電隷の始祖 ファラデー</v>
      </c>
      <c r="N5" s="76">
        <v>2E-3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VLOOKUP(L5,tables_502010!B:C,2,FALSE)</f>
        <v>PremiumSSS5R3less</v>
      </c>
      <c r="R5" s="62">
        <f t="shared" si="1"/>
        <v>11440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0.875</v>
      </c>
      <c r="D6" t="s">
        <v>202</v>
      </c>
      <c r="E6" s="76">
        <f>(B10-H6)/(F6-I6)</f>
        <v>4.2045454545454546E-2</v>
      </c>
      <c r="F6">
        <f>(COUNTIF(tables_502010!C:C,input_502010!A25)+COUNTIF(tables_502010!C:C,input_502010!A18)+COUNTIF(tables_502010!C:C,input_502010!A20)+COUNTIF(tables_502010!C:C,input_502010!A22))</f>
        <v>22</v>
      </c>
      <c r="H6" s="88">
        <v>0</v>
      </c>
      <c r="I6" s="31">
        <v>0</v>
      </c>
      <c r="L6" s="60">
        <v>489</v>
      </c>
      <c r="M6" s="37" t="str">
        <f>VLOOKUP(L6,[1]characters!$A:$C,3,FALSE)</f>
        <v>宇宙の拡超 ハップル</v>
      </c>
      <c r="N6" s="76">
        <v>4.0000000000000001E-3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VLOOKUP(L6,tables_502010!B:C,2,FALSE)</f>
        <v>PremiumSSS5R3less</v>
      </c>
      <c r="R6" s="62">
        <f t="shared" si="1"/>
        <v>22880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0.125</v>
      </c>
      <c r="L7" s="60">
        <v>792</v>
      </c>
      <c r="M7" s="37" t="str">
        <f>VLOOKUP(L7,[1]characters!$A:$C,3,FALSE)</f>
        <v>片還の収波 フーリエ</v>
      </c>
      <c r="N7" s="76">
        <v>4.0000000000000001E-3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VLOOKUP(L7,tables_502010!B:C,2,FALSE)</f>
        <v>PremiumSSS5R3less</v>
      </c>
      <c r="R7" s="62">
        <f t="shared" si="1"/>
        <v>22880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0">
        <v>1232</v>
      </c>
      <c r="M8" s="37" t="str">
        <f>VLOOKUP(L8,[1]characters!$A:$C,3,FALSE)</f>
        <v>ケプラー</v>
      </c>
      <c r="N8" s="76">
        <v>4.0000000000000001E-3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VLOOKUP(L8,tables_502010!B:C,2,FALSE)</f>
        <v>PremiumSSS5R3less</v>
      </c>
      <c r="R8" s="62">
        <f t="shared" si="1"/>
        <v>22880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COUNTIF(tables_502010!C:C,input_502010!A17)-COUNTIF(Q:Q,A17)</f>
        <v>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0.25217176573601408</v>
      </c>
      <c r="C18" s="84">
        <f t="shared" si="2"/>
        <v>0</v>
      </c>
      <c r="D18" s="74">
        <f t="shared" si="3"/>
        <v>0.25217176573601408</v>
      </c>
      <c r="E18">
        <f>COUNTIF(tables_502010!C:C,input_502010!A18)-COUNTIF(Q:Q,A18)</f>
        <v>5</v>
      </c>
      <c r="F18" s="43">
        <f>IFERROR(B18/E18,0)</f>
        <v>5.0434353147202814E-2</v>
      </c>
      <c r="G18">
        <f t="shared" si="4"/>
        <v>1442422.5000100005</v>
      </c>
      <c r="H18">
        <f t="shared" si="5"/>
        <v>288484.5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COUNTIF(tables_502010!C:C,input_502010!A19)-COUNTIF(Q:Q,A19)</f>
        <v>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E$6*E20*B$6-0.02</f>
        <v>0.45826704545454544</v>
      </c>
      <c r="C20" s="84">
        <f t="shared" si="2"/>
        <v>0</v>
      </c>
      <c r="D20" s="74">
        <f t="shared" si="3"/>
        <v>0.45826704545454544</v>
      </c>
      <c r="E20">
        <f>COUNTIF(tables_502010!C:C,input_502010!A20)-COUNTIF(Q:Q,A20)</f>
        <v>13</v>
      </c>
      <c r="F20" s="43">
        <f t="shared" si="8"/>
        <v>3.5251311188811189E-2</v>
      </c>
      <c r="G20">
        <f t="shared" si="4"/>
        <v>2621287.5</v>
      </c>
      <c r="H20">
        <f t="shared" si="5"/>
        <v>201637.5</v>
      </c>
      <c r="I20">
        <f t="shared" si="6"/>
        <v>0.5</v>
      </c>
      <c r="J20">
        <f t="shared" si="7"/>
        <v>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2.6379370622377656E-2</v>
      </c>
      <c r="C21" s="84">
        <f t="shared" si="2"/>
        <v>0</v>
      </c>
      <c r="D21" s="74">
        <f t="shared" si="3"/>
        <v>2.6379370622377656E-2</v>
      </c>
      <c r="E21">
        <f>COUNTIF(tables_502010!C:C,input_502010!A21)-COUNTIF(Q:Q,A21)</f>
        <v>13</v>
      </c>
      <c r="F21" s="43">
        <f t="shared" si="8"/>
        <v>2.0291823555675121E-3</v>
      </c>
      <c r="G21">
        <f t="shared" si="4"/>
        <v>150889.99996000019</v>
      </c>
      <c r="H21">
        <f t="shared" si="5"/>
        <v>11606.923070000001</v>
      </c>
      <c r="I21">
        <f t="shared" si="6"/>
        <v>0.92307000000073458</v>
      </c>
      <c r="J21">
        <f t="shared" si="7"/>
        <v>1.0833414583934091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9.9857954545454541E-2</v>
      </c>
      <c r="C22" s="84">
        <f t="shared" si="2"/>
        <v>0</v>
      </c>
      <c r="D22" s="74">
        <f t="shared" si="3"/>
        <v>9.9857954545454541E-2</v>
      </c>
      <c r="E22">
        <f>COUNTIF(tables_502010!C:C,input_502010!A22)-COUNTIF(Q:Q,A22)</f>
        <v>3</v>
      </c>
      <c r="F22" s="43">
        <f t="shared" si="8"/>
        <v>3.3285984848484849E-2</v>
      </c>
      <c r="G22">
        <f t="shared" si="4"/>
        <v>571187.5</v>
      </c>
      <c r="H22">
        <f t="shared" si="5"/>
        <v>190395.83332999999</v>
      </c>
      <c r="I22">
        <f t="shared" si="6"/>
        <v>0.83332999999402091</v>
      </c>
      <c r="J22">
        <f t="shared" si="7"/>
        <v>1.2000048000278101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2.6278409090909092E-2</v>
      </c>
      <c r="C23" s="84">
        <f t="shared" si="2"/>
        <v>0</v>
      </c>
      <c r="D23" s="74">
        <f t="shared" si="3"/>
        <v>2.6278409090909092E-2</v>
      </c>
      <c r="E23">
        <f>COUNTIF(tables_502010!C:C,input_502010!A23)-COUNTIF(Q:Q,A23)</f>
        <v>5</v>
      </c>
      <c r="F23" s="43">
        <f t="shared" si="8"/>
        <v>5.2556818181818182E-3</v>
      </c>
      <c r="G23">
        <f t="shared" si="4"/>
        <v>150312.5</v>
      </c>
      <c r="H23">
        <f t="shared" si="5"/>
        <v>30062.5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COUNTIF(tables_502010!C:C,input_502010!A24)-COUNTIF(Q:Q,A24)</f>
        <v>0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3.6789772727272727E-2</v>
      </c>
      <c r="C25" s="84">
        <f t="shared" si="2"/>
        <v>0</v>
      </c>
      <c r="D25" s="74">
        <f t="shared" si="3"/>
        <v>3.6789772727272727E-2</v>
      </c>
      <c r="E25">
        <f>COUNTIF(tables_502010!C:C,input_502010!A25)-COUNTIF(Q:Q,A25)</f>
        <v>1</v>
      </c>
      <c r="F25" s="43">
        <f t="shared" si="8"/>
        <v>3.6789772727272727E-2</v>
      </c>
      <c r="G25">
        <f t="shared" si="4"/>
        <v>210437.5</v>
      </c>
      <c r="H25">
        <f t="shared" si="5"/>
        <v>210437.5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5.2556818181818182E-3</v>
      </c>
      <c r="C26" s="84">
        <f t="shared" si="2"/>
        <v>0</v>
      </c>
      <c r="D26" s="74">
        <f t="shared" si="3"/>
        <v>5.2556818181818182E-3</v>
      </c>
      <c r="E26">
        <f>COUNTIF(tables_502010!C:C,input_502010!A26)-COUNTIF(Q:Q,A26)</f>
        <v>1</v>
      </c>
      <c r="F26" s="43">
        <f t="shared" si="8"/>
        <v>5.2556818181818182E-3</v>
      </c>
      <c r="G26">
        <f t="shared" si="4"/>
        <v>30062.5</v>
      </c>
      <c r="H26">
        <f t="shared" si="5"/>
        <v>30062.5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2.5913461538461538E-2</v>
      </c>
      <c r="C27" s="84">
        <f t="shared" si="2"/>
        <v>0</v>
      </c>
      <c r="D27" s="74">
        <f t="shared" si="3"/>
        <v>2.5913461538461538E-2</v>
      </c>
      <c r="E27">
        <f>COUNTIF(tables_502010!C:C,input_502010!A27)-COUNTIF(Q:Q,A27)</f>
        <v>7</v>
      </c>
      <c r="F27" s="43">
        <f>IFERROR(B27/E27,0)</f>
        <v>3.701923076923077E-3</v>
      </c>
      <c r="G27">
        <f t="shared" si="4"/>
        <v>148225</v>
      </c>
      <c r="H27">
        <f t="shared" si="5"/>
        <v>21175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3.7019230769230766E-3</v>
      </c>
      <c r="C28" s="84">
        <f t="shared" si="2"/>
        <v>0</v>
      </c>
      <c r="D28" s="74">
        <f t="shared" si="3"/>
        <v>3.7019230769230766E-3</v>
      </c>
      <c r="E28">
        <f>COUNTIF(tables_502010!C:C,input_502010!A28)-COUNTIF(Q:Q,A28)</f>
        <v>7</v>
      </c>
      <c r="F28" s="43">
        <f t="shared" si="8"/>
        <v>5.2884615384615383E-4</v>
      </c>
      <c r="G28">
        <f t="shared" si="4"/>
        <v>21175</v>
      </c>
      <c r="H28">
        <f t="shared" si="5"/>
        <v>3025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E$5*E29-G49</f>
        <v>4.5384615384615364E-2</v>
      </c>
      <c r="C29" s="84">
        <f t="shared" si="2"/>
        <v>0</v>
      </c>
      <c r="D29" s="74">
        <f t="shared" si="3"/>
        <v>4.5384615384615364E-2</v>
      </c>
      <c r="E29">
        <f>COUNTIF(tables_502010!C:C,input_502010!A29)-COUNTIF(Q:Q,A29)</f>
        <v>11</v>
      </c>
      <c r="F29" s="43">
        <f t="shared" si="8"/>
        <v>4.1258741258741244E-3</v>
      </c>
      <c r="G29">
        <f t="shared" si="4"/>
        <v>259599.99999999988</v>
      </c>
      <c r="H29">
        <f t="shared" si="5"/>
        <v>23600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2E-3</v>
      </c>
      <c r="D30" s="74">
        <f t="shared" si="3"/>
        <v>-2E-3</v>
      </c>
      <c r="E30">
        <f>COUNTIF(tables_502010!C:C,input_502010!A30)-COUNTIF(Q:Q,A30)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1.8000000000000002E-2</v>
      </c>
      <c r="D31" s="74">
        <f t="shared" si="3"/>
        <v>-1.8000000000000002E-2</v>
      </c>
      <c r="E31">
        <f>COUNTIF(tables_502010!C:C,input_502010!A31)-COUNTIF(Q:Q,A31)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0.97999999999475518</v>
      </c>
      <c r="C32" s="41">
        <f>SUM(C19:C31)</f>
        <v>2.0000000000000004E-2</v>
      </c>
      <c r="D32" s="42">
        <f t="shared" si="3"/>
        <v>0.95999999999475516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2.194449300874135E-2</v>
      </c>
      <c r="F34" s="55">
        <f ca="1">0.875-G41</f>
        <v>1.7483792191796965E-12</v>
      </c>
    </row>
    <row r="35" spans="1:7" x14ac:dyDescent="0.15">
      <c r="A35" t="s">
        <v>73</v>
      </c>
      <c r="E35">
        <v>1.8000000006993006E-2</v>
      </c>
      <c r="F35" s="94">
        <f ca="1">G42-B7</f>
        <v>-1.573426111622922E-11</v>
      </c>
    </row>
    <row r="36" spans="1:7" x14ac:dyDescent="0.15">
      <c r="A36" s="31">
        <f>LCM(F5-I5,F6-I6)*1000*2*2*5</f>
        <v>5720000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SUMIF(tables_502010!C:C,input_502010!A40,tables_502010!O:O)</f>
        <v>0</v>
      </c>
      <c r="C40" s="54">
        <f t="shared" ref="C40:C46" ca="1" si="9">B40/B$47</f>
        <v>0</v>
      </c>
      <c r="E40">
        <v>3</v>
      </c>
      <c r="F40">
        <f>SUMIF(tables_502010!J:J,input_502010!E40,tables_502010!O:O)</f>
        <v>0</v>
      </c>
      <c r="G40">
        <f>F40/A36</f>
        <v>0</v>
      </c>
    </row>
    <row r="41" spans="1:7" x14ac:dyDescent="0.15">
      <c r="A41" s="33" t="s">
        <v>104</v>
      </c>
      <c r="B41">
        <f ca="1">SUMIF(tables_502010!C:C,input_502010!A41,tables_502010!O:O)</f>
        <v>2621287.5</v>
      </c>
      <c r="C41" s="54">
        <f t="shared" ca="1" si="9"/>
        <v>0.89111624632708153</v>
      </c>
      <c r="E41">
        <v>4</v>
      </c>
      <c r="F41">
        <f ca="1">SUMIF(tables_502010!J:J,input_502010!E41,tables_502010!O:O)</f>
        <v>5004999.9999899995</v>
      </c>
      <c r="G41">
        <f ca="1">F41/A36</f>
        <v>0.87499999999825162</v>
      </c>
    </row>
    <row r="42" spans="1:7" x14ac:dyDescent="0.15">
      <c r="A42" s="33" t="s">
        <v>106</v>
      </c>
      <c r="B42">
        <f ca="1">SUMIF(tables_502010!C:C,input_502010!A42,tables_502010!O:O)</f>
        <v>148225</v>
      </c>
      <c r="C42" s="54">
        <f t="shared" ca="1" si="9"/>
        <v>5.0389629375576568E-2</v>
      </c>
      <c r="E42">
        <v>5</v>
      </c>
      <c r="F42">
        <f ca="1">SUMIF(tables_502010!J:J,input_502010!E42,tables_502010!O:O)</f>
        <v>714999.99991000001</v>
      </c>
      <c r="G42">
        <f ca="1">F42/A36</f>
        <v>0.12499999998426574</v>
      </c>
    </row>
    <row r="43" spans="1:7" x14ac:dyDescent="0.15">
      <c r="A43" s="33" t="s">
        <v>109</v>
      </c>
      <c r="B43">
        <f>SUMIF(tables_502010!C:C,input_502010!A43,tables_502010!O:O)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SUMIF(tables_502010!C:C,input_502010!A44,tables_502010!O:O)</f>
        <v>150889.99991000001</v>
      </c>
      <c r="C44" s="54">
        <f t="shared" ca="1" si="9"/>
        <v>5.129560581511676E-2</v>
      </c>
      <c r="E44" t="s">
        <v>54</v>
      </c>
      <c r="F44" s="55"/>
    </row>
    <row r="45" spans="1:7" x14ac:dyDescent="0.15">
      <c r="A45" s="33" t="s">
        <v>107</v>
      </c>
      <c r="B45">
        <f ca="1">SUMIF(tables_502010!C:C,input_502010!A45,tables_502010!O:O)</f>
        <v>21175</v>
      </c>
      <c r="C45" s="54">
        <f t="shared" ca="1" si="9"/>
        <v>7.1985184822252234E-3</v>
      </c>
      <c r="E45" t="s">
        <v>204</v>
      </c>
      <c r="F45" s="55">
        <f ca="1">SUMIF(tables_502010!I:I,input_502010!E45,tables_502010!P:P)</f>
        <v>0.26268312937522176</v>
      </c>
    </row>
    <row r="46" spans="1:7" x14ac:dyDescent="0.15">
      <c r="A46" s="33" t="s">
        <v>108</v>
      </c>
      <c r="B46">
        <f>SUMIF(tables_502010!C:C,input_502010!A46,tables_502010!O:O)</f>
        <v>0</v>
      </c>
      <c r="C46" s="54">
        <f t="shared" ca="1" si="9"/>
        <v>0</v>
      </c>
      <c r="E46" t="s">
        <v>205</v>
      </c>
      <c r="F46" s="55">
        <f ca="1">SUMIF(tables_502010!I:I,input_502010!E46,tables_502010!P:P)</f>
        <v>0.18640246772179028</v>
      </c>
    </row>
    <row r="47" spans="1:7" x14ac:dyDescent="0.15">
      <c r="A47" s="39" t="s">
        <v>59</v>
      </c>
      <c r="B47">
        <f ca="1">SUM(B40:B46)</f>
        <v>2941577.4999099998</v>
      </c>
      <c r="C47" s="55">
        <f ca="1">SUM(C40:C46)</f>
        <v>1</v>
      </c>
      <c r="E47" t="s">
        <v>206</v>
      </c>
      <c r="F47" s="55">
        <f ca="1">SUMIF(tables_502010!I:I,input_502010!E47,tables_502010!P:P)</f>
        <v>0.4559144029013274</v>
      </c>
    </row>
    <row r="48" spans="1:7" x14ac:dyDescent="0.15">
      <c r="E48" t="s">
        <v>207</v>
      </c>
      <c r="F48" s="55">
        <f ca="1">SUMIF(tables_502010!I:I,input_502010!E48,tables_502010!P:P)</f>
        <v>6.6748251749418674E-2</v>
      </c>
      <c r="G48" s="55">
        <f ca="1">F48+F49-B11</f>
        <v>1.3111872698701177E-12</v>
      </c>
    </row>
    <row r="49" spans="5:7" x14ac:dyDescent="0.15">
      <c r="E49" t="s">
        <v>249</v>
      </c>
      <c r="F49" s="55">
        <f ca="1">SUMIF(tables_502010!I:I,input_502010!E49,tables_502010!P:P)</f>
        <v>8.2517482518925152E-3</v>
      </c>
      <c r="G49">
        <v>1.153846153846172E-3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73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B73" sqref="B2:B7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input_502010!A$2</f>
        <v>502010</v>
      </c>
      <c r="B2" s="6">
        <v>133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迅雷の刀剣 ハヤト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f ca="1">IFERROR(VLOOKUP(B2,input_502010!L:R,7,FALSE),VLOOKUP(tables_502010!C2,input_502010!A:H,8,FALSE))</f>
        <v>288484.5</v>
      </c>
      <c r="P2" s="46">
        <f ca="1">O2/SUM(O:O)</f>
        <v>5.0434353147734881E-2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input_502010!A$2</f>
        <v>502010</v>
      </c>
      <c r="B3" s="6">
        <v>141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妖狐演舞 タマモ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 ca="1">IFERROR(VLOOKUP(B3,input_502010!L:R,7,FALSE),VLOOKUP(tables_502010!C3,input_502010!A:H,8,FALSE))</f>
        <v>288484.5</v>
      </c>
      <c r="P3" s="46">
        <f ca="1">O3/SUM(O:O)</f>
        <v>5.0434353147734881E-2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input_502010!A$2</f>
        <v>502010</v>
      </c>
      <c r="B4" s="6">
        <v>149</v>
      </c>
      <c r="C4" s="7" t="str">
        <f t="shared" si="0"/>
        <v>PremiumW4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雷撃蹴技を極めし者 シンデレラ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IFERROR(VLOOKUP(B4,input_502010!L:R,7,FALSE),VLOOKUP(tables_502010!C4,input_502010!A:H,8,FALSE))</f>
        <v>288484.5</v>
      </c>
      <c r="P4" s="46">
        <f ca="1">O4/SUM(O:O)</f>
        <v>5.0434353147734881E-2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input_502010!A$2</f>
        <v>502010</v>
      </c>
      <c r="B5" s="6">
        <v>157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雷光舞姫 エレナ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yellow</v>
      </c>
      <c r="L5" s="7" t="str">
        <f>VLOOKUP(B5,[1]characters!$A:$K,11,FALSE)</f>
        <v>heal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IFERROR(VLOOKUP(B5,input_502010!L:R,7,FALSE),VLOOKUP(tables_502010!C5,input_502010!A:H,8,FALSE))</f>
        <v>288484.5</v>
      </c>
      <c r="P5" s="46">
        <f ca="1">O5/SUM(O:O)</f>
        <v>5.0434353147734881E-2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input_502010!A$2</f>
        <v>502010</v>
      </c>
      <c r="B6" s="6">
        <v>165</v>
      </c>
      <c r="C6" s="7" t="str">
        <f t="shared" si="0"/>
        <v>PremiumW4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イブとたったひとりのトモダチ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yellow</v>
      </c>
      <c r="L6" s="7" t="str">
        <f>VLOOKUP(B6,[1]characters!$A:$K,11,FALSE)</f>
        <v>technical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f ca="1">IFERROR(VLOOKUP(B6,input_502010!L:R,7,FALSE),VLOOKUP(tables_502010!C6,input_502010!A:H,8,FALSE))</f>
        <v>288484.5</v>
      </c>
      <c r="P6" s="46">
        <f ca="1">O6/SUM(O:O)</f>
        <v>5.0434353147734881E-2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input_502010!A$2</f>
        <v>502010</v>
      </c>
      <c r="B7" s="6">
        <v>176</v>
      </c>
      <c r="C7" s="7" t="str">
        <f t="shared" si="0"/>
        <v>Premium4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異教徒 バフォメット</v>
      </c>
      <c r="I7" s="7" t="str">
        <f>VLOOKUP(B7,[1]characters!$A:$J,10,FALSE)</f>
        <v>PremiumN</v>
      </c>
      <c r="J7" s="7">
        <f>VLOOKUP(B7,[1]characters!$A:$I,9,FALSE)</f>
        <v>4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f ca="1">IFERROR(VLOOKUP(B7,input_502010!L:R,7,FALSE),VLOOKUP(tables_502010!C7,input_502010!A:H,8,FALSE))</f>
        <v>201637.5</v>
      </c>
      <c r="P7" s="46">
        <f ca="1">O7/SUM(O:O)</f>
        <v>3.5251311189427481E-2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input_502010!A$2</f>
        <v>502010</v>
      </c>
      <c r="B8" s="6">
        <v>177</v>
      </c>
      <c r="C8" s="7" t="str">
        <f t="shared" si="0"/>
        <v>Premium5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黒魔の異端師 バフォメット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女性</v>
      </c>
      <c r="O8" s="45">
        <f ca="1">IFERROR(VLOOKUP(B8,input_502010!L:R,7,FALSE),VLOOKUP(tables_502010!C8,input_502010!A:H,8,FALSE))</f>
        <v>11606.923070000001</v>
      </c>
      <c r="P8" s="46">
        <f ca="1">O8/SUM(O:O)</f>
        <v>2.0291823549305811E-3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input_502010!A$2</f>
        <v>502010</v>
      </c>
      <c r="B9" s="6">
        <v>188</v>
      </c>
      <c r="C9" s="7" t="str">
        <f t="shared" si="0"/>
        <v>Premium4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猛禽 ホルス</v>
      </c>
      <c r="I9" s="7" t="str">
        <f>VLOOKUP(B9,[1]characters!$A:$J,10,FALSE)</f>
        <v>PremiumN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ca="1">IFERROR(VLOOKUP(B9,input_502010!L:R,7,FALSE),VLOOKUP(tables_502010!C9,input_502010!A:H,8,FALSE))</f>
        <v>201637.5</v>
      </c>
      <c r="P9" s="46">
        <f ca="1">O9/SUM(O:O)</f>
        <v>3.5251311189427481E-2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input_502010!A$2</f>
        <v>502010</v>
      </c>
      <c r="B10" s="6">
        <v>189</v>
      </c>
      <c r="C10" s="7" t="str">
        <f t="shared" si="0"/>
        <v>Premium5</v>
      </c>
      <c r="D10" s="7" t="str">
        <f t="shared" si="1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迅雷の王禽 ホルス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attack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f ca="1">IFERROR(VLOOKUP(B10,input_502010!L:R,7,FALSE),VLOOKUP(tables_502010!C10,input_502010!A:H,8,FALSE))</f>
        <v>11606.923070000001</v>
      </c>
      <c r="P10" s="46">
        <f ca="1">O10/SUM(O:O)</f>
        <v>2.0291823549305811E-3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input_502010!A$2</f>
        <v>502010</v>
      </c>
      <c r="B11" s="6">
        <v>197</v>
      </c>
      <c r="C11" s="7" t="str">
        <f t="shared" si="0"/>
        <v>Premium4</v>
      </c>
      <c r="D11" s="7" t="str">
        <f t="shared" si="1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鉄腕 アキレス</v>
      </c>
      <c r="I11" s="7" t="str">
        <f>VLOOKUP(B11,[1]characters!$A:$J,10,FALSE)</f>
        <v>PremiumN</v>
      </c>
      <c r="J11" s="7">
        <f>VLOOKUP(B11,[1]characters!$A:$I,9,FALSE)</f>
        <v>4</v>
      </c>
      <c r="K11" s="7" t="str">
        <f>VLOOKUP(B11,[1]characters!$A:$H,8,FALSE)</f>
        <v>yellow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IFERROR(VLOOKUP(B11,input_502010!L:R,7,FALSE),VLOOKUP(tables_502010!C11,input_502010!A:H,8,FALSE))</f>
        <v>201637.5</v>
      </c>
      <c r="P11" s="46">
        <f ca="1">O11/SUM(O:O)</f>
        <v>3.5251311189427481E-2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input_502010!A$2</f>
        <v>502010</v>
      </c>
      <c r="B12" s="8">
        <v>198</v>
      </c>
      <c r="C12" s="7" t="str">
        <f t="shared" si="0"/>
        <v>Premium5</v>
      </c>
      <c r="D12" s="7" t="str">
        <f t="shared" si="1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IFERROR(VLOOKUP(B12,input_502010!L:R,7,FALSE),VLOOKUP(tables_502010!C12,input_502010!A:H,8,FALSE))</f>
        <v>11606.923070000001</v>
      </c>
      <c r="P12" s="46">
        <f ca="1">O12/SUM(O:O)</f>
        <v>2.0291823549305811E-3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input_502010!A$2</f>
        <v>502010</v>
      </c>
      <c r="B13" s="8">
        <v>212</v>
      </c>
      <c r="C13" s="7" t="str">
        <f t="shared" si="0"/>
        <v>Premium4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星神 アストライアー</v>
      </c>
      <c r="I13" s="7" t="str">
        <f>VLOOKUP(B13,[1]characters!$A:$J,10,FALSE)</f>
        <v>PremiumN</v>
      </c>
      <c r="J13" s="7">
        <f>VLOOKUP(B13,[1]characters!$A:$I,9,FALSE)</f>
        <v>4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god</v>
      </c>
      <c r="N13" s="7" t="str">
        <f>VLOOKUP(B13,[1]characters!$A:$G,7,FALSE)</f>
        <v>女性</v>
      </c>
      <c r="O13" s="45">
        <f ca="1">IFERROR(VLOOKUP(B13,input_502010!L:R,7,FALSE),VLOOKUP(tables_502010!C13,input_502010!A:H,8,FALSE))</f>
        <v>201637.5</v>
      </c>
      <c r="P13" s="46">
        <f ca="1">O13/SUM(O:O)</f>
        <v>3.5251311189427481E-2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input_502010!A$2</f>
        <v>502010</v>
      </c>
      <c r="B14" s="6">
        <v>213</v>
      </c>
      <c r="C14" s="7" t="str">
        <f t="shared" si="0"/>
        <v>Premium5</v>
      </c>
      <c r="D14" s="7" t="str">
        <f t="shared" si="1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満天の星降神 アストライアー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balance</v>
      </c>
      <c r="M14" s="7" t="str">
        <f>VLOOKUP(B14,[1]characters!$A:$M,13,FALSE)</f>
        <v>god</v>
      </c>
      <c r="N14" s="7" t="str">
        <f>VLOOKUP(B14,[1]characters!$A:$G,7,FALSE)</f>
        <v>女性</v>
      </c>
      <c r="O14" s="45">
        <f ca="1">IFERROR(VLOOKUP(B14,input_502010!L:R,7,FALSE),VLOOKUP(tables_502010!C14,input_502010!A:H,8,FALSE))</f>
        <v>11606.923070000001</v>
      </c>
      <c r="P14" s="46">
        <f ca="1">O14/SUM(O:O)</f>
        <v>2.0291823549305811E-3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input_502010!A$2</f>
        <v>502010</v>
      </c>
      <c r="B15" s="6">
        <v>224</v>
      </c>
      <c r="C15" s="7" t="str">
        <f t="shared" si="0"/>
        <v>Premium4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巨腕 ヘラクレス</v>
      </c>
      <c r="I15" s="7" t="str">
        <f>VLOOKUP(B15,[1]characters!$A:$J,10,FALSE)</f>
        <v>PremiumN</v>
      </c>
      <c r="J15" s="7">
        <f>VLOOKUP(B15,[1]characters!$A:$I,9,FALSE)</f>
        <v>4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f ca="1">IFERROR(VLOOKUP(B15,input_502010!L:R,7,FALSE),VLOOKUP(tables_502010!C15,input_502010!A:H,8,FALSE))</f>
        <v>201637.5</v>
      </c>
      <c r="P15" s="46">
        <f ca="1">O15/SUM(O:O)</f>
        <v>3.5251311189427481E-2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input_502010!A$2</f>
        <v>502010</v>
      </c>
      <c r="B16" s="10">
        <v>225</v>
      </c>
      <c r="C16" s="7" t="str">
        <f t="shared" si="0"/>
        <v>Premium5</v>
      </c>
      <c r="D16" s="7" t="str">
        <f t="shared" si="1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咆哮の巨獅腕 ヘラクレス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男性</v>
      </c>
      <c r="O16" s="45">
        <f ca="1">IFERROR(VLOOKUP(B16,input_502010!L:R,7,FALSE),VLOOKUP(tables_502010!C16,input_502010!A:H,8,FALSE))</f>
        <v>11606.923070000001</v>
      </c>
      <c r="P16" s="46">
        <f ca="1">O16/SUM(O:O)</f>
        <v>2.0291823549305811E-3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input_502010!A$2</f>
        <v>502010</v>
      </c>
      <c r="B17" s="11">
        <v>236</v>
      </c>
      <c r="C17" s="7" t="str">
        <f t="shared" si="0"/>
        <v>Premium4R6release</v>
      </c>
      <c r="D17" s="7" t="str">
        <f t="shared" si="1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>R6release</v>
      </c>
      <c r="G17" s="7"/>
      <c r="H17" s="7" t="str">
        <f>VLOOKUP(B17,[1]characters!$A:$C,3,FALSE)</f>
        <v>神産 イザナミ</v>
      </c>
      <c r="I17" s="7" t="str">
        <f>VLOOKUP(B17,[1]characters!$A:$J,10,FALSE)</f>
        <v>PremiumS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attack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ca="1">IFERROR(VLOOKUP(B17,input_502010!L:R,7,FALSE),VLOOKUP(tables_502010!C17,input_502010!A:H,8,FALSE))</f>
        <v>210437.5</v>
      </c>
      <c r="P17" s="46">
        <f ca="1">O17/SUM(O:O)</f>
        <v>3.6789772727915913E-2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input_502010!A$2</f>
        <v>502010</v>
      </c>
      <c r="B18" s="6">
        <v>237</v>
      </c>
      <c r="C18" s="7" t="str">
        <f t="shared" si="0"/>
        <v>Premium5R6release</v>
      </c>
      <c r="D18" s="7" t="str">
        <f t="shared" si="1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>R6release</v>
      </c>
      <c r="G18" s="7"/>
      <c r="H18" s="7" t="str">
        <f>VLOOKUP(B18,[1]characters!$A:$C,3,FALSE)</f>
        <v>森羅万象の神母 イザナミ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ca="1">IFERROR(VLOOKUP(B18,input_502010!L:R,7,FALSE),VLOOKUP(tables_502010!C18,input_502010!A:H,8,FALSE))</f>
        <v>30062.5</v>
      </c>
      <c r="P18" s="46">
        <f ca="1">O18/SUM(O:O)</f>
        <v>5.2556818182737022E-3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input_502010!A$2</f>
        <v>502010</v>
      </c>
      <c r="B19" s="6">
        <v>248</v>
      </c>
      <c r="C19" s="7" t="str">
        <f t="shared" si="0"/>
        <v>Premium4</v>
      </c>
      <c r="D19" s="7" t="str">
        <f t="shared" si="1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彩電の天使 ミカエル</v>
      </c>
      <c r="I19" s="7" t="str">
        <f>VLOOKUP(B19,[1]characters!$A:$J,10,FALSE)</f>
        <v>PremiumS</v>
      </c>
      <c r="J19" s="7">
        <f>VLOOKUP(B19,[1]characters!$A:$I,9,FALSE)</f>
        <v>4</v>
      </c>
      <c r="K19" s="7" t="str">
        <f>VLOOKUP(B19,[1]characters!$A:$H,8,FALSE)</f>
        <v>yellow</v>
      </c>
      <c r="L19" s="7" t="str">
        <f>VLOOKUP(B19,[1]characters!$A:$K,11,FALSE)</f>
        <v>attack</v>
      </c>
      <c r="M19" s="7" t="str">
        <f>VLOOKUP(B19,[1]characters!$A:$M,13,FALSE)</f>
        <v>machine</v>
      </c>
      <c r="N19" s="7" t="str">
        <f>VLOOKUP(B19,[1]characters!$A:$G,7,FALSE)</f>
        <v>女性</v>
      </c>
      <c r="O19" s="45">
        <f ca="1">IFERROR(VLOOKUP(B19,input_502010!L:R,7,FALSE),VLOOKUP(tables_502010!C19,input_502010!A:H,8,FALSE))</f>
        <v>201637.5</v>
      </c>
      <c r="P19" s="46">
        <f ca="1">O19/SUM(O:O)</f>
        <v>3.5251311189427481E-2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input_502010!A$2</f>
        <v>502010</v>
      </c>
      <c r="B20" s="10">
        <v>249</v>
      </c>
      <c r="C20" s="7" t="str">
        <f t="shared" si="0"/>
        <v>Premium5</v>
      </c>
      <c r="D20" s="7" t="str">
        <f t="shared" si="1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雷電の天使 ミカエル・ゲイナー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machine</v>
      </c>
      <c r="N20" s="7" t="str">
        <f>VLOOKUP(B20,[1]characters!$A:$G,7,FALSE)</f>
        <v>女性</v>
      </c>
      <c r="O20" s="45">
        <f ca="1">IFERROR(VLOOKUP(B20,input_502010!L:R,7,FALSE),VLOOKUP(tables_502010!C20,input_502010!A:H,8,FALSE))</f>
        <v>11606.923070000001</v>
      </c>
      <c r="P20" s="46">
        <f ca="1">O20/SUM(O:O)</f>
        <v>2.0291823549305811E-3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input_502010!A$2</f>
        <v>502010</v>
      </c>
      <c r="B21" s="6">
        <v>260</v>
      </c>
      <c r="C21" s="7" t="str">
        <f t="shared" si="0"/>
        <v>Premium4</v>
      </c>
      <c r="D21" s="7" t="str">
        <f t="shared" si="1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輪廻 ウロボロス</v>
      </c>
      <c r="I21" s="7" t="str">
        <f>VLOOKUP(B21,[1]characters!$A:$J,10,FALSE)</f>
        <v>PremiumS</v>
      </c>
      <c r="J21" s="7">
        <f>VLOOKUP(B21,[1]characters!$A:$I,9,FALSE)</f>
        <v>4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dragon</v>
      </c>
      <c r="N21" s="7" t="str">
        <f>VLOOKUP(B21,[1]characters!$A:$G,7,FALSE)</f>
        <v>女性</v>
      </c>
      <c r="O21" s="45">
        <f ca="1">IFERROR(VLOOKUP(B21,input_502010!L:R,7,FALSE),VLOOKUP(tables_502010!C21,input_502010!A:H,8,FALSE))</f>
        <v>201637.5</v>
      </c>
      <c r="P21" s="46">
        <f ca="1">O21/SUM(O:O)</f>
        <v>3.5251311189427481E-2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input_502010!A$2</f>
        <v>502010</v>
      </c>
      <c r="B22" s="6">
        <v>261</v>
      </c>
      <c r="C22" s="7" t="str">
        <f t="shared" si="0"/>
        <v>Premium5</v>
      </c>
      <c r="D22" s="7" t="str">
        <f t="shared" si="1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輪廻の蛇龍 ウロボロス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dragon</v>
      </c>
      <c r="N22" s="7" t="str">
        <f>VLOOKUP(B22,[1]characters!$A:$G,7,FALSE)</f>
        <v>女性</v>
      </c>
      <c r="O22" s="45">
        <f ca="1">IFERROR(VLOOKUP(B22,input_502010!L:R,7,FALSE),VLOOKUP(tables_502010!C22,input_502010!A:H,8,FALSE))</f>
        <v>11606.923070000001</v>
      </c>
      <c r="P22" s="46">
        <f ca="1">O22/SUM(O:O)</f>
        <v>2.0291823549305811E-3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input_502010!A$2</f>
        <v>502010</v>
      </c>
      <c r="B23" s="6">
        <v>326</v>
      </c>
      <c r="C23" s="7" t="str">
        <f t="shared" si="0"/>
        <v>PremiumSS4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妖志士 斎藤一</v>
      </c>
      <c r="I23" s="7" t="str">
        <f>VLOOKUP(B23,[1]characters!$A:$J,10,FALSE)</f>
        <v>PremiumSS</v>
      </c>
      <c r="J23" s="7">
        <f>VLOOKUP(B23,[1]characters!$A:$I,9,FALSE)</f>
        <v>4</v>
      </c>
      <c r="K23" s="7" t="str">
        <f>VLOOKUP(B23,[1]characters!$A:$H,8,FALSE)</f>
        <v>yellow</v>
      </c>
      <c r="L23" s="7" t="str">
        <f>VLOOKUP(B23,[1]characters!$A:$K,11,FALSE)</f>
        <v>technical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IFERROR(VLOOKUP(B23,input_502010!L:R,7,FALSE),VLOOKUP(tables_502010!C23,input_502010!A:H,8,FALSE))</f>
        <v>21175</v>
      </c>
      <c r="P23" s="46">
        <f ca="1">O23/SUM(O:O)</f>
        <v>3.701923076987797E-3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input_502010!A$2</f>
        <v>502010</v>
      </c>
      <c r="B24" s="6">
        <v>327</v>
      </c>
      <c r="C24" s="7" t="str">
        <f t="shared" si="0"/>
        <v>PremiumSS5</v>
      </c>
      <c r="D24" s="7" t="str">
        <f t="shared" si="1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千殺の妖志士 斎藤一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IFERROR(VLOOKUP(B24,input_502010!L:R,7,FALSE),VLOOKUP(tables_502010!C24,input_502010!A:H,8,FALSE))</f>
        <v>3025</v>
      </c>
      <c r="P24" s="46">
        <f ca="1">O24/SUM(O:O)</f>
        <v>5.2884615385539958E-4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input_502010!A$2</f>
        <v>502010</v>
      </c>
      <c r="B25" s="6">
        <v>388</v>
      </c>
      <c r="C25" s="7" t="str">
        <f t="shared" si="0"/>
        <v>Premium4</v>
      </c>
      <c r="D25" s="7" t="str">
        <f t="shared" si="1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神円の恋姫 スフィンクス</v>
      </c>
      <c r="I25" s="7" t="str">
        <f>VLOOKUP(B25,[1]characters!$A:$J,10,FALSE)</f>
        <v>PremiumS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heal</v>
      </c>
      <c r="M25" s="7" t="str">
        <f>VLOOKUP(B25,[1]characters!$A:$M,13,FALSE)</f>
        <v>animal</v>
      </c>
      <c r="N25" s="7" t="str">
        <f>VLOOKUP(B25,[1]characters!$A:$G,7,FALSE)</f>
        <v>女性</v>
      </c>
      <c r="O25" s="45">
        <f ca="1">IFERROR(VLOOKUP(B25,input_502010!L:R,7,FALSE),VLOOKUP(tables_502010!C25,input_502010!A:H,8,FALSE))</f>
        <v>201637.5</v>
      </c>
      <c r="P25" s="46">
        <f ca="1">O25/SUM(O:O)</f>
        <v>3.5251311189427481E-2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input_502010!A$2</f>
        <v>502010</v>
      </c>
      <c r="B26" s="6">
        <v>389</v>
      </c>
      <c r="C26" s="7" t="str">
        <f t="shared" si="0"/>
        <v>Premium5</v>
      </c>
      <c r="D26" s="7" t="str">
        <f t="shared" si="1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操神の愛姫 スフィンクス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heal</v>
      </c>
      <c r="M26" s="7" t="str">
        <f>VLOOKUP(B26,[1]characters!$A:$M,13,FALSE)</f>
        <v>animal</v>
      </c>
      <c r="N26" s="7" t="str">
        <f>VLOOKUP(B26,[1]characters!$A:$G,7,FALSE)</f>
        <v>女性</v>
      </c>
      <c r="O26" s="45">
        <f ca="1">IFERROR(VLOOKUP(B26,input_502010!L:R,7,FALSE),VLOOKUP(tables_502010!C26,input_502010!A:H,8,FALSE))</f>
        <v>11606.923070000001</v>
      </c>
      <c r="P26" s="46">
        <f ca="1">O26/SUM(O:O)</f>
        <v>2.0291823549305811E-3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input_502010!A$2</f>
        <v>502010</v>
      </c>
      <c r="B27" s="6">
        <v>398</v>
      </c>
      <c r="C27" s="7" t="str">
        <f t="shared" si="0"/>
        <v>PremiumSS4</v>
      </c>
      <c r="D27" s="7" t="str">
        <f t="shared" si="1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ヘンゼル＆グレーテル</v>
      </c>
      <c r="I27" s="7" t="str">
        <f>VLOOKUP(B27,[1]characters!$A:$J,10,FALSE)</f>
        <v>PremiumSS</v>
      </c>
      <c r="J27" s="7">
        <f>VLOOKUP(B27,[1]characters!$A:$I,9,FALSE)</f>
        <v>4</v>
      </c>
      <c r="K27" s="7" t="str">
        <f>VLOOKUP(B27,[1]characters!$A:$H,8,FALSE)</f>
        <v>yellow</v>
      </c>
      <c r="L27" s="7" t="str">
        <f>VLOOKUP(B27,[1]characters!$A:$K,11,FALSE)</f>
        <v>balance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IFERROR(VLOOKUP(B27,input_502010!L:R,7,FALSE),VLOOKUP(tables_502010!C27,input_502010!A:H,8,FALSE))</f>
        <v>21175</v>
      </c>
      <c r="P27" s="46">
        <f ca="1">O27/SUM(O:O)</f>
        <v>3.701923076987797E-3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input_502010!A$2</f>
        <v>502010</v>
      </c>
      <c r="B28" s="6">
        <v>399</v>
      </c>
      <c r="C28" s="7" t="str">
        <f t="shared" si="0"/>
        <v>PremiumSS5</v>
      </c>
      <c r="D28" s="7" t="str">
        <f t="shared" si="1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信愛の兄妹 ヘンゼル＆グレーテル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IFERROR(VLOOKUP(B28,input_502010!L:R,7,FALSE),VLOOKUP(tables_502010!C28,input_502010!A:H,8,FALSE))</f>
        <v>3025</v>
      </c>
      <c r="P28" s="46">
        <f ca="1">O28/SUM(O:O)</f>
        <v>5.2884615385539958E-4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input_502010!A$2</f>
        <v>502010</v>
      </c>
      <c r="B29" s="6">
        <v>408</v>
      </c>
      <c r="C29" s="7" t="str">
        <f t="shared" si="0"/>
        <v>PremiumSS4</v>
      </c>
      <c r="D29" s="7" t="str">
        <f t="shared" si="1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皇魔 アスタロト</v>
      </c>
      <c r="I29" s="7" t="str">
        <f>VLOOKUP(B29,[1]characters!$A:$J,10,FALSE)</f>
        <v>PremiumSS</v>
      </c>
      <c r="J29" s="7">
        <f>VLOOKUP(B29,[1]characters!$A:$I,9,FALSE)</f>
        <v>4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god</v>
      </c>
      <c r="N29" s="7" t="str">
        <f>VLOOKUP(B29,[1]characters!$A:$G,7,FALSE)</f>
        <v>男性</v>
      </c>
      <c r="O29" s="45">
        <f ca="1">IFERROR(VLOOKUP(B29,input_502010!L:R,7,FALSE),VLOOKUP(tables_502010!C29,input_502010!A:H,8,FALSE))</f>
        <v>21175</v>
      </c>
      <c r="P29" s="46">
        <f ca="1">O29/SUM(O:O)</f>
        <v>3.701923076987797E-3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input_502010!A$2</f>
        <v>502010</v>
      </c>
      <c r="B30" s="6">
        <v>409</v>
      </c>
      <c r="C30" s="7" t="str">
        <f t="shared" si="0"/>
        <v>PremiumSS5</v>
      </c>
      <c r="D30" s="7" t="str">
        <f t="shared" si="1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天眼の皇貴魔 アスタロト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f ca="1">IFERROR(VLOOKUP(B30,input_502010!L:R,7,FALSE),VLOOKUP(tables_502010!C30,input_502010!A:H,8,FALSE))</f>
        <v>3025</v>
      </c>
      <c r="P30" s="46">
        <f ca="1">O30/SUM(O:O)</f>
        <v>5.2884615385539958E-4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input_502010!A$2</f>
        <v>502010</v>
      </c>
      <c r="B31" s="6">
        <v>442</v>
      </c>
      <c r="C31" s="7" t="str">
        <f t="shared" si="0"/>
        <v>PremiumSS4</v>
      </c>
      <c r="D31" s="7" t="str">
        <f t="shared" si="1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ブレイブリー・ライオン</v>
      </c>
      <c r="I31" s="7" t="str">
        <f>VLOOKUP(B31,[1]characters!$A:$J,10,FALSE)</f>
        <v>PremiumSS</v>
      </c>
      <c r="J31" s="7">
        <f>VLOOKUP(B31,[1]characters!$A:$I,9,FALSE)</f>
        <v>4</v>
      </c>
      <c r="K31" s="7" t="str">
        <f>VLOOKUP(B31,[1]characters!$A:$H,8,FALSE)</f>
        <v>yellow</v>
      </c>
      <c r="L31" s="7" t="str">
        <f>VLOOKUP(B31,[1]characters!$A:$K,11,FALSE)</f>
        <v>hp</v>
      </c>
      <c r="M31" s="7" t="str">
        <f>VLOOKUP(B31,[1]characters!$A:$M,13,FALSE)</f>
        <v>animal</v>
      </c>
      <c r="N31" s="7" t="str">
        <f>VLOOKUP(B31,[1]characters!$A:$G,7,FALSE)</f>
        <v>不明</v>
      </c>
      <c r="O31" s="45">
        <f ca="1">IFERROR(VLOOKUP(B31,input_502010!L:R,7,FALSE),VLOOKUP(tables_502010!C31,input_502010!A:H,8,FALSE))</f>
        <v>21175</v>
      </c>
      <c r="P31" s="46">
        <f ca="1">O31/SUM(O:O)</f>
        <v>3.701923076987797E-3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input_502010!A$2</f>
        <v>502010</v>
      </c>
      <c r="B32" s="6">
        <v>443</v>
      </c>
      <c r="C32" s="7" t="str">
        <f t="shared" si="0"/>
        <v>PremiumSS5</v>
      </c>
      <c r="D32" s="7" t="str">
        <f t="shared" si="1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勇機結集 ブレイブリー・ライオン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hp</v>
      </c>
      <c r="M32" s="7" t="str">
        <f>VLOOKUP(B32,[1]characters!$A:$M,13,FALSE)</f>
        <v>animal</v>
      </c>
      <c r="N32" s="7" t="str">
        <f>VLOOKUP(B32,[1]characters!$A:$G,7,FALSE)</f>
        <v>不明</v>
      </c>
      <c r="O32" s="45">
        <f ca="1">IFERROR(VLOOKUP(B32,input_502010!L:R,7,FALSE),VLOOKUP(tables_502010!C32,input_502010!A:H,8,FALSE))</f>
        <v>3025</v>
      </c>
      <c r="P32" s="46">
        <f ca="1">O32/SUM(O:O)</f>
        <v>5.2884615385539958E-4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input_502010!A$2</f>
        <v>502010</v>
      </c>
      <c r="B33" s="6">
        <v>470</v>
      </c>
      <c r="C33" s="7" t="str">
        <f t="shared" si="0"/>
        <v>Premium4</v>
      </c>
      <c r="D33" s="7" t="str">
        <f t="shared" si="1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純心 トリスタン</v>
      </c>
      <c r="I33" s="7" t="str">
        <f>VLOOKUP(B33,[1]characters!$A:$J,10,FALSE)</f>
        <v>PremiumS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human</v>
      </c>
      <c r="N33" s="7" t="str">
        <f>VLOOKUP(B33,[1]characters!$A:$G,7,FALSE)</f>
        <v>男性</v>
      </c>
      <c r="O33" s="45">
        <f ca="1">IFERROR(VLOOKUP(B33,input_502010!L:R,7,FALSE),VLOOKUP(tables_502010!C33,input_502010!A:H,8,FALSE))</f>
        <v>201637.5</v>
      </c>
      <c r="P33" s="46">
        <f ca="1">O33/SUM(O:O)</f>
        <v>3.5251311189427481E-2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input_502010!A$2</f>
        <v>502010</v>
      </c>
      <c r="B34" s="6">
        <v>471</v>
      </c>
      <c r="C34" s="7" t="str">
        <f t="shared" si="0"/>
        <v>Premium5</v>
      </c>
      <c r="D34" s="7" t="str">
        <f t="shared" si="1"/>
        <v>Premium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不可避の爆激 トリスタン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ca="1">IFERROR(VLOOKUP(B34,input_502010!L:R,7,FALSE),VLOOKUP(tables_502010!C34,input_502010!A:H,8,FALSE))</f>
        <v>11606.923070000001</v>
      </c>
      <c r="P34" s="46">
        <f ca="1">O34/SUM(O:O)</f>
        <v>2.0291823549305811E-3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input_502010!A$2</f>
        <v>502010</v>
      </c>
      <c r="B35" s="6">
        <v>482</v>
      </c>
      <c r="C35" s="7" t="str">
        <f t="shared" si="0"/>
        <v>Premium4</v>
      </c>
      <c r="D35" s="7" t="str">
        <f t="shared" si="1"/>
        <v>Premium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魁僧 沢庵宗彭</v>
      </c>
      <c r="I35" s="7" t="str">
        <f>VLOOKUP(B35,[1]characters!$A:$J,10,FALSE)</f>
        <v>PremiumS</v>
      </c>
      <c r="J35" s="7">
        <f>VLOOKUP(B35,[1]characters!$A:$I,9,FALSE)</f>
        <v>4</v>
      </c>
      <c r="K35" s="7" t="str">
        <f>VLOOKUP(B35,[1]characters!$A:$H,8,FALSE)</f>
        <v>yellow</v>
      </c>
      <c r="L35" s="7" t="str">
        <f>VLOOKUP(B35,[1]characters!$A:$K,11,FALSE)</f>
        <v>hp</v>
      </c>
      <c r="M35" s="7" t="str">
        <f>VLOOKUP(B35,[1]characters!$A:$M,13,FALSE)</f>
        <v>human</v>
      </c>
      <c r="N35" s="7" t="str">
        <f>VLOOKUP(B35,[1]characters!$A:$G,7,FALSE)</f>
        <v>男性</v>
      </c>
      <c r="O35" s="45">
        <f ca="1">IFERROR(VLOOKUP(B35,input_502010!L:R,7,FALSE),VLOOKUP(tables_502010!C35,input_502010!A:H,8,FALSE))</f>
        <v>201637.5</v>
      </c>
      <c r="P35" s="46">
        <f ca="1">O35/SUM(O:O)</f>
        <v>3.5251311189427481E-2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input_502010!A$2</f>
        <v>502010</v>
      </c>
      <c r="B36" s="6">
        <v>483</v>
      </c>
      <c r="C36" s="7" t="str">
        <f t="shared" si="0"/>
        <v>Premium5</v>
      </c>
      <c r="D36" s="7" t="str">
        <f t="shared" si="1"/>
        <v>Premium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 xml:space="preserve">命経死遂 沢庵宗彭 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yellow</v>
      </c>
      <c r="L36" s="7" t="str">
        <f>VLOOKUP(B36,[1]characters!$A:$K,11,FALSE)</f>
        <v>hp</v>
      </c>
      <c r="M36" s="7" t="str">
        <f>VLOOKUP(B36,[1]characters!$A:$M,13,FALSE)</f>
        <v>human</v>
      </c>
      <c r="N36" s="7" t="str">
        <f>VLOOKUP(B36,[1]characters!$A:$G,7,FALSE)</f>
        <v>男性</v>
      </c>
      <c r="O36" s="45">
        <f ca="1">IFERROR(VLOOKUP(B36,input_502010!L:R,7,FALSE),VLOOKUP(tables_502010!C36,input_502010!A:H,8,FALSE))</f>
        <v>11606.923070000001</v>
      </c>
      <c r="P36" s="46">
        <f ca="1">O36/SUM(O:O)</f>
        <v>2.0291823549305811E-3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input_502010!A$2</f>
        <v>502010</v>
      </c>
      <c r="B37" s="6">
        <v>499</v>
      </c>
      <c r="C37" s="7" t="str">
        <f t="shared" si="0"/>
        <v>PremiumSS4</v>
      </c>
      <c r="D37" s="7" t="str">
        <f t="shared" si="1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ラプンツェル</v>
      </c>
      <c r="I37" s="7" t="str">
        <f>VLOOKUP(B37,[1]characters!$A:$J,10,FALSE)</f>
        <v>PremiumSS</v>
      </c>
      <c r="J37" s="7">
        <f>VLOOKUP(B37,[1]characters!$A:$I,9,FALSE)</f>
        <v>4</v>
      </c>
      <c r="K37" s="7" t="str">
        <f>VLOOKUP(B37,[1]characters!$A:$H,8,FALSE)</f>
        <v>yellow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IFERROR(VLOOKUP(B37,input_502010!L:R,7,FALSE),VLOOKUP(tables_502010!C37,input_502010!A:H,8,FALSE))</f>
        <v>21175</v>
      </c>
      <c r="P37" s="46">
        <f ca="1">O37/SUM(O:O)</f>
        <v>3.701923076987797E-3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input_502010!A$2</f>
        <v>502010</v>
      </c>
      <c r="B38" s="6">
        <v>500</v>
      </c>
      <c r="C38" s="7" t="str">
        <f t="shared" si="0"/>
        <v>PremiumSS5</v>
      </c>
      <c r="D38" s="7" t="str">
        <f t="shared" si="1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脈動の禁髪 ラプンツェル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IFERROR(VLOOKUP(B38,input_502010!L:R,7,FALSE),VLOOKUP(tables_502010!C38,input_502010!A:H,8,FALSE))</f>
        <v>3025</v>
      </c>
      <c r="P38" s="46">
        <f ca="1">O38/SUM(O:O)</f>
        <v>5.2884615385539958E-4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input_502010!A$2</f>
        <v>502010</v>
      </c>
      <c r="B39" s="6">
        <v>563</v>
      </c>
      <c r="C39" s="7" t="str">
        <f t="shared" si="0"/>
        <v>premium5R3less</v>
      </c>
      <c r="D39" s="7" t="str">
        <f t="shared" si="1"/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電翔紫閃の雷刃 ハヤト</v>
      </c>
      <c r="I39" s="7" t="str">
        <f>VLOOKUP(B39,[1]characters!$A:$J,10,FALSE)</f>
        <v>PremiumW</v>
      </c>
      <c r="J39" s="7">
        <f>VLOOKUP(B39,[1]characters!$A:$I,9,FALSE)</f>
        <v>5</v>
      </c>
      <c r="K39" s="7" t="str">
        <f>VLOOKUP(B39,[1]characters!$A:$H,8,FALSE)</f>
        <v>yellow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男性</v>
      </c>
      <c r="O39" s="45">
        <f ca="1">IFERROR(VLOOKUP(B39,input_502010!L:R,7,FALSE),VLOOKUP(tables_502010!C39,input_502010!A:H,8,FALSE))</f>
        <v>30062.5</v>
      </c>
      <c r="P39" s="46">
        <f ca="1">O39/SUM(O:O)</f>
        <v>5.2556818182737022E-3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input_502010!A$2</f>
        <v>502010</v>
      </c>
      <c r="B40" s="6">
        <v>567</v>
      </c>
      <c r="C40" s="7" t="str">
        <f t="shared" si="0"/>
        <v>premium5R3less</v>
      </c>
      <c r="D40" s="7" t="str">
        <f t="shared" si="1"/>
        <v>premium</v>
      </c>
      <c r="E40" s="7" t="str">
        <f>IF(COUNTIF('R6追加前'!A:A,B40)=0,IF(OR(I40="PremiumSS",I40="PremiumSSw"),"R5only","R3less"),"")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紅揚の祭狐宴舞 タマモ</v>
      </c>
      <c r="I40" s="7" t="str">
        <f>VLOOKUP(B40,[1]characters!$A:$J,10,FALSE)</f>
        <v>PremiumW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balance</v>
      </c>
      <c r="M40" s="7" t="str">
        <f>VLOOKUP(B40,[1]characters!$A:$M,13,FALSE)</f>
        <v>animal</v>
      </c>
      <c r="N40" s="7" t="str">
        <f>VLOOKUP(B40,[1]characters!$A:$G,7,FALSE)</f>
        <v>不明</v>
      </c>
      <c r="O40" s="45">
        <f ca="1">IFERROR(VLOOKUP(B40,input_502010!L:R,7,FALSE),VLOOKUP(tables_502010!C40,input_502010!A:H,8,FALSE))</f>
        <v>30062.5</v>
      </c>
      <c r="P40" s="46">
        <f ca="1">O40/SUM(O:O)</f>
        <v>5.2556818182737022E-3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input_502010!A$2</f>
        <v>502010</v>
      </c>
      <c r="B41" s="6">
        <v>594</v>
      </c>
      <c r="C41" s="7" t="str">
        <f t="shared" si="0"/>
        <v>PremiumSS4</v>
      </c>
      <c r="D41" s="7" t="str">
        <f t="shared" si="1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アルフヘイム</v>
      </c>
      <c r="I41" s="7" t="str">
        <f>VLOOKUP(B41,[1]characters!$A:$J,10,FALSE)</f>
        <v>PremiumSS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dragon</v>
      </c>
      <c r="N41" s="7" t="str">
        <f>VLOOKUP(B41,[1]characters!$A:$G,7,FALSE)</f>
        <v>不明</v>
      </c>
      <c r="O41" s="45">
        <f ca="1">IFERROR(VLOOKUP(B41,input_502010!L:R,7,FALSE),VLOOKUP(tables_502010!C41,input_502010!A:H,8,FALSE))</f>
        <v>21175</v>
      </c>
      <c r="P41" s="46">
        <f ca="1">O41/SUM(O:O)</f>
        <v>3.701923076987797E-3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input_502010!A$2</f>
        <v>502010</v>
      </c>
      <c r="B42" s="6">
        <v>595</v>
      </c>
      <c r="C42" s="7" t="str">
        <f t="shared" si="0"/>
        <v>PremiumSS5</v>
      </c>
      <c r="D42" s="7" t="str">
        <f t="shared" si="1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光華なる神域 アルフヘイム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yellow</v>
      </c>
      <c r="L42" s="7" t="str">
        <f>VLOOKUP(B42,[1]characters!$A:$K,11,FALSE)</f>
        <v>attack</v>
      </c>
      <c r="M42" s="7" t="str">
        <f>VLOOKUP(B42,[1]characters!$A:$M,13,FALSE)</f>
        <v>dragon</v>
      </c>
      <c r="N42" s="7" t="str">
        <f>VLOOKUP(B42,[1]characters!$A:$G,7,FALSE)</f>
        <v>不明</v>
      </c>
      <c r="O42" s="45">
        <f ca="1">IFERROR(VLOOKUP(B42,input_502010!L:R,7,FALSE),VLOOKUP(tables_502010!C42,input_502010!A:H,8,FALSE))</f>
        <v>3025</v>
      </c>
      <c r="P42" s="46">
        <f ca="1">O42/SUM(O:O)</f>
        <v>5.2884615385539958E-4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input_502010!A$2</f>
        <v>502010</v>
      </c>
      <c r="B43" s="6">
        <v>605</v>
      </c>
      <c r="C43" s="7" t="str">
        <f t="shared" si="0"/>
        <v>Premium4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祝福される光耀 バルドル</v>
      </c>
      <c r="I43" s="7" t="str">
        <f>VLOOKUP(B43,[1]characters!$A:$J,10,FALSE)</f>
        <v>PremiumS</v>
      </c>
      <c r="J43" s="7">
        <f>VLOOKUP(B43,[1]characters!$A:$I,9,FALSE)</f>
        <v>4</v>
      </c>
      <c r="K43" s="7" t="str">
        <f>VLOOKUP(B43,[1]characters!$A:$H,8,FALSE)</f>
        <v>yellow</v>
      </c>
      <c r="L43" s="7" t="str">
        <f>VLOOKUP(B43,[1]characters!$A:$K,11,FALSE)</f>
        <v>heal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IFERROR(VLOOKUP(B43,input_502010!L:R,7,FALSE),VLOOKUP(tables_502010!C43,input_502010!A:H,8,FALSE))</f>
        <v>201637.5</v>
      </c>
      <c r="P43" s="46">
        <f ca="1">O43/SUM(O:O)</f>
        <v>3.5251311189427481E-2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input_502010!A$2</f>
        <v>502010</v>
      </c>
      <c r="B44" s="6">
        <v>606</v>
      </c>
      <c r="C44" s="7" t="str">
        <f t="shared" si="0"/>
        <v>Premium5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冀望の光芒 バルドル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yellow</v>
      </c>
      <c r="L44" s="7" t="str">
        <f>VLOOKUP(B44,[1]characters!$A:$K,11,FALSE)</f>
        <v>heal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IFERROR(VLOOKUP(B44,input_502010!L:R,7,FALSE),VLOOKUP(tables_502010!C44,input_502010!A:H,8,FALSE))</f>
        <v>11606.923070000001</v>
      </c>
      <c r="P44" s="46">
        <f ca="1">O44/SUM(O:O)</f>
        <v>2.0291823549305811E-3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input_502010!A$2</f>
        <v>502010</v>
      </c>
      <c r="B45" s="6">
        <v>666</v>
      </c>
      <c r="C45" s="7" t="str">
        <f t="shared" si="0"/>
        <v>Premium4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拡散する幸福 テマリ</v>
      </c>
      <c r="I45" s="7" t="str">
        <f>VLOOKUP(B45,[1]characters!$A:$J,10,FALSE)</f>
        <v>PremiumS</v>
      </c>
      <c r="J45" s="7">
        <f>VLOOKUP(B45,[1]characters!$A:$I,9,FALSE)</f>
        <v>4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unknown</v>
      </c>
      <c r="N45" s="7" t="str">
        <f>VLOOKUP(B45,[1]characters!$A:$G,7,FALSE)</f>
        <v>女性</v>
      </c>
      <c r="O45" s="45">
        <f ca="1">IFERROR(VLOOKUP(B45,input_502010!L:R,7,FALSE),VLOOKUP(tables_502010!C45,input_502010!A:H,8,FALSE))</f>
        <v>201637.5</v>
      </c>
      <c r="P45" s="46">
        <f ca="1">O45/SUM(O:O)</f>
        <v>3.5251311189427481E-2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input_502010!A$2</f>
        <v>502010</v>
      </c>
      <c r="B46" s="6">
        <v>667</v>
      </c>
      <c r="C46" s="7" t="str">
        <f t="shared" si="0"/>
        <v>Premium5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最幸運の妖童 テマリ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balance</v>
      </c>
      <c r="M46" s="7" t="str">
        <f>VLOOKUP(B46,[1]characters!$A:$M,13,FALSE)</f>
        <v>unknown</v>
      </c>
      <c r="N46" s="7" t="str">
        <f>VLOOKUP(B46,[1]characters!$A:$G,7,FALSE)</f>
        <v>女性</v>
      </c>
      <c r="O46" s="45">
        <f ca="1">IFERROR(VLOOKUP(B46,input_502010!L:R,7,FALSE),VLOOKUP(tables_502010!C46,input_502010!A:H,8,FALSE))</f>
        <v>11606.923070000001</v>
      </c>
      <c r="P46" s="46">
        <f ca="1">O46/SUM(O:O)</f>
        <v>2.0291823549305811E-3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input_502010!A$2</f>
        <v>502010</v>
      </c>
      <c r="B47" s="6">
        <v>676</v>
      </c>
      <c r="C47" s="7" t="str">
        <f t="shared" si="0"/>
        <v>PremiumSS4</v>
      </c>
      <c r="D47" s="7" t="str">
        <f t="shared" si="1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ヴィシュヌ</v>
      </c>
      <c r="I47" s="7" t="str">
        <f>VLOOKUP(B47,[1]characters!$A:$J,10,FALSE)</f>
        <v>PremiumSS</v>
      </c>
      <c r="J47" s="7">
        <f>VLOOKUP(B47,[1]characters!$A:$I,9,FALSE)</f>
        <v>4</v>
      </c>
      <c r="K47" s="7" t="str">
        <f>VLOOKUP(B47,[1]characters!$A:$H,8,FALSE)</f>
        <v>yellow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IFERROR(VLOOKUP(B47,input_502010!L:R,7,FALSE),VLOOKUP(tables_502010!C47,input_502010!A:H,8,FALSE))</f>
        <v>21175</v>
      </c>
      <c r="P47" s="46">
        <f ca="1">O47/SUM(O:O)</f>
        <v>3.701923076987797E-3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input_502010!A$2</f>
        <v>502010</v>
      </c>
      <c r="B48" s="6">
        <v>677</v>
      </c>
      <c r="C48" s="7" t="str">
        <f t="shared" si="0"/>
        <v>PremiumSS5</v>
      </c>
      <c r="D48" s="7" t="str">
        <f t="shared" si="1"/>
        <v>PremiumSS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武遊闊歩 ヴィシュヌ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yellow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IFERROR(VLOOKUP(B48,input_502010!L:R,7,FALSE),VLOOKUP(tables_502010!C48,input_502010!A:H,8,FALSE))</f>
        <v>3025</v>
      </c>
      <c r="P48" s="46">
        <f ca="1">O48/SUM(O:O)</f>
        <v>5.2884615385539958E-4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input_502010!A$2</f>
        <v>502010</v>
      </c>
      <c r="B49" s="6">
        <v>734</v>
      </c>
      <c r="C49" s="7" t="str">
        <f t="shared" si="0"/>
        <v>PremiumSS5R5only</v>
      </c>
      <c r="D49" s="7" t="str">
        <f t="shared" si="1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伊達政宗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balance</v>
      </c>
      <c r="M49" s="7" t="str">
        <f>VLOOKUP(B49,[1]characters!$A:$M,13,FALSE)</f>
        <v>human</v>
      </c>
      <c r="N49" s="7" t="str">
        <f>VLOOKUP(B49,[1]characters!$A:$G,7,FALSE)</f>
        <v>男性</v>
      </c>
      <c r="O49" s="45">
        <f ca="1">IFERROR(VLOOKUP(B49,input_502010!L:R,7,FALSE),VLOOKUP(tables_502010!C49,input_502010!A:H,8,FALSE))</f>
        <v>23600</v>
      </c>
      <c r="P49" s="46">
        <f ca="1">O49/SUM(O:O)</f>
        <v>4.1258741259462576E-3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input_502010!A$2</f>
        <v>502010</v>
      </c>
      <c r="B50" s="6">
        <v>748</v>
      </c>
      <c r="C50" s="7" t="str">
        <f t="shared" si="0"/>
        <v>Premium4R3less</v>
      </c>
      <c r="D50" s="7" t="str">
        <f t="shared" si="1"/>
        <v>Premium</v>
      </c>
      <c r="E50" s="7" t="str">
        <f>IF(COUNTIF('R6追加前'!A:A,B50)=0,IF(OR(I50="PremiumSS",I50="PremiumSSw"),"R5only","R3less"),"")</f>
        <v>R3less</v>
      </c>
      <c r="F50" s="7" t="str">
        <f>IF(COUNTIF('R6開放'!A:A,B50)&gt;0,"R6release","")</f>
        <v/>
      </c>
      <c r="G50" s="7"/>
      <c r="H50" s="7" t="str">
        <f>VLOOKUP(B50,[1]characters!$A:$C,3,FALSE)</f>
        <v>パーン</v>
      </c>
      <c r="I50" s="7" t="str">
        <f>VLOOKUP(B50,[1]characters!$A:$J,10,FALSE)</f>
        <v>PremiumS</v>
      </c>
      <c r="J50" s="7">
        <f>VLOOKUP(B50,[1]characters!$A:$I,9,FALSE)</f>
        <v>4</v>
      </c>
      <c r="K50" s="7" t="str">
        <f>VLOOKUP(B50,[1]characters!$A:$H,8,FALSE)</f>
        <v>yellow</v>
      </c>
      <c r="L50" s="7" t="str">
        <f>VLOOKUP(B50,[1]characters!$A:$K,11,FALSE)</f>
        <v>heal</v>
      </c>
      <c r="M50" s="7" t="str">
        <f>VLOOKUP(B50,[1]characters!$A:$M,13,FALSE)</f>
        <v>animal</v>
      </c>
      <c r="N50" s="7" t="str">
        <f>VLOOKUP(B50,[1]characters!$A:$G,7,FALSE)</f>
        <v>男性</v>
      </c>
      <c r="O50" s="45">
        <f ca="1">IFERROR(VLOOKUP(B50,input_502010!L:R,7,FALSE),VLOOKUP(tables_502010!C50,input_502010!A:H,8,FALSE))</f>
        <v>190395.83332999999</v>
      </c>
      <c r="P50" s="46">
        <f ca="1">O50/SUM(O:O)</f>
        <v>3.3285984848484031E-2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input_502010!A$2</f>
        <v>502010</v>
      </c>
      <c r="B51" s="6">
        <v>749</v>
      </c>
      <c r="C51" s="7" t="str">
        <f t="shared" si="0"/>
        <v>Premium5R3less</v>
      </c>
      <c r="D51" s="7" t="str">
        <f t="shared" si="1"/>
        <v>Premium</v>
      </c>
      <c r="E51" s="7" t="str">
        <f>IF(COUNTIF('R6追加前'!A:A,B51)=0,IF(OR(I51="PremiumSS",I51="PremiumSSw"),"R5only","R3less"),"")</f>
        <v>R3less</v>
      </c>
      <c r="F51" s="7" t="str">
        <f>IF(COUNTIF('R6開放'!A:A,B51)&gt;0,"R6release","")</f>
        <v/>
      </c>
      <c r="G51" s="7"/>
      <c r="H51" s="7" t="str">
        <f>VLOOKUP(B51,[1]characters!$A:$C,3,FALSE)</f>
        <v>光喜の牧童 パーン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yellow</v>
      </c>
      <c r="L51" s="7" t="str">
        <f>VLOOKUP(B51,[1]characters!$A:$K,11,FALSE)</f>
        <v>heal</v>
      </c>
      <c r="M51" s="7" t="str">
        <f>VLOOKUP(B51,[1]characters!$A:$M,13,FALSE)</f>
        <v>animal</v>
      </c>
      <c r="N51" s="7" t="str">
        <f>VLOOKUP(B51,[1]characters!$A:$G,7,FALSE)</f>
        <v>男性</v>
      </c>
      <c r="O51" s="45">
        <f ca="1">IFERROR(VLOOKUP(B51,input_502010!L:R,7,FALSE),VLOOKUP(tables_502010!C51,input_502010!A:H,8,FALSE))</f>
        <v>30062.5</v>
      </c>
      <c r="P51" s="46">
        <f ca="1">O51/SUM(O:O)</f>
        <v>5.2556818182737022E-3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input_502010!A$2</f>
        <v>502010</v>
      </c>
      <c r="B52" s="6">
        <v>778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一亀懸明 ガメック</v>
      </c>
      <c r="I52" s="7" t="str">
        <f>VLOOKUP(B52,[1]characters!$A:$J,10,FALSE)</f>
        <v>PremiumS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hp</v>
      </c>
      <c r="M52" s="7" t="str">
        <f>VLOOKUP(B52,[1]characters!$A:$M,13,FALSE)</f>
        <v>animal</v>
      </c>
      <c r="N52" s="7" t="str">
        <f>VLOOKUP(B52,[1]characters!$A:$G,7,FALSE)</f>
        <v>不明</v>
      </c>
      <c r="O52" s="45">
        <f ca="1">IFERROR(VLOOKUP(B52,input_502010!L:R,7,FALSE),VLOOKUP(tables_502010!C52,input_502010!A:H,8,FALSE))</f>
        <v>201637.5</v>
      </c>
      <c r="P52" s="46">
        <f ca="1">O52/SUM(O:O)</f>
        <v>3.5251311189427481E-2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input_502010!A$2</f>
        <v>502010</v>
      </c>
      <c r="B53" s="6">
        <v>779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頑堅咬亀 ガメック</v>
      </c>
      <c r="I53" s="7" t="str">
        <f>VLOOKUP(B53,[1]characters!$A:$J,10,FALSE)</f>
        <v>PremiumS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ca="1">IFERROR(VLOOKUP(B53,input_502010!L:R,7,FALSE),VLOOKUP(tables_502010!C53,input_502010!A:H,8,FALSE))</f>
        <v>11606.923070000001</v>
      </c>
      <c r="P53" s="46">
        <f ca="1">O53/SUM(O:O)</f>
        <v>2.0291823549305811E-3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input_502010!A$2</f>
        <v>502010</v>
      </c>
      <c r="B54" s="6">
        <v>854</v>
      </c>
      <c r="C54" s="7" t="str">
        <f t="shared" si="0"/>
        <v>Premium4R3less</v>
      </c>
      <c r="D54" s="7" t="str">
        <f t="shared" si="1"/>
        <v>Premium</v>
      </c>
      <c r="E54" s="7" t="str">
        <f>IF(COUNTIF('R6追加前'!A:A,B54)=0,IF(OR(I54="PremiumSS",I54="PremiumSSw"),"R5only","R3less"),"")</f>
        <v>R3less</v>
      </c>
      <c r="F54" s="7" t="str">
        <f>IF(COUNTIF('R6開放'!A:A,B54)&gt;0,"R6release","")</f>
        <v/>
      </c>
      <c r="G54" s="7"/>
      <c r="H54" s="7" t="str">
        <f>VLOOKUP(B54,[1]characters!$A:$C,3,FALSE)</f>
        <v>フラウロス</v>
      </c>
      <c r="I54" s="7" t="str">
        <f>VLOOKUP(B54,[1]characters!$A:$J,10,FALSE)</f>
        <v>PremiumS</v>
      </c>
      <c r="J54" s="7">
        <f>VLOOKUP(B54,[1]characters!$A:$I,9,FALSE)</f>
        <v>4</v>
      </c>
      <c r="K54" s="7" t="str">
        <f>VLOOKUP(B54,[1]characters!$A:$H,8,FALSE)</f>
        <v>yellow</v>
      </c>
      <c r="L54" s="7" t="str">
        <f>VLOOKUP(B54,[1]characters!$A:$K,11,FALSE)</f>
        <v>attack</v>
      </c>
      <c r="M54" s="7" t="str">
        <f>VLOOKUP(B54,[1]characters!$A:$M,13,FALSE)</f>
        <v>animal</v>
      </c>
      <c r="N54" s="7" t="str">
        <f>VLOOKUP(B54,[1]characters!$A:$G,7,FALSE)</f>
        <v>男性</v>
      </c>
      <c r="O54" s="45">
        <f ca="1">IFERROR(VLOOKUP(B54,input_502010!L:R,7,FALSE),VLOOKUP(tables_502010!C54,input_502010!A:H,8,FALSE))</f>
        <v>190395.83332999999</v>
      </c>
      <c r="P54" s="46">
        <f ca="1">O54/SUM(O:O)</f>
        <v>3.3285984848484031E-2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input_502010!A$2</f>
        <v>502010</v>
      </c>
      <c r="B55" s="6">
        <v>855</v>
      </c>
      <c r="C55" s="7" t="str">
        <f t="shared" si="0"/>
        <v>Premium5R3less</v>
      </c>
      <c r="D55" s="7" t="str">
        <f t="shared" si="1"/>
        <v>Premium</v>
      </c>
      <c r="E55" s="7" t="str">
        <f>IF(COUNTIF('R6追加前'!A:A,B55)=0,IF(OR(I55="PremiumSS",I55="PremiumSSw"),"R5only","R3less"),"")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豹魔の侠客 フラウロス</v>
      </c>
      <c r="I55" s="7" t="str">
        <f>VLOOKUP(B55,[1]characters!$A:$J,10,FALSE)</f>
        <v>PremiumS</v>
      </c>
      <c r="J55" s="7">
        <f>VLOOKUP(B55,[1]characters!$A:$I,9,FALSE)</f>
        <v>5</v>
      </c>
      <c r="K55" s="7" t="str">
        <f>VLOOKUP(B55,[1]characters!$A:$H,8,FALSE)</f>
        <v>yellow</v>
      </c>
      <c r="L55" s="7" t="str">
        <f>VLOOKUP(B55,[1]characters!$A:$K,11,FALSE)</f>
        <v>attack</v>
      </c>
      <c r="M55" s="7" t="str">
        <f>VLOOKUP(B55,[1]characters!$A:$M,13,FALSE)</f>
        <v>animal</v>
      </c>
      <c r="N55" s="7" t="str">
        <f>VLOOKUP(B55,[1]characters!$A:$G,7,FALSE)</f>
        <v>男性</v>
      </c>
      <c r="O55" s="45">
        <f ca="1">IFERROR(VLOOKUP(B55,input_502010!L:R,7,FALSE),VLOOKUP(tables_502010!C55,input_502010!A:H,8,FALSE))</f>
        <v>30062.5</v>
      </c>
      <c r="P55" s="46">
        <f ca="1">O55/SUM(O:O)</f>
        <v>5.2556818182737022E-3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input_502010!A$2</f>
        <v>502010</v>
      </c>
      <c r="B56" s="6">
        <v>868</v>
      </c>
      <c r="C56" s="7" t="str">
        <f t="shared" si="0"/>
        <v>PremiumSS5R5only</v>
      </c>
      <c r="D56" s="7" t="str">
        <f t="shared" si="1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アラジンと殲滅機兵LAMP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hp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f ca="1">IFERROR(VLOOKUP(B56,input_502010!L:R,7,FALSE),VLOOKUP(tables_502010!C56,input_502010!A:H,8,FALSE))</f>
        <v>23600</v>
      </c>
      <c r="P56" s="46">
        <f ca="1">O56/SUM(O:O)</f>
        <v>4.1258741259462576E-3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input_502010!A$2</f>
        <v>502010</v>
      </c>
      <c r="B57" s="6">
        <v>943</v>
      </c>
      <c r="C57" s="7" t="str">
        <f t="shared" si="0"/>
        <v>PremiumSS5R5only</v>
      </c>
      <c r="D57" s="7" t="str">
        <f t="shared" si="1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サンソン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ca="1">IFERROR(VLOOKUP(B57,input_502010!L:R,7,FALSE),VLOOKUP(tables_502010!C57,input_502010!A:H,8,FALSE))</f>
        <v>23600</v>
      </c>
      <c r="P57" s="46">
        <f ca="1">O57/SUM(O:O)</f>
        <v>4.1258741259462576E-3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input_502010!A$2</f>
        <v>502010</v>
      </c>
      <c r="B58" s="6">
        <v>1018</v>
      </c>
      <c r="C58" s="7" t="str">
        <f t="shared" si="0"/>
        <v>PremiumSS5R5only</v>
      </c>
      <c r="D58" s="7" t="str">
        <f t="shared" si="1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バステト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男性</v>
      </c>
      <c r="O58" s="45">
        <f ca="1">IFERROR(VLOOKUP(B58,input_502010!L:R,7,FALSE),VLOOKUP(tables_502010!C58,input_502010!A:H,8,FALSE))</f>
        <v>23600</v>
      </c>
      <c r="P58" s="46">
        <f ca="1">O58/SUM(O:O)</f>
        <v>4.1258741259462576E-3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input_502010!A$2</f>
        <v>502010</v>
      </c>
      <c r="B59" s="6">
        <v>1033</v>
      </c>
      <c r="C59" s="7" t="str">
        <f t="shared" si="0"/>
        <v>PremiumSS5R5only</v>
      </c>
      <c r="D59" s="7" t="str">
        <f t="shared" si="1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清少納言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heal</v>
      </c>
      <c r="M59" s="7" t="str">
        <f>VLOOKUP(B59,[1]characters!$A:$M,13,FALSE)</f>
        <v>human</v>
      </c>
      <c r="N59" s="7" t="str">
        <f>VLOOKUP(B59,[1]characters!$A:$G,7,FALSE)</f>
        <v>男性</v>
      </c>
      <c r="O59" s="45">
        <f ca="1">IFERROR(VLOOKUP(B59,input_502010!L:R,7,FALSE),VLOOKUP(tables_502010!C59,input_502010!A:H,8,FALSE))</f>
        <v>23600</v>
      </c>
      <c r="P59" s="46">
        <f ca="1">O59/SUM(O:O)</f>
        <v>4.1258741259462576E-3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input_502010!A$2</f>
        <v>502010</v>
      </c>
      <c r="B60" s="6">
        <v>1074</v>
      </c>
      <c r="C60" s="7" t="str">
        <f t="shared" si="0"/>
        <v>PremiumSS5R5only</v>
      </c>
      <c r="D60" s="7" t="str">
        <f t="shared" si="1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マルドゥク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yellow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ca="1">IFERROR(VLOOKUP(B60,input_502010!L:R,7,FALSE),VLOOKUP(tables_502010!C60,input_502010!A:H,8,FALSE))</f>
        <v>23600</v>
      </c>
      <c r="P60" s="46">
        <f ca="1">O60/SUM(O:O)</f>
        <v>4.1258741259462576E-3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input_502010!A$2</f>
        <v>502010</v>
      </c>
      <c r="B61" s="6">
        <v>1106</v>
      </c>
      <c r="C61" s="7" t="str">
        <f t="shared" si="0"/>
        <v>PremiumSS5R5only</v>
      </c>
      <c r="D61" s="7" t="str">
        <f t="shared" si="1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ラファエロ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attack</v>
      </c>
      <c r="M61" s="7" t="str">
        <f>VLOOKUP(B61,[1]characters!$A:$M,13,FALSE)</f>
        <v>human</v>
      </c>
      <c r="N61" s="7" t="str">
        <f>VLOOKUP(B61,[1]characters!$A:$G,7,FALSE)</f>
        <v>不明</v>
      </c>
      <c r="O61" s="45">
        <f ca="1">IFERROR(VLOOKUP(B61,input_502010!L:R,7,FALSE),VLOOKUP(tables_502010!C61,input_502010!A:H,8,FALSE))</f>
        <v>23600</v>
      </c>
      <c r="P61" s="46">
        <f ca="1">O61/SUM(O:O)</f>
        <v>4.1258741259462576E-3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input_502010!A$2</f>
        <v>502010</v>
      </c>
      <c r="B62" s="8">
        <v>1143</v>
      </c>
      <c r="C62" s="7" t="str">
        <f t="shared" si="0"/>
        <v>Premium4R3less</v>
      </c>
      <c r="D62" s="7" t="str">
        <f t="shared" si="1"/>
        <v>Premium</v>
      </c>
      <c r="E62" s="7" t="str">
        <f>IF(COUNTIF('R6追加前'!A:A,B62)=0,IF(OR(I62="PremiumSS",I62="PremiumSSw"),"R5only","R3less"),"")</f>
        <v>R3less</v>
      </c>
      <c r="F62" s="7" t="str">
        <f>IF(COUNTIF('R6開放'!A:A,B62)&gt;0,"R6release","")</f>
        <v/>
      </c>
      <c r="G62" s="7"/>
      <c r="H62" s="7" t="str">
        <f>VLOOKUP(B62,[1]characters!$A:$C,3,FALSE)</f>
        <v>黄忠</v>
      </c>
      <c r="I62" s="7" t="str">
        <f>VLOOKUP(B62,[1]characters!$A:$J,10,FALSE)</f>
        <v>PremiumS</v>
      </c>
      <c r="J62" s="7">
        <f>VLOOKUP(B62,[1]characters!$A:$I,9,FALSE)</f>
        <v>4</v>
      </c>
      <c r="K62" s="7" t="str">
        <f>VLOOKUP(B62,[1]characters!$A:$H,8,FALSE)</f>
        <v>yellow</v>
      </c>
      <c r="L62" s="7" t="str">
        <f>VLOOKUP(B62,[1]characters!$A:$K,11,FALSE)</f>
        <v>technical</v>
      </c>
      <c r="M62" s="7" t="str">
        <f>VLOOKUP(B62,[1]characters!$A:$M,13,FALSE)</f>
        <v>samurai</v>
      </c>
      <c r="N62" s="7" t="str">
        <f>VLOOKUP(B62,[1]characters!$A:$G,7,FALSE)</f>
        <v>不明</v>
      </c>
      <c r="O62" s="45">
        <f ca="1">IFERROR(VLOOKUP(B62,input_502010!L:R,7,FALSE),VLOOKUP(tables_502010!C62,input_502010!A:H,8,FALSE))</f>
        <v>190395.83332999999</v>
      </c>
      <c r="P62" s="46">
        <f ca="1">O62/SUM(O:O)</f>
        <v>3.3285984848484031E-2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input_502010!A$2</f>
        <v>502010</v>
      </c>
      <c r="B63" s="8">
        <v>1144</v>
      </c>
      <c r="C63" s="7" t="str">
        <f t="shared" si="0"/>
        <v>Premium5R3less</v>
      </c>
      <c r="D63" s="7" t="str">
        <f t="shared" si="1"/>
        <v>Premium</v>
      </c>
      <c r="E63" s="7" t="str">
        <f>IF(COUNTIF('R6追加前'!A:A,B63)=0,IF(OR(I63="PremiumSS",I63="PremiumSSw"),"R5only","R3less"),"")</f>
        <v>R3less</v>
      </c>
      <c r="F63" s="7" t="str">
        <f>IF(COUNTIF('R6開放'!A:A,B63)&gt;0,"R6release","")</f>
        <v/>
      </c>
      <c r="G63" s="7"/>
      <c r="H63" s="7" t="str">
        <f>VLOOKUP(B63,[1]characters!$A:$C,3,FALSE)</f>
        <v>白星を射る老将 黄忠</v>
      </c>
      <c r="I63" s="7" t="str">
        <f>VLOOKUP(B63,[1]characters!$A:$J,10,FALSE)</f>
        <v>PremiumS</v>
      </c>
      <c r="J63" s="7">
        <f>VLOOKUP(B63,[1]characters!$A:$I,9,FALSE)</f>
        <v>5</v>
      </c>
      <c r="K63" s="7" t="str">
        <f>VLOOKUP(B63,[1]characters!$A:$H,8,FALSE)</f>
        <v>yellow</v>
      </c>
      <c r="L63" s="7" t="str">
        <f>VLOOKUP(B63,[1]characters!$A:$K,11,FALSE)</f>
        <v>technical</v>
      </c>
      <c r="M63" s="7" t="str">
        <f>VLOOKUP(B63,[1]characters!$A:$M,13,FALSE)</f>
        <v>samurai</v>
      </c>
      <c r="N63" s="7" t="str">
        <f>VLOOKUP(B63,[1]characters!$A:$G,7,FALSE)</f>
        <v>不明</v>
      </c>
      <c r="O63" s="45">
        <f ca="1">IFERROR(VLOOKUP(B63,input_502010!L:R,7,FALSE),VLOOKUP(tables_502010!C63,input_502010!A:H,8,FALSE))</f>
        <v>30062.5</v>
      </c>
      <c r="P63" s="46">
        <f ca="1">O63/SUM(O:O)</f>
        <v>5.2556818182737022E-3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input_502010!A$2</f>
        <v>502010</v>
      </c>
      <c r="B64" s="8">
        <v>1157</v>
      </c>
      <c r="C64" s="7" t="str">
        <f t="shared" si="0"/>
        <v>PremiumSS5R5only</v>
      </c>
      <c r="D64" s="7" t="str">
        <f t="shared" si="1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インドラ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god</v>
      </c>
      <c r="N64" s="7" t="str">
        <f>VLOOKUP(B64,[1]characters!$A:$G,7,FALSE)</f>
        <v>不明</v>
      </c>
      <c r="O64" s="45">
        <f ca="1">IFERROR(VLOOKUP(B64,input_502010!L:R,7,FALSE),VLOOKUP(tables_502010!C64,input_502010!A:H,8,FALSE))</f>
        <v>23600</v>
      </c>
      <c r="P64" s="46">
        <f ca="1">O64/SUM(O:O)</f>
        <v>4.1258741259462576E-3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input_502010!A$2</f>
        <v>502010</v>
      </c>
      <c r="B65" s="8">
        <v>1214</v>
      </c>
      <c r="C65" s="7" t="str">
        <f t="shared" si="0"/>
        <v>PremiumSS5R5only</v>
      </c>
      <c r="D65" s="7" t="str">
        <f t="shared" si="1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アルテミス</v>
      </c>
      <c r="I65" s="7" t="str">
        <f>VLOOKUP(B65,[1]characters!$A:$J,10,FALSE)</f>
        <v>PremiumSSw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god</v>
      </c>
      <c r="N65" s="7">
        <f>VLOOKUP(B65,[1]characters!$A:$G,7,FALSE)</f>
        <v>0</v>
      </c>
      <c r="O65" s="45">
        <f ca="1">IFERROR(VLOOKUP(B65,input_502010!L:R,7,FALSE),VLOOKUP(tables_502010!C65,input_502010!A:H,8,FALSE))</f>
        <v>23600</v>
      </c>
      <c r="P65" s="46">
        <f ca="1">O65/SUM(O:O)</f>
        <v>4.1258741259462576E-3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input_502010!A$2</f>
        <v>502010</v>
      </c>
      <c r="B66" s="6">
        <v>1230</v>
      </c>
      <c r="C66" s="7" t="str">
        <f t="shared" ref="C66:C69" si="2">D66&amp;J66&amp;E66&amp;F66&amp;G66</f>
        <v>PremiumSS5R5only</v>
      </c>
      <c r="D66" s="7" t="str">
        <f t="shared" si="1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夏目漱石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yellow</v>
      </c>
      <c r="L66" s="7" t="str">
        <f>VLOOKUP(B66,[1]characters!$A:$K,11,FALSE)</f>
        <v>heal</v>
      </c>
      <c r="M66" s="7" t="str">
        <f>VLOOKUP(B66,[1]characters!$A:$M,13,FALSE)</f>
        <v>animal</v>
      </c>
      <c r="N66" s="7">
        <f>VLOOKUP(B66,[1]characters!$A:$G,7,FALSE)</f>
        <v>0</v>
      </c>
      <c r="O66" s="45">
        <f ca="1">IFERROR(VLOOKUP(B66,input_502010!L:R,7,FALSE),VLOOKUP(tables_502010!C66,input_502010!A:H,8,FALSE))</f>
        <v>23600</v>
      </c>
      <c r="P66" s="46">
        <f ca="1">O66/SUM(O:O)</f>
        <v>4.1258741259462576E-3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input_502010!A$2</f>
        <v>502010</v>
      </c>
      <c r="B67" s="6">
        <v>1250</v>
      </c>
      <c r="C67" s="7" t="str">
        <f t="shared" si="2"/>
        <v>PremiumSS5R5only</v>
      </c>
      <c r="D67" s="7" t="str">
        <f t="shared" ref="D67:D69" si="3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f ca="1">IFERROR(VLOOKUP(B67,input_502010!L:R,7,FALSE),VLOOKUP(tables_502010!C67,input_502010!A:H,8,FALSE))</f>
        <v>23600</v>
      </c>
      <c r="P67" s="46">
        <f ca="1">O67/SUM(O:O)</f>
        <v>4.1258741259462576E-3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input_502010!A$2</f>
        <v>502010</v>
      </c>
      <c r="B68" s="6">
        <v>760</v>
      </c>
      <c r="C68" s="7" t="str">
        <f t="shared" si="2"/>
        <v>PremiumSSS5R3less</v>
      </c>
      <c r="D68" s="7" t="str">
        <f t="shared" si="3"/>
        <v>PremiumSSS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限論顕現 クロネッカー</v>
      </c>
      <c r="I68" s="7" t="str">
        <f>VLOOKUP(B68,[1]characters!$A:$J,10,FALSE)</f>
        <v>PremiumSSS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男性</v>
      </c>
      <c r="O68" s="45">
        <f>IFERROR(VLOOKUP(B68,input_502010!L:R,7,FALSE),VLOOKUP(tables_502010!C68,input_502010!A:H,8,FALSE))</f>
        <v>22880</v>
      </c>
      <c r="P68" s="46">
        <f ca="1">O68/SUM(O:O)</f>
        <v>4.0000000000699311E-3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input_502010!A$2</f>
        <v>502010</v>
      </c>
      <c r="B69" s="6">
        <v>410</v>
      </c>
      <c r="C69" s="7" t="str">
        <f t="shared" si="2"/>
        <v>PremiumSSS4R3less</v>
      </c>
      <c r="D69" s="7" t="str">
        <f t="shared" si="3"/>
        <v>PremiumSSS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ファラデー</v>
      </c>
      <c r="I69" s="7" t="str">
        <f>VLOOKUP(B69,[1]characters!$A:$J,10,FALSE)</f>
        <v>PremiumSSS</v>
      </c>
      <c r="J69" s="7">
        <f>VLOOKUP(B69,[1]characters!$A:$I,9,FALSE)</f>
        <v>4</v>
      </c>
      <c r="K69" s="7" t="str">
        <f>VLOOKUP(B69,[1]characters!$A:$H,8,FALSE)</f>
        <v>yellow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>IFERROR(VLOOKUP(B69,input_502010!L:R,7,FALSE),VLOOKUP(tables_502010!C69,input_502010!A:H,8,FALSE))</f>
        <v>11440</v>
      </c>
      <c r="P69" s="46">
        <f ca="1">O69/SUM(O:O)</f>
        <v>2.0000000000349656E-3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input_502010!A$2</f>
        <v>502010</v>
      </c>
      <c r="B70" s="60">
        <v>411</v>
      </c>
      <c r="C70" s="7" t="str">
        <f t="shared" ref="C70:C73" si="4">D70&amp;J70&amp;E70&amp;F70&amp;G70</f>
        <v>PremiumSSS5R3less</v>
      </c>
      <c r="D70" s="7" t="str">
        <f t="shared" ref="D70:D73" si="5">IF(OR(I70="PremiumSS",I70="PremiumSSw"),"PremiumSS",IF(I70="PremiumSSS",I70,IF(I70="PremiumW",IF(J70=5,"premium",I70),"Premium")))</f>
        <v>PremiumSSS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電隷の始祖 ファラデー</v>
      </c>
      <c r="I70" s="7" t="str">
        <f>VLOOKUP(B70,[1]characters!$A:$J,10,FALSE)</f>
        <v>PremiumSSS</v>
      </c>
      <c r="J70" s="7">
        <f>VLOOKUP(B70,[1]characters!$A:$I,9,FALSE)</f>
        <v>5</v>
      </c>
      <c r="K70" s="7" t="str">
        <f>VLOOKUP(B70,[1]characters!$A:$H,8,FALSE)</f>
        <v>yellow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IFERROR(VLOOKUP(B70,input_502010!L:R,7,FALSE),VLOOKUP(tables_502010!C70,input_502010!A:H,8,FALSE))</f>
        <v>11440</v>
      </c>
      <c r="P70" s="46">
        <f ca="1">O70/SUM(O:O)</f>
        <v>2.0000000000349656E-3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input_502010!A$2</f>
        <v>502010</v>
      </c>
      <c r="B71" s="60">
        <v>489</v>
      </c>
      <c r="C71" s="7" t="str">
        <f t="shared" si="4"/>
        <v>PremiumSSS5R3less</v>
      </c>
      <c r="D71" s="7" t="str">
        <f t="shared" si="5"/>
        <v>PremiumSSS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宇宙の拡超 ハップル</v>
      </c>
      <c r="I71" s="7" t="str">
        <f>VLOOKUP(B71,[1]characters!$A:$J,10,FALSE)</f>
        <v>PremiumSSS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technical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IFERROR(VLOOKUP(B71,input_502010!L:R,7,FALSE),VLOOKUP(tables_502010!C71,input_502010!A:H,8,FALSE))</f>
        <v>22880</v>
      </c>
      <c r="P71" s="46">
        <f ca="1">O71/SUM(O:O)</f>
        <v>4.0000000000699311E-3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input_502010!A$2</f>
        <v>502010</v>
      </c>
      <c r="B72" s="60">
        <v>792</v>
      </c>
      <c r="C72" s="7" t="str">
        <f t="shared" si="4"/>
        <v>PremiumSSS5R3less</v>
      </c>
      <c r="D72" s="7" t="str">
        <f t="shared" si="5"/>
        <v>PremiumSSS</v>
      </c>
      <c r="E72" s="7" t="str">
        <f>IF(COUNTIF('R6追加前'!A:A,B72)=0,IF(OR(I72="PremiumSS",I72="PremiumSSw"),"R5only","R3less"),"")</f>
        <v>R3less</v>
      </c>
      <c r="F72" s="7" t="str">
        <f>IF(COUNTIF('R6開放'!A:A,B72)&gt;0,"R6release","")</f>
        <v/>
      </c>
      <c r="G72" s="7"/>
      <c r="H72" s="7" t="str">
        <f>VLOOKUP(B72,[1]characters!$A:$C,3,FALSE)</f>
        <v>片還の収波 フーリエ</v>
      </c>
      <c r="I72" s="7" t="str">
        <f>VLOOKUP(B72,[1]characters!$A:$J,10,FALSE)</f>
        <v>PremiumSSS</v>
      </c>
      <c r="J72" s="7">
        <f>VLOOKUP(B72,[1]characters!$A:$I,9,FALSE)</f>
        <v>5</v>
      </c>
      <c r="K72" s="7" t="str">
        <f>VLOOKUP(B72,[1]characters!$A:$H,8,FALSE)</f>
        <v>yellow</v>
      </c>
      <c r="L72" s="7" t="str">
        <f>VLOOKUP(B72,[1]characters!$A:$K,11,FALSE)</f>
        <v>technical</v>
      </c>
      <c r="M72" s="7" t="str">
        <f>VLOOKUP(B72,[1]characters!$A:$M,13,FALSE)</f>
        <v>human</v>
      </c>
      <c r="N72" s="7" t="str">
        <f>VLOOKUP(B72,[1]characters!$A:$G,7,FALSE)</f>
        <v>男性</v>
      </c>
      <c r="O72" s="45">
        <f>IFERROR(VLOOKUP(B72,input_502010!L:R,7,FALSE),VLOOKUP(tables_502010!C72,input_502010!A:H,8,FALSE))</f>
        <v>22880</v>
      </c>
      <c r="P72" s="46">
        <f ca="1">O72/SUM(O:O)</f>
        <v>4.0000000000699311E-3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input_502010!A$2</f>
        <v>502010</v>
      </c>
      <c r="B73" s="90">
        <v>1232</v>
      </c>
      <c r="C73" s="7" t="str">
        <f t="shared" si="4"/>
        <v>PremiumSSS5R3less</v>
      </c>
      <c r="D73" s="7" t="str">
        <f t="shared" si="5"/>
        <v>PremiumSSS</v>
      </c>
      <c r="E73" s="7" t="str">
        <f>IF(COUNTIF('R6追加前'!A:A,B73)=0,IF(OR(I73="PremiumSS",I73="PremiumSSw"),"R5only","R3less"),"")</f>
        <v>R3less</v>
      </c>
      <c r="F73" s="7" t="str">
        <f>IF(COUNTIF('R6開放'!A:A,B73)&gt;0,"R6release","")</f>
        <v/>
      </c>
      <c r="G73" s="7"/>
      <c r="H73" s="7" t="str">
        <f>VLOOKUP(B73,[1]characters!$A:$C,3,FALSE)</f>
        <v>ケプラー</v>
      </c>
      <c r="I73" s="7" t="str">
        <f>VLOOKUP(B73,[1]characters!$A:$J,10,FALSE)</f>
        <v>PremiumSSS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academia</v>
      </c>
      <c r="N73" s="7">
        <f>VLOOKUP(B73,[1]characters!$A:$G,7,FALSE)</f>
        <v>0</v>
      </c>
      <c r="O73" s="45">
        <f>IFERROR(VLOOKUP(B73,input_502010!L:R,7,FALSE),VLOOKUP(tables_502010!C73,input_502010!A:H,8,FALSE))</f>
        <v>22880</v>
      </c>
      <c r="P73" s="46">
        <f ca="1">O73/SUM(O:O)</f>
        <v>4.0000000000699311E-3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</sheetData>
  <autoFilter ref="A1:V69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G54" sqref="G5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">
        <v>760</v>
      </c>
      <c r="M3" s="37" t="str">
        <f>VLOOKUP(L3,[1]characters!$A:$C,3,FALSE)</f>
        <v>限論顕現 クロネッカー</v>
      </c>
      <c r="N3" s="76">
        <v>4.0000000000000001E-3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VLOOKUP(L3,tables_502100!B:C,2,FALSE)</f>
        <v>PremiumSSS5R3less</v>
      </c>
      <c r="R3" s="62">
        <f t="shared" ref="R3:R20" si="1">N3*A$36</f>
        <v>22880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">
        <v>410</v>
      </c>
      <c r="M4" s="37" t="str">
        <f>VLOOKUP(L4,[1]characters!$A:$C,3,FALSE)</f>
        <v>ファラデー</v>
      </c>
      <c r="N4" s="76">
        <v>2E-3</v>
      </c>
      <c r="O4" s="37">
        <f>VLOOKUP(L4,[1]characters!$A:$I,9,FALSE)</f>
        <v>4</v>
      </c>
      <c r="P4" s="37" t="str">
        <f>VLOOKUP(L4,[1]characters!$A:$J,10,FALSE)</f>
        <v>PremiumSSS</v>
      </c>
      <c r="Q4" s="37" t="str">
        <f>VLOOKUP(L4,tables_502100!B:C,2,FALSE)</f>
        <v>PremiumSSS4R3less</v>
      </c>
      <c r="R4" s="62">
        <f t="shared" si="1"/>
        <v>11440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4.2307692307692307E-3</v>
      </c>
      <c r="F5">
        <f>(COUNTIF(tables_502100!C:C,input_502100!A28)+COUNTIF(tables_502100!C:C,input_502100!A29))</f>
        <v>18</v>
      </c>
      <c r="H5" s="83">
        <v>0.02</v>
      </c>
      <c r="I5" s="31">
        <v>5</v>
      </c>
      <c r="L5" s="60">
        <v>411</v>
      </c>
      <c r="M5" s="37" t="str">
        <f>VLOOKUP(L5,[1]characters!$A:$C,3,FALSE)</f>
        <v>電隷の始祖 ファラデー</v>
      </c>
      <c r="N5" s="76">
        <v>2E-3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VLOOKUP(L5,tables_502100!B:C,2,FALSE)</f>
        <v>PremiumSSS5R3less</v>
      </c>
      <c r="R5" s="62">
        <f t="shared" si="1"/>
        <v>11440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0.875</v>
      </c>
      <c r="D6" t="s">
        <v>202</v>
      </c>
      <c r="E6" s="76">
        <f>(B10-H6)/(F6-I6)</f>
        <v>4.2045454545454546E-2</v>
      </c>
      <c r="F6">
        <f>(COUNTIF(tables_502100!C:C,input_502100!A25)+COUNTIF(tables_502100!C:C,input_502100!A18)+COUNTIF(tables_502100!C:C,input_502100!A20)+COUNTIF(tables_502100!C:C,input_502100!A22))</f>
        <v>22</v>
      </c>
      <c r="H6" s="88">
        <v>0</v>
      </c>
      <c r="I6" s="31">
        <v>0</v>
      </c>
      <c r="L6" s="60">
        <v>489</v>
      </c>
      <c r="M6" s="37" t="str">
        <f>VLOOKUP(L6,[1]characters!$A:$C,3,FALSE)</f>
        <v>宇宙の拡超 ハップル</v>
      </c>
      <c r="N6" s="76">
        <v>4.0000000000000001E-3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VLOOKUP(L6,tables_502100!B:C,2,FALSE)</f>
        <v>PremiumSSS5R3less</v>
      </c>
      <c r="R6" s="62">
        <f t="shared" si="1"/>
        <v>22880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0.125</v>
      </c>
      <c r="L7" s="60">
        <v>792</v>
      </c>
      <c r="M7" s="37" t="str">
        <f>VLOOKUP(L7,[1]characters!$A:$C,3,FALSE)</f>
        <v>片還の収波 フーリエ</v>
      </c>
      <c r="N7" s="76">
        <v>4.0000000000000001E-3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VLOOKUP(L7,tables_502100!B:C,2,FALSE)</f>
        <v>PremiumSSS5R3less</v>
      </c>
      <c r="R7" s="62">
        <f t="shared" si="1"/>
        <v>22880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0">
        <v>1232</v>
      </c>
      <c r="M8" s="37" t="str">
        <f>VLOOKUP(L8,[1]characters!$A:$C,3,FALSE)</f>
        <v>ケプラー</v>
      </c>
      <c r="N8" s="76">
        <v>4.0000000000000001E-3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VLOOKUP(L8,tables_502100!B:C,2,FALSE)</f>
        <v>PremiumSSS5R3less</v>
      </c>
      <c r="R8" s="62">
        <f t="shared" si="1"/>
        <v>22880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COUNTIF(tables_502100!C:C,input_502100!A17)-COUNTIF(Q:Q,A17)</f>
        <v>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0.25217176573601408</v>
      </c>
      <c r="C18" s="84">
        <f t="shared" si="2"/>
        <v>0</v>
      </c>
      <c r="D18" s="74">
        <f t="shared" si="3"/>
        <v>0.25217176573601408</v>
      </c>
      <c r="E18">
        <f>COUNTIF(tables_502100!C:C,input_502100!A18)-COUNTIF(Q:Q,A18)</f>
        <v>5</v>
      </c>
      <c r="F18" s="43">
        <f>IFERROR(B18/E18,0)</f>
        <v>5.0434353147202814E-2</v>
      </c>
      <c r="G18">
        <f t="shared" si="4"/>
        <v>1442422.5000100005</v>
      </c>
      <c r="H18">
        <f t="shared" si="5"/>
        <v>288484.5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COUNTIF(tables_502100!C:C,input_502100!A19)-COUNTIF(Q:Q,A19)</f>
        <v>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E$6*E20*B$6-0.02</f>
        <v>0.45826704545454544</v>
      </c>
      <c r="C20" s="84">
        <f t="shared" si="2"/>
        <v>0</v>
      </c>
      <c r="D20" s="74">
        <f t="shared" si="3"/>
        <v>0.45826704545454544</v>
      </c>
      <c r="E20">
        <f>COUNTIF(tables_502100!C:C,input_502100!A20)-COUNTIF(Q:Q,A20)</f>
        <v>13</v>
      </c>
      <c r="F20" s="43">
        <f t="shared" si="8"/>
        <v>3.5251311188811189E-2</v>
      </c>
      <c r="G20">
        <f t="shared" si="4"/>
        <v>2621287.5</v>
      </c>
      <c r="H20">
        <f t="shared" si="5"/>
        <v>201637.5</v>
      </c>
      <c r="I20">
        <f t="shared" si="6"/>
        <v>0.5</v>
      </c>
      <c r="J20">
        <f t="shared" si="7"/>
        <v>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2.6379370622377656E-2</v>
      </c>
      <c r="C21" s="84">
        <f t="shared" si="2"/>
        <v>0</v>
      </c>
      <c r="D21" s="74">
        <f t="shared" si="3"/>
        <v>2.6379370622377656E-2</v>
      </c>
      <c r="E21">
        <f>COUNTIF(tables_502100!C:C,input_502100!A21)-COUNTIF(Q:Q,A21)</f>
        <v>13</v>
      </c>
      <c r="F21" s="43">
        <f t="shared" si="8"/>
        <v>2.0291823555675121E-3</v>
      </c>
      <c r="G21">
        <f t="shared" si="4"/>
        <v>150889.99996000019</v>
      </c>
      <c r="H21">
        <f t="shared" si="5"/>
        <v>11606.923070000001</v>
      </c>
      <c r="I21">
        <f t="shared" si="6"/>
        <v>0.92307000000073458</v>
      </c>
      <c r="J21">
        <f t="shared" si="7"/>
        <v>1.0833414583934091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9.9857954545454541E-2</v>
      </c>
      <c r="C22" s="84">
        <f t="shared" si="2"/>
        <v>0</v>
      </c>
      <c r="D22" s="74">
        <f t="shared" si="3"/>
        <v>9.9857954545454541E-2</v>
      </c>
      <c r="E22">
        <f>COUNTIF(tables_502100!C:C,input_502100!A22)-COUNTIF(Q:Q,A22)</f>
        <v>3</v>
      </c>
      <c r="F22" s="43">
        <f t="shared" si="8"/>
        <v>3.3285984848484849E-2</v>
      </c>
      <c r="G22">
        <f t="shared" si="4"/>
        <v>571187.5</v>
      </c>
      <c r="H22">
        <f t="shared" si="5"/>
        <v>190395.83332999999</v>
      </c>
      <c r="I22">
        <f t="shared" si="6"/>
        <v>0.83332999999402091</v>
      </c>
      <c r="J22">
        <f t="shared" si="7"/>
        <v>1.2000048000278101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2.6278409090909092E-2</v>
      </c>
      <c r="C23" s="84">
        <f t="shared" si="2"/>
        <v>0</v>
      </c>
      <c r="D23" s="74">
        <f t="shared" si="3"/>
        <v>2.6278409090909092E-2</v>
      </c>
      <c r="E23">
        <f>COUNTIF(tables_502100!C:C,input_502100!A23)-COUNTIF(Q:Q,A23)</f>
        <v>5</v>
      </c>
      <c r="F23" s="43">
        <f t="shared" si="8"/>
        <v>5.2556818181818182E-3</v>
      </c>
      <c r="G23">
        <f t="shared" si="4"/>
        <v>150312.5</v>
      </c>
      <c r="H23">
        <f t="shared" si="5"/>
        <v>30062.5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COUNTIF(tables_502100!C:C,input_502100!A24)-COUNTIF(Q:Q,A24)</f>
        <v>0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3.6789772727272727E-2</v>
      </c>
      <c r="C25" s="84">
        <f t="shared" si="2"/>
        <v>0</v>
      </c>
      <c r="D25" s="74">
        <f t="shared" si="3"/>
        <v>3.6789772727272727E-2</v>
      </c>
      <c r="E25">
        <f>COUNTIF(tables_502100!C:C,input_502100!A25)-COUNTIF(Q:Q,A25)</f>
        <v>1</v>
      </c>
      <c r="F25" s="43">
        <f t="shared" si="8"/>
        <v>3.6789772727272727E-2</v>
      </c>
      <c r="G25">
        <f t="shared" si="4"/>
        <v>210437.5</v>
      </c>
      <c r="H25">
        <f t="shared" si="5"/>
        <v>210437.5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5.2556818181818182E-3</v>
      </c>
      <c r="C26" s="84">
        <f t="shared" si="2"/>
        <v>0</v>
      </c>
      <c r="D26" s="74">
        <f t="shared" si="3"/>
        <v>5.2556818181818182E-3</v>
      </c>
      <c r="E26">
        <f>COUNTIF(tables_502100!C:C,input_502100!A26)-COUNTIF(Q:Q,A26)</f>
        <v>1</v>
      </c>
      <c r="F26" s="43">
        <f t="shared" si="8"/>
        <v>5.2556818181818182E-3</v>
      </c>
      <c r="G26">
        <f t="shared" si="4"/>
        <v>30062.5</v>
      </c>
      <c r="H26">
        <f t="shared" si="5"/>
        <v>30062.5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2.5913461538461538E-2</v>
      </c>
      <c r="C27" s="84">
        <f t="shared" si="2"/>
        <v>0</v>
      </c>
      <c r="D27" s="74">
        <f t="shared" si="3"/>
        <v>2.5913461538461538E-2</v>
      </c>
      <c r="E27">
        <f>COUNTIF(tables_502100!C:C,input_502100!A27)-COUNTIF(Q:Q,A27)</f>
        <v>7</v>
      </c>
      <c r="F27" s="43">
        <f>IFERROR(B27/E27,0)</f>
        <v>3.701923076923077E-3</v>
      </c>
      <c r="G27">
        <f t="shared" si="4"/>
        <v>148225</v>
      </c>
      <c r="H27">
        <f t="shared" si="5"/>
        <v>21175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3.7019230769230766E-3</v>
      </c>
      <c r="C28" s="84">
        <f t="shared" si="2"/>
        <v>0</v>
      </c>
      <c r="D28" s="74">
        <f t="shared" si="3"/>
        <v>3.7019230769230766E-3</v>
      </c>
      <c r="E28">
        <f>COUNTIF(tables_502100!C:C,input_502100!A28)-COUNTIF(Q:Q,A28)</f>
        <v>7</v>
      </c>
      <c r="F28" s="43">
        <f t="shared" si="8"/>
        <v>5.2884615384615383E-4</v>
      </c>
      <c r="G28">
        <f t="shared" si="4"/>
        <v>21175</v>
      </c>
      <c r="H28">
        <f t="shared" si="5"/>
        <v>3025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E$5*E29-G49</f>
        <v>4.5384615384615364E-2</v>
      </c>
      <c r="C29" s="84">
        <f t="shared" si="2"/>
        <v>0</v>
      </c>
      <c r="D29" s="74">
        <f t="shared" si="3"/>
        <v>4.5384615384615364E-2</v>
      </c>
      <c r="E29">
        <f>COUNTIF(tables_502100!C:C,input_502100!A29)-COUNTIF(Q:Q,A29)</f>
        <v>11</v>
      </c>
      <c r="F29" s="43">
        <f t="shared" si="8"/>
        <v>4.1258741258741244E-3</v>
      </c>
      <c r="G29">
        <f t="shared" si="4"/>
        <v>259599.99999999988</v>
      </c>
      <c r="H29">
        <f t="shared" si="5"/>
        <v>23600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2E-3</v>
      </c>
      <c r="D30" s="74">
        <f t="shared" si="3"/>
        <v>-2E-3</v>
      </c>
      <c r="E30">
        <f>COUNTIF(tables_502100!C:C,input_502100!A30)-COUNTIF(Q:Q,A30)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1.8000000000000002E-2</v>
      </c>
      <c r="D31" s="74">
        <f t="shared" si="3"/>
        <v>-1.8000000000000002E-2</v>
      </c>
      <c r="E31">
        <f>COUNTIF(tables_502100!C:C,input_502100!A31)-COUNTIF(Q:Q,A31)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0.97999999999475518</v>
      </c>
      <c r="C32" s="41">
        <f>SUM(C19:C31)</f>
        <v>2.0000000000000004E-2</v>
      </c>
      <c r="D32" s="42">
        <f t="shared" si="3"/>
        <v>0.95999999999475516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2.194449300874135E-2</v>
      </c>
      <c r="F34" s="55"/>
    </row>
    <row r="35" spans="1:7" x14ac:dyDescent="0.15">
      <c r="A35" t="s">
        <v>73</v>
      </c>
      <c r="E35">
        <v>1.8000000006993006E-2</v>
      </c>
    </row>
    <row r="36" spans="1:7" x14ac:dyDescent="0.15">
      <c r="A36" s="31">
        <f>LCM(F5-I5,F6-I6)*1000*2*2*5</f>
        <v>5720000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SUMIF(tables_502100!C:C,input_502100!A40,tables_502100!O:O)</f>
        <v>0</v>
      </c>
      <c r="C40" s="54">
        <f t="shared" ref="C40:C46" ca="1" si="9">B40/B$47</f>
        <v>0</v>
      </c>
      <c r="E40">
        <v>3</v>
      </c>
      <c r="F40">
        <f>SUMIF(tables_502100!J:J,input_502100!E40,tables_502100!O:O)</f>
        <v>0</v>
      </c>
      <c r="G40">
        <f>F40/A36</f>
        <v>0</v>
      </c>
    </row>
    <row r="41" spans="1:7" x14ac:dyDescent="0.15">
      <c r="A41" s="33" t="s">
        <v>104</v>
      </c>
      <c r="B41">
        <f ca="1">SUMIF(tables_502100!C:C,input_502100!A41,tables_502100!O:O)</f>
        <v>2621287.5</v>
      </c>
      <c r="C41" s="54">
        <f t="shared" ca="1" si="9"/>
        <v>0.89111624632708153</v>
      </c>
      <c r="E41">
        <v>4</v>
      </c>
      <c r="F41">
        <f ca="1">SUMIF(tables_502100!J:J,input_502100!E41,tables_502100!O:O)</f>
        <v>5004999.9999899995</v>
      </c>
      <c r="G41">
        <f ca="1">F41/A36</f>
        <v>0.87499999999825162</v>
      </c>
    </row>
    <row r="42" spans="1:7" x14ac:dyDescent="0.15">
      <c r="A42" s="33" t="s">
        <v>106</v>
      </c>
      <c r="B42">
        <f ca="1">SUMIF(tables_502100!C:C,input_502100!A42,tables_502100!O:O)</f>
        <v>148225</v>
      </c>
      <c r="C42" s="54">
        <f t="shared" ca="1" si="9"/>
        <v>5.0389629375576568E-2</v>
      </c>
      <c r="E42">
        <v>5</v>
      </c>
      <c r="F42">
        <f ca="1">SUMIF(tables_502100!J:J,input_502100!E42,tables_502100!O:O)</f>
        <v>714999.99991000001</v>
      </c>
      <c r="G42">
        <f ca="1">F42/A36</f>
        <v>0.12499999998426574</v>
      </c>
    </row>
    <row r="43" spans="1:7" x14ac:dyDescent="0.15">
      <c r="A43" s="33" t="s">
        <v>109</v>
      </c>
      <c r="B43">
        <f>SUMIF(tables_502100!C:C,input_502100!A43,tables_502100!O:O)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SUMIF(tables_502100!C:C,input_502100!A44,tables_502100!O:O)</f>
        <v>150889.99991000001</v>
      </c>
      <c r="C44" s="54">
        <f t="shared" ca="1" si="9"/>
        <v>5.129560581511676E-2</v>
      </c>
      <c r="E44" t="s">
        <v>54</v>
      </c>
      <c r="F44" s="55"/>
    </row>
    <row r="45" spans="1:7" x14ac:dyDescent="0.15">
      <c r="A45" s="33" t="s">
        <v>107</v>
      </c>
      <c r="B45">
        <f ca="1">SUMIF(tables_502100!C:C,input_502100!A45,tables_502100!O:O)</f>
        <v>21175</v>
      </c>
      <c r="C45" s="54">
        <f t="shared" ca="1" si="9"/>
        <v>7.1985184822252234E-3</v>
      </c>
      <c r="E45" t="s">
        <v>204</v>
      </c>
      <c r="F45" s="55">
        <f ca="1">SUMIF(tables_502100!I:I,input_502100!E45,tables_502100!P:P)</f>
        <v>0.26268312937522176</v>
      </c>
    </row>
    <row r="46" spans="1:7" x14ac:dyDescent="0.15">
      <c r="A46" s="33" t="s">
        <v>108</v>
      </c>
      <c r="B46">
        <f>SUMIF(tables_502100!C:C,input_502100!A46,tables_502100!O:O)</f>
        <v>0</v>
      </c>
      <c r="C46" s="54">
        <f t="shared" ca="1" si="9"/>
        <v>0</v>
      </c>
      <c r="E46" t="s">
        <v>205</v>
      </c>
      <c r="F46" s="55">
        <f ca="1">SUMIF(tables_502100!I:I,input_502100!E46,tables_502100!P:P)</f>
        <v>0.18640246772179028</v>
      </c>
    </row>
    <row r="47" spans="1:7" x14ac:dyDescent="0.15">
      <c r="A47" s="39" t="s">
        <v>59</v>
      </c>
      <c r="B47">
        <f ca="1">SUM(B40:B46)</f>
        <v>2941577.4999099998</v>
      </c>
      <c r="C47" s="55">
        <f ca="1">SUM(C40:C46)</f>
        <v>1</v>
      </c>
      <c r="E47" t="s">
        <v>206</v>
      </c>
      <c r="F47" s="55">
        <f ca="1">SUMIF(tables_502100!I:I,input_502100!E47,tables_502100!P:P)</f>
        <v>0.4559144029013274</v>
      </c>
    </row>
    <row r="48" spans="1:7" x14ac:dyDescent="0.15">
      <c r="E48" t="s">
        <v>207</v>
      </c>
      <c r="F48" s="55">
        <f ca="1">SUMIF(tables_502100!I:I,input_502100!E48,tables_502100!P:P)</f>
        <v>6.6748251749418674E-2</v>
      </c>
    </row>
    <row r="49" spans="5:7" x14ac:dyDescent="0.15">
      <c r="E49" t="s">
        <v>250</v>
      </c>
      <c r="F49" s="55">
        <f ca="1">SUMIF(tables_502100!I:I,input_502100!E49,tables_502100!P:P)</f>
        <v>8.2517482518925152E-3</v>
      </c>
      <c r="G49">
        <v>1.153846153846172E-3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73"/>
  <sheetViews>
    <sheetView showGridLines="0" zoomScale="75" zoomScaleNormal="75" zoomScalePageLayoutView="75" workbookViewId="0">
      <pane ySplit="1" topLeftCell="A51" activePane="bottomLeft" state="frozen"/>
      <selection activeCell="D34" sqref="D34"/>
      <selection pane="bottomLeft" activeCell="B70" sqref="B70:B7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input_502100!A$2</f>
        <v>502100</v>
      </c>
      <c r="B2" s="6">
        <v>133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迅雷の刀剣 ハヤト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f ca="1">IFERROR(VLOOKUP(B2,input_502100!L:R,7,FALSE),VLOOKUP(tables_502100!C2,input_502100!A:H,8,FALSE))</f>
        <v>288484.5</v>
      </c>
      <c r="P2" s="46">
        <f ca="1">O2/SUM(O:O)</f>
        <v>5.0434353147734881E-2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input_502100!A$2</f>
        <v>502100</v>
      </c>
      <c r="B3" s="6">
        <v>141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妖狐演舞 タマモ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 ca="1">IFERROR(VLOOKUP(B3,input_502100!L:R,7,FALSE),VLOOKUP(tables_502100!C3,input_502100!A:H,8,FALSE))</f>
        <v>288484.5</v>
      </c>
      <c r="P3" s="46">
        <f ca="1">O3/SUM(O:O)</f>
        <v>5.0434353147734881E-2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input_502100!A$2</f>
        <v>502100</v>
      </c>
      <c r="B4" s="6">
        <v>149</v>
      </c>
      <c r="C4" s="7" t="str">
        <f t="shared" si="0"/>
        <v>PremiumW4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雷撃蹴技を極めし者 シンデレラ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IFERROR(VLOOKUP(B4,input_502100!L:R,7,FALSE),VLOOKUP(tables_502100!C4,input_502100!A:H,8,FALSE))</f>
        <v>288484.5</v>
      </c>
      <c r="P4" s="46">
        <f ca="1">O4/SUM(O:O)</f>
        <v>5.0434353147734881E-2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input_502100!A$2</f>
        <v>502100</v>
      </c>
      <c r="B5" s="6">
        <v>157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雷光舞姫 エレナ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yellow</v>
      </c>
      <c r="L5" s="7" t="str">
        <f>VLOOKUP(B5,[1]characters!$A:$K,11,FALSE)</f>
        <v>heal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IFERROR(VLOOKUP(B5,input_502100!L:R,7,FALSE),VLOOKUP(tables_502100!C5,input_502100!A:H,8,FALSE))</f>
        <v>288484.5</v>
      </c>
      <c r="P5" s="46">
        <f ca="1">O5/SUM(O:O)</f>
        <v>5.0434353147734881E-2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input_502100!A$2</f>
        <v>502100</v>
      </c>
      <c r="B6" s="6">
        <v>165</v>
      </c>
      <c r="C6" s="7" t="str">
        <f t="shared" si="0"/>
        <v>PremiumW4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イブとたったひとりのトモダチ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yellow</v>
      </c>
      <c r="L6" s="7" t="str">
        <f>VLOOKUP(B6,[1]characters!$A:$K,11,FALSE)</f>
        <v>technical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f ca="1">IFERROR(VLOOKUP(B6,input_502100!L:R,7,FALSE),VLOOKUP(tables_502100!C6,input_502100!A:H,8,FALSE))</f>
        <v>288484.5</v>
      </c>
      <c r="P6" s="46">
        <f ca="1">O6/SUM(O:O)</f>
        <v>5.0434353147734881E-2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input_502100!A$2</f>
        <v>502100</v>
      </c>
      <c r="B7" s="6">
        <v>176</v>
      </c>
      <c r="C7" s="7" t="str">
        <f t="shared" si="0"/>
        <v>Premium4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異教徒 バフォメット</v>
      </c>
      <c r="I7" s="7" t="str">
        <f>VLOOKUP(B7,[1]characters!$A:$J,10,FALSE)</f>
        <v>PremiumN</v>
      </c>
      <c r="J7" s="7">
        <f>VLOOKUP(B7,[1]characters!$A:$I,9,FALSE)</f>
        <v>4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f ca="1">IFERROR(VLOOKUP(B7,input_502100!L:R,7,FALSE),VLOOKUP(tables_502100!C7,input_502100!A:H,8,FALSE))</f>
        <v>201637.5</v>
      </c>
      <c r="P7" s="46">
        <f ca="1">O7/SUM(O:O)</f>
        <v>3.5251311189427481E-2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input_502100!A$2</f>
        <v>502100</v>
      </c>
      <c r="B8" s="6">
        <v>177</v>
      </c>
      <c r="C8" s="7" t="str">
        <f t="shared" si="0"/>
        <v>Premium5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黒魔の異端師 バフォメット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女性</v>
      </c>
      <c r="O8" s="45">
        <f ca="1">IFERROR(VLOOKUP(B8,input_502100!L:R,7,FALSE),VLOOKUP(tables_502100!C8,input_502100!A:H,8,FALSE))</f>
        <v>11606.923070000001</v>
      </c>
      <c r="P8" s="46">
        <f ca="1">O8/SUM(O:O)</f>
        <v>2.0291823549305811E-3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input_502100!A$2</f>
        <v>502100</v>
      </c>
      <c r="B9" s="6">
        <v>188</v>
      </c>
      <c r="C9" s="7" t="str">
        <f t="shared" si="0"/>
        <v>Premium4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猛禽 ホルス</v>
      </c>
      <c r="I9" s="7" t="str">
        <f>VLOOKUP(B9,[1]characters!$A:$J,10,FALSE)</f>
        <v>PremiumN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ca="1">IFERROR(VLOOKUP(B9,input_502100!L:R,7,FALSE),VLOOKUP(tables_502100!C9,input_502100!A:H,8,FALSE))</f>
        <v>201637.5</v>
      </c>
      <c r="P9" s="46">
        <f ca="1">O9/SUM(O:O)</f>
        <v>3.5251311189427481E-2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input_502100!A$2</f>
        <v>502100</v>
      </c>
      <c r="B10" s="6">
        <v>189</v>
      </c>
      <c r="C10" s="7" t="str">
        <f t="shared" si="0"/>
        <v>Premium5</v>
      </c>
      <c r="D10" s="7" t="str">
        <f t="shared" si="1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迅雷の王禽 ホルス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attack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f ca="1">IFERROR(VLOOKUP(B10,input_502100!L:R,7,FALSE),VLOOKUP(tables_502100!C10,input_502100!A:H,8,FALSE))</f>
        <v>11606.923070000001</v>
      </c>
      <c r="P10" s="46">
        <f ca="1">O10/SUM(O:O)</f>
        <v>2.0291823549305811E-3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input_502100!A$2</f>
        <v>502100</v>
      </c>
      <c r="B11" s="6">
        <v>197</v>
      </c>
      <c r="C11" s="7" t="str">
        <f t="shared" si="0"/>
        <v>Premium4</v>
      </c>
      <c r="D11" s="7" t="str">
        <f t="shared" si="1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鉄腕 アキレス</v>
      </c>
      <c r="I11" s="7" t="str">
        <f>VLOOKUP(B11,[1]characters!$A:$J,10,FALSE)</f>
        <v>PremiumN</v>
      </c>
      <c r="J11" s="7">
        <f>VLOOKUP(B11,[1]characters!$A:$I,9,FALSE)</f>
        <v>4</v>
      </c>
      <c r="K11" s="7" t="str">
        <f>VLOOKUP(B11,[1]characters!$A:$H,8,FALSE)</f>
        <v>yellow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IFERROR(VLOOKUP(B11,input_502100!L:R,7,FALSE),VLOOKUP(tables_502100!C11,input_502100!A:H,8,FALSE))</f>
        <v>201637.5</v>
      </c>
      <c r="P11" s="46">
        <f ca="1">O11/SUM(O:O)</f>
        <v>3.5251311189427481E-2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input_502100!A$2</f>
        <v>502100</v>
      </c>
      <c r="B12" s="8">
        <v>198</v>
      </c>
      <c r="C12" s="7" t="str">
        <f t="shared" si="0"/>
        <v>Premium5</v>
      </c>
      <c r="D12" s="7" t="str">
        <f t="shared" si="1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IFERROR(VLOOKUP(B12,input_502100!L:R,7,FALSE),VLOOKUP(tables_502100!C12,input_502100!A:H,8,FALSE))</f>
        <v>11606.923070000001</v>
      </c>
      <c r="P12" s="46">
        <f ca="1">O12/SUM(O:O)</f>
        <v>2.0291823549305811E-3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input_502100!A$2</f>
        <v>502100</v>
      </c>
      <c r="B13" s="8">
        <v>212</v>
      </c>
      <c r="C13" s="7" t="str">
        <f t="shared" si="0"/>
        <v>Premium4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星神 アストライアー</v>
      </c>
      <c r="I13" s="7" t="str">
        <f>VLOOKUP(B13,[1]characters!$A:$J,10,FALSE)</f>
        <v>PremiumN</v>
      </c>
      <c r="J13" s="7">
        <f>VLOOKUP(B13,[1]characters!$A:$I,9,FALSE)</f>
        <v>4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god</v>
      </c>
      <c r="N13" s="7" t="str">
        <f>VLOOKUP(B13,[1]characters!$A:$G,7,FALSE)</f>
        <v>女性</v>
      </c>
      <c r="O13" s="45">
        <f ca="1">IFERROR(VLOOKUP(B13,input_502100!L:R,7,FALSE),VLOOKUP(tables_502100!C13,input_502100!A:H,8,FALSE))</f>
        <v>201637.5</v>
      </c>
      <c r="P13" s="46">
        <f ca="1">O13/SUM(O:O)</f>
        <v>3.5251311189427481E-2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input_502100!A$2</f>
        <v>502100</v>
      </c>
      <c r="B14" s="6">
        <v>213</v>
      </c>
      <c r="C14" s="7" t="str">
        <f t="shared" si="0"/>
        <v>Premium5</v>
      </c>
      <c r="D14" s="7" t="str">
        <f t="shared" si="1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満天の星降神 アストライアー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balance</v>
      </c>
      <c r="M14" s="7" t="str">
        <f>VLOOKUP(B14,[1]characters!$A:$M,13,FALSE)</f>
        <v>god</v>
      </c>
      <c r="N14" s="7" t="str">
        <f>VLOOKUP(B14,[1]characters!$A:$G,7,FALSE)</f>
        <v>女性</v>
      </c>
      <c r="O14" s="45">
        <f ca="1">IFERROR(VLOOKUP(B14,input_502100!L:R,7,FALSE),VLOOKUP(tables_502100!C14,input_502100!A:H,8,FALSE))</f>
        <v>11606.923070000001</v>
      </c>
      <c r="P14" s="46">
        <f ca="1">O14/SUM(O:O)</f>
        <v>2.0291823549305811E-3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input_502100!A$2</f>
        <v>502100</v>
      </c>
      <c r="B15" s="6">
        <v>224</v>
      </c>
      <c r="C15" s="7" t="str">
        <f t="shared" si="0"/>
        <v>Premium4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巨腕 ヘラクレス</v>
      </c>
      <c r="I15" s="7" t="str">
        <f>VLOOKUP(B15,[1]characters!$A:$J,10,FALSE)</f>
        <v>PremiumN</v>
      </c>
      <c r="J15" s="7">
        <f>VLOOKUP(B15,[1]characters!$A:$I,9,FALSE)</f>
        <v>4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f ca="1">IFERROR(VLOOKUP(B15,input_502100!L:R,7,FALSE),VLOOKUP(tables_502100!C15,input_502100!A:H,8,FALSE))</f>
        <v>201637.5</v>
      </c>
      <c r="P15" s="46">
        <f ca="1">O15/SUM(O:O)</f>
        <v>3.5251311189427481E-2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input_502100!A$2</f>
        <v>502100</v>
      </c>
      <c r="B16" s="10">
        <v>225</v>
      </c>
      <c r="C16" s="7" t="str">
        <f t="shared" si="0"/>
        <v>Premium5</v>
      </c>
      <c r="D16" s="7" t="str">
        <f t="shared" si="1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咆哮の巨獅腕 ヘラクレス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男性</v>
      </c>
      <c r="O16" s="45">
        <f ca="1">IFERROR(VLOOKUP(B16,input_502100!L:R,7,FALSE),VLOOKUP(tables_502100!C16,input_502100!A:H,8,FALSE))</f>
        <v>11606.923070000001</v>
      </c>
      <c r="P16" s="46">
        <f ca="1">O16/SUM(O:O)</f>
        <v>2.0291823549305811E-3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input_502100!A$2</f>
        <v>502100</v>
      </c>
      <c r="B17" s="11">
        <v>236</v>
      </c>
      <c r="C17" s="7" t="str">
        <f t="shared" si="0"/>
        <v>Premium4R6release</v>
      </c>
      <c r="D17" s="7" t="str">
        <f t="shared" si="1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>R6release</v>
      </c>
      <c r="G17" s="7"/>
      <c r="H17" s="7" t="str">
        <f>VLOOKUP(B17,[1]characters!$A:$C,3,FALSE)</f>
        <v>神産 イザナミ</v>
      </c>
      <c r="I17" s="7" t="str">
        <f>VLOOKUP(B17,[1]characters!$A:$J,10,FALSE)</f>
        <v>PremiumS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attack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ca="1">IFERROR(VLOOKUP(B17,input_502100!L:R,7,FALSE),VLOOKUP(tables_502100!C17,input_502100!A:H,8,FALSE))</f>
        <v>210437.5</v>
      </c>
      <c r="P17" s="46">
        <f ca="1">O17/SUM(O:O)</f>
        <v>3.6789772727915913E-2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input_502100!A$2</f>
        <v>502100</v>
      </c>
      <c r="B18" s="6">
        <v>237</v>
      </c>
      <c r="C18" s="7" t="str">
        <f t="shared" si="0"/>
        <v>Premium5R6release</v>
      </c>
      <c r="D18" s="7" t="str">
        <f t="shared" si="1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>R6release</v>
      </c>
      <c r="G18" s="7"/>
      <c r="H18" s="7" t="str">
        <f>VLOOKUP(B18,[1]characters!$A:$C,3,FALSE)</f>
        <v>森羅万象の神母 イザナミ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ca="1">IFERROR(VLOOKUP(B18,input_502100!L:R,7,FALSE),VLOOKUP(tables_502100!C18,input_502100!A:H,8,FALSE))</f>
        <v>30062.5</v>
      </c>
      <c r="P18" s="46">
        <f ca="1">O18/SUM(O:O)</f>
        <v>5.2556818182737022E-3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input_502100!A$2</f>
        <v>502100</v>
      </c>
      <c r="B19" s="6">
        <v>248</v>
      </c>
      <c r="C19" s="7" t="str">
        <f t="shared" si="0"/>
        <v>Premium4</v>
      </c>
      <c r="D19" s="7" t="str">
        <f t="shared" si="1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彩電の天使 ミカエル</v>
      </c>
      <c r="I19" s="7" t="str">
        <f>VLOOKUP(B19,[1]characters!$A:$J,10,FALSE)</f>
        <v>PremiumS</v>
      </c>
      <c r="J19" s="7">
        <f>VLOOKUP(B19,[1]characters!$A:$I,9,FALSE)</f>
        <v>4</v>
      </c>
      <c r="K19" s="7" t="str">
        <f>VLOOKUP(B19,[1]characters!$A:$H,8,FALSE)</f>
        <v>yellow</v>
      </c>
      <c r="L19" s="7" t="str">
        <f>VLOOKUP(B19,[1]characters!$A:$K,11,FALSE)</f>
        <v>attack</v>
      </c>
      <c r="M19" s="7" t="str">
        <f>VLOOKUP(B19,[1]characters!$A:$M,13,FALSE)</f>
        <v>machine</v>
      </c>
      <c r="N19" s="7" t="str">
        <f>VLOOKUP(B19,[1]characters!$A:$G,7,FALSE)</f>
        <v>女性</v>
      </c>
      <c r="O19" s="45">
        <f ca="1">IFERROR(VLOOKUP(B19,input_502100!L:R,7,FALSE),VLOOKUP(tables_502100!C19,input_502100!A:H,8,FALSE))</f>
        <v>201637.5</v>
      </c>
      <c r="P19" s="46">
        <f ca="1">O19/SUM(O:O)</f>
        <v>3.5251311189427481E-2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input_502100!A$2</f>
        <v>502100</v>
      </c>
      <c r="B20" s="10">
        <v>249</v>
      </c>
      <c r="C20" s="7" t="str">
        <f t="shared" si="0"/>
        <v>Premium5</v>
      </c>
      <c r="D20" s="7" t="str">
        <f t="shared" si="1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雷電の天使 ミカエル・ゲイナー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machine</v>
      </c>
      <c r="N20" s="7" t="str">
        <f>VLOOKUP(B20,[1]characters!$A:$G,7,FALSE)</f>
        <v>女性</v>
      </c>
      <c r="O20" s="45">
        <f ca="1">IFERROR(VLOOKUP(B20,input_502100!L:R,7,FALSE),VLOOKUP(tables_502100!C20,input_502100!A:H,8,FALSE))</f>
        <v>11606.923070000001</v>
      </c>
      <c r="P20" s="46">
        <f ca="1">O20/SUM(O:O)</f>
        <v>2.0291823549305811E-3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input_502100!A$2</f>
        <v>502100</v>
      </c>
      <c r="B21" s="6">
        <v>260</v>
      </c>
      <c r="C21" s="7" t="str">
        <f t="shared" si="0"/>
        <v>Premium4</v>
      </c>
      <c r="D21" s="7" t="str">
        <f t="shared" si="1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輪廻 ウロボロス</v>
      </c>
      <c r="I21" s="7" t="str">
        <f>VLOOKUP(B21,[1]characters!$A:$J,10,FALSE)</f>
        <v>PremiumS</v>
      </c>
      <c r="J21" s="7">
        <f>VLOOKUP(B21,[1]characters!$A:$I,9,FALSE)</f>
        <v>4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dragon</v>
      </c>
      <c r="N21" s="7" t="str">
        <f>VLOOKUP(B21,[1]characters!$A:$G,7,FALSE)</f>
        <v>女性</v>
      </c>
      <c r="O21" s="45">
        <f ca="1">IFERROR(VLOOKUP(B21,input_502100!L:R,7,FALSE),VLOOKUP(tables_502100!C21,input_502100!A:H,8,FALSE))</f>
        <v>201637.5</v>
      </c>
      <c r="P21" s="46">
        <f ca="1">O21/SUM(O:O)</f>
        <v>3.5251311189427481E-2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input_502100!A$2</f>
        <v>502100</v>
      </c>
      <c r="B22" s="6">
        <v>261</v>
      </c>
      <c r="C22" s="7" t="str">
        <f t="shared" si="0"/>
        <v>Premium5</v>
      </c>
      <c r="D22" s="7" t="str">
        <f t="shared" si="1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輪廻の蛇龍 ウロボロス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dragon</v>
      </c>
      <c r="N22" s="7" t="str">
        <f>VLOOKUP(B22,[1]characters!$A:$G,7,FALSE)</f>
        <v>女性</v>
      </c>
      <c r="O22" s="45">
        <f ca="1">IFERROR(VLOOKUP(B22,input_502100!L:R,7,FALSE),VLOOKUP(tables_502100!C22,input_502100!A:H,8,FALSE))</f>
        <v>11606.923070000001</v>
      </c>
      <c r="P22" s="46">
        <f ca="1">O22/SUM(O:O)</f>
        <v>2.0291823549305811E-3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input_502100!A$2</f>
        <v>502100</v>
      </c>
      <c r="B23" s="6">
        <v>326</v>
      </c>
      <c r="C23" s="7" t="str">
        <f t="shared" si="0"/>
        <v>PremiumSS4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妖志士 斎藤一</v>
      </c>
      <c r="I23" s="7" t="str">
        <f>VLOOKUP(B23,[1]characters!$A:$J,10,FALSE)</f>
        <v>PremiumSS</v>
      </c>
      <c r="J23" s="7">
        <f>VLOOKUP(B23,[1]characters!$A:$I,9,FALSE)</f>
        <v>4</v>
      </c>
      <c r="K23" s="7" t="str">
        <f>VLOOKUP(B23,[1]characters!$A:$H,8,FALSE)</f>
        <v>yellow</v>
      </c>
      <c r="L23" s="7" t="str">
        <f>VLOOKUP(B23,[1]characters!$A:$K,11,FALSE)</f>
        <v>technical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IFERROR(VLOOKUP(B23,input_502100!L:R,7,FALSE),VLOOKUP(tables_502100!C23,input_502100!A:H,8,FALSE))</f>
        <v>21175</v>
      </c>
      <c r="P23" s="46">
        <f ca="1">O23/SUM(O:O)</f>
        <v>3.701923076987797E-3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input_502100!A$2</f>
        <v>502100</v>
      </c>
      <c r="B24" s="6">
        <v>327</v>
      </c>
      <c r="C24" s="7" t="str">
        <f t="shared" si="0"/>
        <v>PremiumSS5</v>
      </c>
      <c r="D24" s="7" t="str">
        <f t="shared" si="1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千殺の妖志士 斎藤一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IFERROR(VLOOKUP(B24,input_502100!L:R,7,FALSE),VLOOKUP(tables_502100!C24,input_502100!A:H,8,FALSE))</f>
        <v>3025</v>
      </c>
      <c r="P24" s="46">
        <f ca="1">O24/SUM(O:O)</f>
        <v>5.2884615385539958E-4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input_502100!A$2</f>
        <v>502100</v>
      </c>
      <c r="B25" s="6">
        <v>388</v>
      </c>
      <c r="C25" s="7" t="str">
        <f t="shared" si="0"/>
        <v>Premium4</v>
      </c>
      <c r="D25" s="7" t="str">
        <f t="shared" si="1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神円の恋姫 スフィンクス</v>
      </c>
      <c r="I25" s="7" t="str">
        <f>VLOOKUP(B25,[1]characters!$A:$J,10,FALSE)</f>
        <v>PremiumS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heal</v>
      </c>
      <c r="M25" s="7" t="str">
        <f>VLOOKUP(B25,[1]characters!$A:$M,13,FALSE)</f>
        <v>animal</v>
      </c>
      <c r="N25" s="7" t="str">
        <f>VLOOKUP(B25,[1]characters!$A:$G,7,FALSE)</f>
        <v>女性</v>
      </c>
      <c r="O25" s="45">
        <f ca="1">IFERROR(VLOOKUP(B25,input_502100!L:R,7,FALSE),VLOOKUP(tables_502100!C25,input_502100!A:H,8,FALSE))</f>
        <v>201637.5</v>
      </c>
      <c r="P25" s="46">
        <f ca="1">O25/SUM(O:O)</f>
        <v>3.5251311189427481E-2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input_502100!A$2</f>
        <v>502100</v>
      </c>
      <c r="B26" s="6">
        <v>389</v>
      </c>
      <c r="C26" s="7" t="str">
        <f t="shared" si="0"/>
        <v>Premium5</v>
      </c>
      <c r="D26" s="7" t="str">
        <f t="shared" si="1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操神の愛姫 スフィンクス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heal</v>
      </c>
      <c r="M26" s="7" t="str">
        <f>VLOOKUP(B26,[1]characters!$A:$M,13,FALSE)</f>
        <v>animal</v>
      </c>
      <c r="N26" s="7" t="str">
        <f>VLOOKUP(B26,[1]characters!$A:$G,7,FALSE)</f>
        <v>女性</v>
      </c>
      <c r="O26" s="45">
        <f ca="1">IFERROR(VLOOKUP(B26,input_502100!L:R,7,FALSE),VLOOKUP(tables_502100!C26,input_502100!A:H,8,FALSE))</f>
        <v>11606.923070000001</v>
      </c>
      <c r="P26" s="46">
        <f ca="1">O26/SUM(O:O)</f>
        <v>2.0291823549305811E-3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input_502100!A$2</f>
        <v>502100</v>
      </c>
      <c r="B27" s="6">
        <v>398</v>
      </c>
      <c r="C27" s="7" t="str">
        <f t="shared" si="0"/>
        <v>PremiumSS4</v>
      </c>
      <c r="D27" s="7" t="str">
        <f t="shared" si="1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ヘンゼル＆グレーテル</v>
      </c>
      <c r="I27" s="7" t="str">
        <f>VLOOKUP(B27,[1]characters!$A:$J,10,FALSE)</f>
        <v>PremiumSS</v>
      </c>
      <c r="J27" s="7">
        <f>VLOOKUP(B27,[1]characters!$A:$I,9,FALSE)</f>
        <v>4</v>
      </c>
      <c r="K27" s="7" t="str">
        <f>VLOOKUP(B27,[1]characters!$A:$H,8,FALSE)</f>
        <v>yellow</v>
      </c>
      <c r="L27" s="7" t="str">
        <f>VLOOKUP(B27,[1]characters!$A:$K,11,FALSE)</f>
        <v>balance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IFERROR(VLOOKUP(B27,input_502100!L:R,7,FALSE),VLOOKUP(tables_502100!C27,input_502100!A:H,8,FALSE))</f>
        <v>21175</v>
      </c>
      <c r="P27" s="46">
        <f ca="1">O27/SUM(O:O)</f>
        <v>3.701923076987797E-3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input_502100!A$2</f>
        <v>502100</v>
      </c>
      <c r="B28" s="6">
        <v>399</v>
      </c>
      <c r="C28" s="7" t="str">
        <f t="shared" si="0"/>
        <v>PremiumSS5</v>
      </c>
      <c r="D28" s="7" t="str">
        <f t="shared" si="1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信愛の兄妹 ヘンゼル＆グレーテル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IFERROR(VLOOKUP(B28,input_502100!L:R,7,FALSE),VLOOKUP(tables_502100!C28,input_502100!A:H,8,FALSE))</f>
        <v>3025</v>
      </c>
      <c r="P28" s="46">
        <f ca="1">O28/SUM(O:O)</f>
        <v>5.2884615385539958E-4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input_502100!A$2</f>
        <v>502100</v>
      </c>
      <c r="B29" s="6">
        <v>408</v>
      </c>
      <c r="C29" s="7" t="str">
        <f t="shared" si="0"/>
        <v>PremiumSS4</v>
      </c>
      <c r="D29" s="7" t="str">
        <f t="shared" si="1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皇魔 アスタロト</v>
      </c>
      <c r="I29" s="7" t="str">
        <f>VLOOKUP(B29,[1]characters!$A:$J,10,FALSE)</f>
        <v>PremiumSS</v>
      </c>
      <c r="J29" s="7">
        <f>VLOOKUP(B29,[1]characters!$A:$I,9,FALSE)</f>
        <v>4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god</v>
      </c>
      <c r="N29" s="7" t="str">
        <f>VLOOKUP(B29,[1]characters!$A:$G,7,FALSE)</f>
        <v>男性</v>
      </c>
      <c r="O29" s="45">
        <f ca="1">IFERROR(VLOOKUP(B29,input_502100!L:R,7,FALSE),VLOOKUP(tables_502100!C29,input_502100!A:H,8,FALSE))</f>
        <v>21175</v>
      </c>
      <c r="P29" s="46">
        <f ca="1">O29/SUM(O:O)</f>
        <v>3.701923076987797E-3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input_502100!A$2</f>
        <v>502100</v>
      </c>
      <c r="B30" s="6">
        <v>409</v>
      </c>
      <c r="C30" s="7" t="str">
        <f t="shared" si="0"/>
        <v>PremiumSS5</v>
      </c>
      <c r="D30" s="7" t="str">
        <f t="shared" si="1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天眼の皇貴魔 アスタロト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f ca="1">IFERROR(VLOOKUP(B30,input_502100!L:R,7,FALSE),VLOOKUP(tables_502100!C30,input_502100!A:H,8,FALSE))</f>
        <v>3025</v>
      </c>
      <c r="P30" s="46">
        <f ca="1">O30/SUM(O:O)</f>
        <v>5.2884615385539958E-4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input_502100!A$2</f>
        <v>502100</v>
      </c>
      <c r="B31" s="6">
        <v>442</v>
      </c>
      <c r="C31" s="7" t="str">
        <f t="shared" si="0"/>
        <v>PremiumSS4</v>
      </c>
      <c r="D31" s="7" t="str">
        <f t="shared" si="1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ブレイブリー・ライオン</v>
      </c>
      <c r="I31" s="7" t="str">
        <f>VLOOKUP(B31,[1]characters!$A:$J,10,FALSE)</f>
        <v>PremiumSS</v>
      </c>
      <c r="J31" s="7">
        <f>VLOOKUP(B31,[1]characters!$A:$I,9,FALSE)</f>
        <v>4</v>
      </c>
      <c r="K31" s="7" t="str">
        <f>VLOOKUP(B31,[1]characters!$A:$H,8,FALSE)</f>
        <v>yellow</v>
      </c>
      <c r="L31" s="7" t="str">
        <f>VLOOKUP(B31,[1]characters!$A:$K,11,FALSE)</f>
        <v>hp</v>
      </c>
      <c r="M31" s="7" t="str">
        <f>VLOOKUP(B31,[1]characters!$A:$M,13,FALSE)</f>
        <v>animal</v>
      </c>
      <c r="N31" s="7" t="str">
        <f>VLOOKUP(B31,[1]characters!$A:$G,7,FALSE)</f>
        <v>不明</v>
      </c>
      <c r="O31" s="45">
        <f ca="1">IFERROR(VLOOKUP(B31,input_502100!L:R,7,FALSE),VLOOKUP(tables_502100!C31,input_502100!A:H,8,FALSE))</f>
        <v>21175</v>
      </c>
      <c r="P31" s="46">
        <f ca="1">O31/SUM(O:O)</f>
        <v>3.701923076987797E-3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input_502100!A$2</f>
        <v>502100</v>
      </c>
      <c r="B32" s="6">
        <v>443</v>
      </c>
      <c r="C32" s="7" t="str">
        <f t="shared" si="0"/>
        <v>PremiumSS5</v>
      </c>
      <c r="D32" s="7" t="str">
        <f t="shared" si="1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勇機結集 ブレイブリー・ライオン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hp</v>
      </c>
      <c r="M32" s="7" t="str">
        <f>VLOOKUP(B32,[1]characters!$A:$M,13,FALSE)</f>
        <v>animal</v>
      </c>
      <c r="N32" s="7" t="str">
        <f>VLOOKUP(B32,[1]characters!$A:$G,7,FALSE)</f>
        <v>不明</v>
      </c>
      <c r="O32" s="45">
        <f ca="1">IFERROR(VLOOKUP(B32,input_502100!L:R,7,FALSE),VLOOKUP(tables_502100!C32,input_502100!A:H,8,FALSE))</f>
        <v>3025</v>
      </c>
      <c r="P32" s="46">
        <f ca="1">O32/SUM(O:O)</f>
        <v>5.2884615385539958E-4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input_502100!A$2</f>
        <v>502100</v>
      </c>
      <c r="B33" s="6">
        <v>470</v>
      </c>
      <c r="C33" s="7" t="str">
        <f t="shared" si="0"/>
        <v>Premium4</v>
      </c>
      <c r="D33" s="7" t="str">
        <f t="shared" si="1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純心 トリスタン</v>
      </c>
      <c r="I33" s="7" t="str">
        <f>VLOOKUP(B33,[1]characters!$A:$J,10,FALSE)</f>
        <v>PremiumS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human</v>
      </c>
      <c r="N33" s="7" t="str">
        <f>VLOOKUP(B33,[1]characters!$A:$G,7,FALSE)</f>
        <v>男性</v>
      </c>
      <c r="O33" s="45">
        <f ca="1">IFERROR(VLOOKUP(B33,input_502100!L:R,7,FALSE),VLOOKUP(tables_502100!C33,input_502100!A:H,8,FALSE))</f>
        <v>201637.5</v>
      </c>
      <c r="P33" s="46">
        <f ca="1">O33/SUM(O:O)</f>
        <v>3.5251311189427481E-2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input_502100!A$2</f>
        <v>502100</v>
      </c>
      <c r="B34" s="6">
        <v>471</v>
      </c>
      <c r="C34" s="7" t="str">
        <f t="shared" si="0"/>
        <v>Premium5</v>
      </c>
      <c r="D34" s="7" t="str">
        <f t="shared" si="1"/>
        <v>Premium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不可避の爆激 トリスタン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ca="1">IFERROR(VLOOKUP(B34,input_502100!L:R,7,FALSE),VLOOKUP(tables_502100!C34,input_502100!A:H,8,FALSE))</f>
        <v>11606.923070000001</v>
      </c>
      <c r="P34" s="46">
        <f ca="1">O34/SUM(O:O)</f>
        <v>2.0291823549305811E-3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input_502100!A$2</f>
        <v>502100</v>
      </c>
      <c r="B35" s="6">
        <v>482</v>
      </c>
      <c r="C35" s="7" t="str">
        <f t="shared" si="0"/>
        <v>Premium4</v>
      </c>
      <c r="D35" s="7" t="str">
        <f t="shared" si="1"/>
        <v>Premium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魁僧 沢庵宗彭</v>
      </c>
      <c r="I35" s="7" t="str">
        <f>VLOOKUP(B35,[1]characters!$A:$J,10,FALSE)</f>
        <v>PremiumS</v>
      </c>
      <c r="J35" s="7">
        <f>VLOOKUP(B35,[1]characters!$A:$I,9,FALSE)</f>
        <v>4</v>
      </c>
      <c r="K35" s="7" t="str">
        <f>VLOOKUP(B35,[1]characters!$A:$H,8,FALSE)</f>
        <v>yellow</v>
      </c>
      <c r="L35" s="7" t="str">
        <f>VLOOKUP(B35,[1]characters!$A:$K,11,FALSE)</f>
        <v>hp</v>
      </c>
      <c r="M35" s="7" t="str">
        <f>VLOOKUP(B35,[1]characters!$A:$M,13,FALSE)</f>
        <v>human</v>
      </c>
      <c r="N35" s="7" t="str">
        <f>VLOOKUP(B35,[1]characters!$A:$G,7,FALSE)</f>
        <v>男性</v>
      </c>
      <c r="O35" s="45">
        <f ca="1">IFERROR(VLOOKUP(B35,input_502100!L:R,7,FALSE),VLOOKUP(tables_502100!C35,input_502100!A:H,8,FALSE))</f>
        <v>201637.5</v>
      </c>
      <c r="P35" s="46">
        <f ca="1">O35/SUM(O:O)</f>
        <v>3.5251311189427481E-2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input_502100!A$2</f>
        <v>502100</v>
      </c>
      <c r="B36" s="6">
        <v>483</v>
      </c>
      <c r="C36" s="7" t="str">
        <f t="shared" si="0"/>
        <v>Premium5</v>
      </c>
      <c r="D36" s="7" t="str">
        <f t="shared" si="1"/>
        <v>Premium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 xml:space="preserve">命経死遂 沢庵宗彭 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yellow</v>
      </c>
      <c r="L36" s="7" t="str">
        <f>VLOOKUP(B36,[1]characters!$A:$K,11,FALSE)</f>
        <v>hp</v>
      </c>
      <c r="M36" s="7" t="str">
        <f>VLOOKUP(B36,[1]characters!$A:$M,13,FALSE)</f>
        <v>human</v>
      </c>
      <c r="N36" s="7" t="str">
        <f>VLOOKUP(B36,[1]characters!$A:$G,7,FALSE)</f>
        <v>男性</v>
      </c>
      <c r="O36" s="45">
        <f ca="1">IFERROR(VLOOKUP(B36,input_502100!L:R,7,FALSE),VLOOKUP(tables_502100!C36,input_502100!A:H,8,FALSE))</f>
        <v>11606.923070000001</v>
      </c>
      <c r="P36" s="46">
        <f ca="1">O36/SUM(O:O)</f>
        <v>2.0291823549305811E-3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input_502100!A$2</f>
        <v>502100</v>
      </c>
      <c r="B37" s="6">
        <v>499</v>
      </c>
      <c r="C37" s="7" t="str">
        <f t="shared" si="0"/>
        <v>PremiumSS4</v>
      </c>
      <c r="D37" s="7" t="str">
        <f t="shared" si="1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ラプンツェル</v>
      </c>
      <c r="I37" s="7" t="str">
        <f>VLOOKUP(B37,[1]characters!$A:$J,10,FALSE)</f>
        <v>PremiumSS</v>
      </c>
      <c r="J37" s="7">
        <f>VLOOKUP(B37,[1]characters!$A:$I,9,FALSE)</f>
        <v>4</v>
      </c>
      <c r="K37" s="7" t="str">
        <f>VLOOKUP(B37,[1]characters!$A:$H,8,FALSE)</f>
        <v>yellow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IFERROR(VLOOKUP(B37,input_502100!L:R,7,FALSE),VLOOKUP(tables_502100!C37,input_502100!A:H,8,FALSE))</f>
        <v>21175</v>
      </c>
      <c r="P37" s="46">
        <f ca="1">O37/SUM(O:O)</f>
        <v>3.701923076987797E-3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input_502100!A$2</f>
        <v>502100</v>
      </c>
      <c r="B38" s="6">
        <v>500</v>
      </c>
      <c r="C38" s="7" t="str">
        <f t="shared" si="0"/>
        <v>PremiumSS5</v>
      </c>
      <c r="D38" s="7" t="str">
        <f t="shared" si="1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脈動の禁髪 ラプンツェル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IFERROR(VLOOKUP(B38,input_502100!L:R,7,FALSE),VLOOKUP(tables_502100!C38,input_502100!A:H,8,FALSE))</f>
        <v>3025</v>
      </c>
      <c r="P38" s="46">
        <f ca="1">O38/SUM(O:O)</f>
        <v>5.2884615385539958E-4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input_502100!A$2</f>
        <v>502100</v>
      </c>
      <c r="B39" s="6">
        <v>563</v>
      </c>
      <c r="C39" s="7" t="str">
        <f t="shared" si="0"/>
        <v>premium5R3less</v>
      </c>
      <c r="D39" s="7" t="str">
        <f t="shared" si="1"/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電翔紫閃の雷刃 ハヤト</v>
      </c>
      <c r="I39" s="7" t="str">
        <f>VLOOKUP(B39,[1]characters!$A:$J,10,FALSE)</f>
        <v>PremiumW</v>
      </c>
      <c r="J39" s="7">
        <f>VLOOKUP(B39,[1]characters!$A:$I,9,FALSE)</f>
        <v>5</v>
      </c>
      <c r="K39" s="7" t="str">
        <f>VLOOKUP(B39,[1]characters!$A:$H,8,FALSE)</f>
        <v>yellow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男性</v>
      </c>
      <c r="O39" s="45">
        <f ca="1">IFERROR(VLOOKUP(B39,input_502100!L:R,7,FALSE),VLOOKUP(tables_502100!C39,input_502100!A:H,8,FALSE))</f>
        <v>30062.5</v>
      </c>
      <c r="P39" s="46">
        <f ca="1">O39/SUM(O:O)</f>
        <v>5.2556818182737022E-3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input_502100!A$2</f>
        <v>502100</v>
      </c>
      <c r="B40" s="6">
        <v>567</v>
      </c>
      <c r="C40" s="7" t="str">
        <f t="shared" si="0"/>
        <v>premium5R3less</v>
      </c>
      <c r="D40" s="7" t="str">
        <f t="shared" si="1"/>
        <v>premium</v>
      </c>
      <c r="E40" s="7" t="str">
        <f>IF(COUNTIF('R6追加前'!A:A,B40)=0,IF(OR(I40="PremiumSS",I40="PremiumSSw"),"R5only","R3less"),"")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紅揚の祭狐宴舞 タマモ</v>
      </c>
      <c r="I40" s="7" t="str">
        <f>VLOOKUP(B40,[1]characters!$A:$J,10,FALSE)</f>
        <v>PremiumW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balance</v>
      </c>
      <c r="M40" s="7" t="str">
        <f>VLOOKUP(B40,[1]characters!$A:$M,13,FALSE)</f>
        <v>animal</v>
      </c>
      <c r="N40" s="7" t="str">
        <f>VLOOKUP(B40,[1]characters!$A:$G,7,FALSE)</f>
        <v>不明</v>
      </c>
      <c r="O40" s="45">
        <f ca="1">IFERROR(VLOOKUP(B40,input_502100!L:R,7,FALSE),VLOOKUP(tables_502100!C40,input_502100!A:H,8,FALSE))</f>
        <v>30062.5</v>
      </c>
      <c r="P40" s="46">
        <f ca="1">O40/SUM(O:O)</f>
        <v>5.2556818182737022E-3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input_502100!A$2</f>
        <v>502100</v>
      </c>
      <c r="B41" s="6">
        <v>594</v>
      </c>
      <c r="C41" s="7" t="str">
        <f t="shared" si="0"/>
        <v>PremiumSS4</v>
      </c>
      <c r="D41" s="7" t="str">
        <f t="shared" si="1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アルフヘイム</v>
      </c>
      <c r="I41" s="7" t="str">
        <f>VLOOKUP(B41,[1]characters!$A:$J,10,FALSE)</f>
        <v>PremiumSS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dragon</v>
      </c>
      <c r="N41" s="7" t="str">
        <f>VLOOKUP(B41,[1]characters!$A:$G,7,FALSE)</f>
        <v>不明</v>
      </c>
      <c r="O41" s="45">
        <f ca="1">IFERROR(VLOOKUP(B41,input_502100!L:R,7,FALSE),VLOOKUP(tables_502100!C41,input_502100!A:H,8,FALSE))</f>
        <v>21175</v>
      </c>
      <c r="P41" s="46">
        <f ca="1">O41/SUM(O:O)</f>
        <v>3.701923076987797E-3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input_502100!A$2</f>
        <v>502100</v>
      </c>
      <c r="B42" s="6">
        <v>595</v>
      </c>
      <c r="C42" s="7" t="str">
        <f t="shared" si="0"/>
        <v>PremiumSS5</v>
      </c>
      <c r="D42" s="7" t="str">
        <f t="shared" si="1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光華なる神域 アルフヘイム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yellow</v>
      </c>
      <c r="L42" s="7" t="str">
        <f>VLOOKUP(B42,[1]characters!$A:$K,11,FALSE)</f>
        <v>attack</v>
      </c>
      <c r="M42" s="7" t="str">
        <f>VLOOKUP(B42,[1]characters!$A:$M,13,FALSE)</f>
        <v>dragon</v>
      </c>
      <c r="N42" s="7" t="str">
        <f>VLOOKUP(B42,[1]characters!$A:$G,7,FALSE)</f>
        <v>不明</v>
      </c>
      <c r="O42" s="45">
        <f ca="1">IFERROR(VLOOKUP(B42,input_502100!L:R,7,FALSE),VLOOKUP(tables_502100!C42,input_502100!A:H,8,FALSE))</f>
        <v>3025</v>
      </c>
      <c r="P42" s="46">
        <f ca="1">O42/SUM(O:O)</f>
        <v>5.2884615385539958E-4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input_502100!A$2</f>
        <v>502100</v>
      </c>
      <c r="B43" s="6">
        <v>605</v>
      </c>
      <c r="C43" s="7" t="str">
        <f t="shared" si="0"/>
        <v>Premium4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祝福される光耀 バルドル</v>
      </c>
      <c r="I43" s="7" t="str">
        <f>VLOOKUP(B43,[1]characters!$A:$J,10,FALSE)</f>
        <v>PremiumS</v>
      </c>
      <c r="J43" s="7">
        <f>VLOOKUP(B43,[1]characters!$A:$I,9,FALSE)</f>
        <v>4</v>
      </c>
      <c r="K43" s="7" t="str">
        <f>VLOOKUP(B43,[1]characters!$A:$H,8,FALSE)</f>
        <v>yellow</v>
      </c>
      <c r="L43" s="7" t="str">
        <f>VLOOKUP(B43,[1]characters!$A:$K,11,FALSE)</f>
        <v>heal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IFERROR(VLOOKUP(B43,input_502100!L:R,7,FALSE),VLOOKUP(tables_502100!C43,input_502100!A:H,8,FALSE))</f>
        <v>201637.5</v>
      </c>
      <c r="P43" s="46">
        <f ca="1">O43/SUM(O:O)</f>
        <v>3.5251311189427481E-2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input_502100!A$2</f>
        <v>502100</v>
      </c>
      <c r="B44" s="6">
        <v>606</v>
      </c>
      <c r="C44" s="7" t="str">
        <f t="shared" si="0"/>
        <v>Premium5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冀望の光芒 バルドル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yellow</v>
      </c>
      <c r="L44" s="7" t="str">
        <f>VLOOKUP(B44,[1]characters!$A:$K,11,FALSE)</f>
        <v>heal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IFERROR(VLOOKUP(B44,input_502100!L:R,7,FALSE),VLOOKUP(tables_502100!C44,input_502100!A:H,8,FALSE))</f>
        <v>11606.923070000001</v>
      </c>
      <c r="P44" s="46">
        <f ca="1">O44/SUM(O:O)</f>
        <v>2.0291823549305811E-3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input_502100!A$2</f>
        <v>502100</v>
      </c>
      <c r="B45" s="6">
        <v>666</v>
      </c>
      <c r="C45" s="7" t="str">
        <f t="shared" si="0"/>
        <v>Premium4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拡散する幸福 テマリ</v>
      </c>
      <c r="I45" s="7" t="str">
        <f>VLOOKUP(B45,[1]characters!$A:$J,10,FALSE)</f>
        <v>PremiumS</v>
      </c>
      <c r="J45" s="7">
        <f>VLOOKUP(B45,[1]characters!$A:$I,9,FALSE)</f>
        <v>4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unknown</v>
      </c>
      <c r="N45" s="7" t="str">
        <f>VLOOKUP(B45,[1]characters!$A:$G,7,FALSE)</f>
        <v>女性</v>
      </c>
      <c r="O45" s="45">
        <f ca="1">IFERROR(VLOOKUP(B45,input_502100!L:R,7,FALSE),VLOOKUP(tables_502100!C45,input_502100!A:H,8,FALSE))</f>
        <v>201637.5</v>
      </c>
      <c r="P45" s="46">
        <f ca="1">O45/SUM(O:O)</f>
        <v>3.5251311189427481E-2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input_502100!A$2</f>
        <v>502100</v>
      </c>
      <c r="B46" s="6">
        <v>667</v>
      </c>
      <c r="C46" s="7" t="str">
        <f t="shared" si="0"/>
        <v>Premium5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最幸運の妖童 テマリ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balance</v>
      </c>
      <c r="M46" s="7" t="str">
        <f>VLOOKUP(B46,[1]characters!$A:$M,13,FALSE)</f>
        <v>unknown</v>
      </c>
      <c r="N46" s="7" t="str">
        <f>VLOOKUP(B46,[1]characters!$A:$G,7,FALSE)</f>
        <v>女性</v>
      </c>
      <c r="O46" s="45">
        <f ca="1">IFERROR(VLOOKUP(B46,input_502100!L:R,7,FALSE),VLOOKUP(tables_502100!C46,input_502100!A:H,8,FALSE))</f>
        <v>11606.923070000001</v>
      </c>
      <c r="P46" s="46">
        <f ca="1">O46/SUM(O:O)</f>
        <v>2.0291823549305811E-3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input_502100!A$2</f>
        <v>502100</v>
      </c>
      <c r="B47" s="6">
        <v>676</v>
      </c>
      <c r="C47" s="7" t="str">
        <f t="shared" si="0"/>
        <v>PremiumSS4</v>
      </c>
      <c r="D47" s="7" t="str">
        <f t="shared" si="1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ヴィシュヌ</v>
      </c>
      <c r="I47" s="7" t="str">
        <f>VLOOKUP(B47,[1]characters!$A:$J,10,FALSE)</f>
        <v>PremiumSS</v>
      </c>
      <c r="J47" s="7">
        <f>VLOOKUP(B47,[1]characters!$A:$I,9,FALSE)</f>
        <v>4</v>
      </c>
      <c r="K47" s="7" t="str">
        <f>VLOOKUP(B47,[1]characters!$A:$H,8,FALSE)</f>
        <v>yellow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IFERROR(VLOOKUP(B47,input_502100!L:R,7,FALSE),VLOOKUP(tables_502100!C47,input_502100!A:H,8,FALSE))</f>
        <v>21175</v>
      </c>
      <c r="P47" s="46">
        <f ca="1">O47/SUM(O:O)</f>
        <v>3.701923076987797E-3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input_502100!A$2</f>
        <v>502100</v>
      </c>
      <c r="B48" s="6">
        <v>677</v>
      </c>
      <c r="C48" s="7" t="str">
        <f t="shared" si="0"/>
        <v>PremiumSS5</v>
      </c>
      <c r="D48" s="7" t="str">
        <f t="shared" si="1"/>
        <v>PremiumSS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武遊闊歩 ヴィシュヌ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yellow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IFERROR(VLOOKUP(B48,input_502100!L:R,7,FALSE),VLOOKUP(tables_502100!C48,input_502100!A:H,8,FALSE))</f>
        <v>3025</v>
      </c>
      <c r="P48" s="46">
        <f ca="1">O48/SUM(O:O)</f>
        <v>5.2884615385539958E-4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input_502100!A$2</f>
        <v>502100</v>
      </c>
      <c r="B49" s="6">
        <v>734</v>
      </c>
      <c r="C49" s="7" t="str">
        <f t="shared" si="0"/>
        <v>PremiumSS5R5only</v>
      </c>
      <c r="D49" s="7" t="str">
        <f t="shared" si="1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伊達政宗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balance</v>
      </c>
      <c r="M49" s="7" t="str">
        <f>VLOOKUP(B49,[1]characters!$A:$M,13,FALSE)</f>
        <v>human</v>
      </c>
      <c r="N49" s="7" t="str">
        <f>VLOOKUP(B49,[1]characters!$A:$G,7,FALSE)</f>
        <v>男性</v>
      </c>
      <c r="O49" s="45">
        <f ca="1">IFERROR(VLOOKUP(B49,input_502100!L:R,7,FALSE),VLOOKUP(tables_502100!C49,input_502100!A:H,8,FALSE))</f>
        <v>23600</v>
      </c>
      <c r="P49" s="46">
        <f ca="1">O49/SUM(O:O)</f>
        <v>4.1258741259462576E-3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input_502100!A$2</f>
        <v>502100</v>
      </c>
      <c r="B50" s="6">
        <v>748</v>
      </c>
      <c r="C50" s="7" t="str">
        <f t="shared" si="0"/>
        <v>Premium4R3less</v>
      </c>
      <c r="D50" s="7" t="str">
        <f t="shared" si="1"/>
        <v>Premium</v>
      </c>
      <c r="E50" s="7" t="str">
        <f>IF(COUNTIF('R6追加前'!A:A,B50)=0,IF(OR(I50="PremiumSS",I50="PremiumSSw"),"R5only","R3less"),"")</f>
        <v>R3less</v>
      </c>
      <c r="F50" s="7" t="str">
        <f>IF(COUNTIF('R6開放'!A:A,B50)&gt;0,"R6release","")</f>
        <v/>
      </c>
      <c r="G50" s="7"/>
      <c r="H50" s="7" t="str">
        <f>VLOOKUP(B50,[1]characters!$A:$C,3,FALSE)</f>
        <v>パーン</v>
      </c>
      <c r="I50" s="7" t="str">
        <f>VLOOKUP(B50,[1]characters!$A:$J,10,FALSE)</f>
        <v>PremiumS</v>
      </c>
      <c r="J50" s="7">
        <f>VLOOKUP(B50,[1]characters!$A:$I,9,FALSE)</f>
        <v>4</v>
      </c>
      <c r="K50" s="7" t="str">
        <f>VLOOKUP(B50,[1]characters!$A:$H,8,FALSE)</f>
        <v>yellow</v>
      </c>
      <c r="L50" s="7" t="str">
        <f>VLOOKUP(B50,[1]characters!$A:$K,11,FALSE)</f>
        <v>heal</v>
      </c>
      <c r="M50" s="7" t="str">
        <f>VLOOKUP(B50,[1]characters!$A:$M,13,FALSE)</f>
        <v>animal</v>
      </c>
      <c r="N50" s="7" t="str">
        <f>VLOOKUP(B50,[1]characters!$A:$G,7,FALSE)</f>
        <v>男性</v>
      </c>
      <c r="O50" s="45">
        <f ca="1">IFERROR(VLOOKUP(B50,input_502100!L:R,7,FALSE),VLOOKUP(tables_502100!C50,input_502100!A:H,8,FALSE))</f>
        <v>190395.83332999999</v>
      </c>
      <c r="P50" s="46">
        <f ca="1">O50/SUM(O:O)</f>
        <v>3.3285984848484031E-2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input_502100!A$2</f>
        <v>502100</v>
      </c>
      <c r="B51" s="6">
        <v>749</v>
      </c>
      <c r="C51" s="7" t="str">
        <f t="shared" si="0"/>
        <v>Premium5R3less</v>
      </c>
      <c r="D51" s="7" t="str">
        <f t="shared" si="1"/>
        <v>Premium</v>
      </c>
      <c r="E51" s="7" t="str">
        <f>IF(COUNTIF('R6追加前'!A:A,B51)=0,IF(OR(I51="PremiumSS",I51="PremiumSSw"),"R5only","R3less"),"")</f>
        <v>R3less</v>
      </c>
      <c r="F51" s="7" t="str">
        <f>IF(COUNTIF('R6開放'!A:A,B51)&gt;0,"R6release","")</f>
        <v/>
      </c>
      <c r="G51" s="7"/>
      <c r="H51" s="7" t="str">
        <f>VLOOKUP(B51,[1]characters!$A:$C,3,FALSE)</f>
        <v>光喜の牧童 パーン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yellow</v>
      </c>
      <c r="L51" s="7" t="str">
        <f>VLOOKUP(B51,[1]characters!$A:$K,11,FALSE)</f>
        <v>heal</v>
      </c>
      <c r="M51" s="7" t="str">
        <f>VLOOKUP(B51,[1]characters!$A:$M,13,FALSE)</f>
        <v>animal</v>
      </c>
      <c r="N51" s="7" t="str">
        <f>VLOOKUP(B51,[1]characters!$A:$G,7,FALSE)</f>
        <v>男性</v>
      </c>
      <c r="O51" s="45">
        <f ca="1">IFERROR(VLOOKUP(B51,input_502100!L:R,7,FALSE),VLOOKUP(tables_502100!C51,input_502100!A:H,8,FALSE))</f>
        <v>30062.5</v>
      </c>
      <c r="P51" s="46">
        <f ca="1">O51/SUM(O:O)</f>
        <v>5.2556818182737022E-3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input_502100!A$2</f>
        <v>502100</v>
      </c>
      <c r="B52" s="6">
        <v>778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一亀懸明 ガメック</v>
      </c>
      <c r="I52" s="7" t="str">
        <f>VLOOKUP(B52,[1]characters!$A:$J,10,FALSE)</f>
        <v>PremiumS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hp</v>
      </c>
      <c r="M52" s="7" t="str">
        <f>VLOOKUP(B52,[1]characters!$A:$M,13,FALSE)</f>
        <v>animal</v>
      </c>
      <c r="N52" s="7" t="str">
        <f>VLOOKUP(B52,[1]characters!$A:$G,7,FALSE)</f>
        <v>不明</v>
      </c>
      <c r="O52" s="45">
        <f ca="1">IFERROR(VLOOKUP(B52,input_502100!L:R,7,FALSE),VLOOKUP(tables_502100!C52,input_502100!A:H,8,FALSE))</f>
        <v>201637.5</v>
      </c>
      <c r="P52" s="46">
        <f ca="1">O52/SUM(O:O)</f>
        <v>3.5251311189427481E-2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input_502100!A$2</f>
        <v>502100</v>
      </c>
      <c r="B53" s="6">
        <v>779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頑堅咬亀 ガメック</v>
      </c>
      <c r="I53" s="7" t="str">
        <f>VLOOKUP(B53,[1]characters!$A:$J,10,FALSE)</f>
        <v>PremiumS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ca="1">IFERROR(VLOOKUP(B53,input_502100!L:R,7,FALSE),VLOOKUP(tables_502100!C53,input_502100!A:H,8,FALSE))</f>
        <v>11606.923070000001</v>
      </c>
      <c r="P53" s="46">
        <f ca="1">O53/SUM(O:O)</f>
        <v>2.0291823549305811E-3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input_502100!A$2</f>
        <v>502100</v>
      </c>
      <c r="B54" s="6">
        <v>854</v>
      </c>
      <c r="C54" s="7" t="str">
        <f t="shared" si="0"/>
        <v>Premium4R3less</v>
      </c>
      <c r="D54" s="7" t="str">
        <f t="shared" si="1"/>
        <v>Premium</v>
      </c>
      <c r="E54" s="7" t="str">
        <f>IF(COUNTIF('R6追加前'!A:A,B54)=0,IF(OR(I54="PremiumSS",I54="PremiumSSw"),"R5only","R3less"),"")</f>
        <v>R3less</v>
      </c>
      <c r="F54" s="7" t="str">
        <f>IF(COUNTIF('R6開放'!A:A,B54)&gt;0,"R6release","")</f>
        <v/>
      </c>
      <c r="G54" s="7"/>
      <c r="H54" s="7" t="str">
        <f>VLOOKUP(B54,[1]characters!$A:$C,3,FALSE)</f>
        <v>フラウロス</v>
      </c>
      <c r="I54" s="7" t="str">
        <f>VLOOKUP(B54,[1]characters!$A:$J,10,FALSE)</f>
        <v>PremiumS</v>
      </c>
      <c r="J54" s="7">
        <f>VLOOKUP(B54,[1]characters!$A:$I,9,FALSE)</f>
        <v>4</v>
      </c>
      <c r="K54" s="7" t="str">
        <f>VLOOKUP(B54,[1]characters!$A:$H,8,FALSE)</f>
        <v>yellow</v>
      </c>
      <c r="L54" s="7" t="str">
        <f>VLOOKUP(B54,[1]characters!$A:$K,11,FALSE)</f>
        <v>attack</v>
      </c>
      <c r="M54" s="7" t="str">
        <f>VLOOKUP(B54,[1]characters!$A:$M,13,FALSE)</f>
        <v>animal</v>
      </c>
      <c r="N54" s="7" t="str">
        <f>VLOOKUP(B54,[1]characters!$A:$G,7,FALSE)</f>
        <v>男性</v>
      </c>
      <c r="O54" s="45">
        <f ca="1">IFERROR(VLOOKUP(B54,input_502100!L:R,7,FALSE),VLOOKUP(tables_502100!C54,input_502100!A:H,8,FALSE))</f>
        <v>190395.83332999999</v>
      </c>
      <c r="P54" s="46">
        <f ca="1">O54/SUM(O:O)</f>
        <v>3.3285984848484031E-2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input_502100!A$2</f>
        <v>502100</v>
      </c>
      <c r="B55" s="6">
        <v>855</v>
      </c>
      <c r="C55" s="7" t="str">
        <f t="shared" si="0"/>
        <v>Premium5R3less</v>
      </c>
      <c r="D55" s="7" t="str">
        <f t="shared" si="1"/>
        <v>Premium</v>
      </c>
      <c r="E55" s="7" t="str">
        <f>IF(COUNTIF('R6追加前'!A:A,B55)=0,IF(OR(I55="PremiumSS",I55="PremiumSSw"),"R5only","R3less"),"")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豹魔の侠客 フラウロス</v>
      </c>
      <c r="I55" s="7" t="str">
        <f>VLOOKUP(B55,[1]characters!$A:$J,10,FALSE)</f>
        <v>PremiumS</v>
      </c>
      <c r="J55" s="7">
        <f>VLOOKUP(B55,[1]characters!$A:$I,9,FALSE)</f>
        <v>5</v>
      </c>
      <c r="K55" s="7" t="str">
        <f>VLOOKUP(B55,[1]characters!$A:$H,8,FALSE)</f>
        <v>yellow</v>
      </c>
      <c r="L55" s="7" t="str">
        <f>VLOOKUP(B55,[1]characters!$A:$K,11,FALSE)</f>
        <v>attack</v>
      </c>
      <c r="M55" s="7" t="str">
        <f>VLOOKUP(B55,[1]characters!$A:$M,13,FALSE)</f>
        <v>animal</v>
      </c>
      <c r="N55" s="7" t="str">
        <f>VLOOKUP(B55,[1]characters!$A:$G,7,FALSE)</f>
        <v>男性</v>
      </c>
      <c r="O55" s="45">
        <f ca="1">IFERROR(VLOOKUP(B55,input_502100!L:R,7,FALSE),VLOOKUP(tables_502100!C55,input_502100!A:H,8,FALSE))</f>
        <v>30062.5</v>
      </c>
      <c r="P55" s="46">
        <f ca="1">O55/SUM(O:O)</f>
        <v>5.2556818182737022E-3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input_502100!A$2</f>
        <v>502100</v>
      </c>
      <c r="B56" s="6">
        <v>868</v>
      </c>
      <c r="C56" s="7" t="str">
        <f t="shared" si="0"/>
        <v>PremiumSS5R5only</v>
      </c>
      <c r="D56" s="7" t="str">
        <f t="shared" si="1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アラジンと殲滅機兵LAMP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hp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f ca="1">IFERROR(VLOOKUP(B56,input_502100!L:R,7,FALSE),VLOOKUP(tables_502100!C56,input_502100!A:H,8,FALSE))</f>
        <v>23600</v>
      </c>
      <c r="P56" s="46">
        <f ca="1">O56/SUM(O:O)</f>
        <v>4.1258741259462576E-3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input_502100!A$2</f>
        <v>502100</v>
      </c>
      <c r="B57" s="6">
        <v>943</v>
      </c>
      <c r="C57" s="7" t="str">
        <f t="shared" si="0"/>
        <v>PremiumSS5R5only</v>
      </c>
      <c r="D57" s="7" t="str">
        <f t="shared" si="1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サンソン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ca="1">IFERROR(VLOOKUP(B57,input_502100!L:R,7,FALSE),VLOOKUP(tables_502100!C57,input_502100!A:H,8,FALSE))</f>
        <v>23600</v>
      </c>
      <c r="P57" s="46">
        <f ca="1">O57/SUM(O:O)</f>
        <v>4.1258741259462576E-3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input_502100!A$2</f>
        <v>502100</v>
      </c>
      <c r="B58" s="6">
        <v>1018</v>
      </c>
      <c r="C58" s="7" t="str">
        <f t="shared" si="0"/>
        <v>PremiumSS5R5only</v>
      </c>
      <c r="D58" s="7" t="str">
        <f t="shared" si="1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バステト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男性</v>
      </c>
      <c r="O58" s="45">
        <f ca="1">IFERROR(VLOOKUP(B58,input_502100!L:R,7,FALSE),VLOOKUP(tables_502100!C58,input_502100!A:H,8,FALSE))</f>
        <v>23600</v>
      </c>
      <c r="P58" s="46">
        <f ca="1">O58/SUM(O:O)</f>
        <v>4.1258741259462576E-3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input_502100!A$2</f>
        <v>502100</v>
      </c>
      <c r="B59" s="6">
        <v>1033</v>
      </c>
      <c r="C59" s="7" t="str">
        <f t="shared" si="0"/>
        <v>PremiumSS5R5only</v>
      </c>
      <c r="D59" s="7" t="str">
        <f t="shared" si="1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清少納言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heal</v>
      </c>
      <c r="M59" s="7" t="str">
        <f>VLOOKUP(B59,[1]characters!$A:$M,13,FALSE)</f>
        <v>human</v>
      </c>
      <c r="N59" s="7" t="str">
        <f>VLOOKUP(B59,[1]characters!$A:$G,7,FALSE)</f>
        <v>男性</v>
      </c>
      <c r="O59" s="45">
        <f ca="1">IFERROR(VLOOKUP(B59,input_502100!L:R,7,FALSE),VLOOKUP(tables_502100!C59,input_502100!A:H,8,FALSE))</f>
        <v>23600</v>
      </c>
      <c r="P59" s="46">
        <f ca="1">O59/SUM(O:O)</f>
        <v>4.1258741259462576E-3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input_502100!A$2</f>
        <v>502100</v>
      </c>
      <c r="B60" s="6">
        <v>1074</v>
      </c>
      <c r="C60" s="7" t="str">
        <f t="shared" si="0"/>
        <v>PremiumSS5R5only</v>
      </c>
      <c r="D60" s="7" t="str">
        <f t="shared" si="1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マルドゥク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yellow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ca="1">IFERROR(VLOOKUP(B60,input_502100!L:R,7,FALSE),VLOOKUP(tables_502100!C60,input_502100!A:H,8,FALSE))</f>
        <v>23600</v>
      </c>
      <c r="P60" s="46">
        <f ca="1">O60/SUM(O:O)</f>
        <v>4.1258741259462576E-3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input_502100!A$2</f>
        <v>502100</v>
      </c>
      <c r="B61" s="6">
        <v>1106</v>
      </c>
      <c r="C61" s="7" t="str">
        <f t="shared" si="0"/>
        <v>PremiumSS5R5only</v>
      </c>
      <c r="D61" s="7" t="str">
        <f t="shared" si="1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ラファエロ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attack</v>
      </c>
      <c r="M61" s="7" t="str">
        <f>VLOOKUP(B61,[1]characters!$A:$M,13,FALSE)</f>
        <v>human</v>
      </c>
      <c r="N61" s="7" t="str">
        <f>VLOOKUP(B61,[1]characters!$A:$G,7,FALSE)</f>
        <v>不明</v>
      </c>
      <c r="O61" s="45">
        <f ca="1">IFERROR(VLOOKUP(B61,input_502100!L:R,7,FALSE),VLOOKUP(tables_502100!C61,input_502100!A:H,8,FALSE))</f>
        <v>23600</v>
      </c>
      <c r="P61" s="46">
        <f ca="1">O61/SUM(O:O)</f>
        <v>4.1258741259462576E-3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input_502100!A$2</f>
        <v>502100</v>
      </c>
      <c r="B62" s="8">
        <v>1143</v>
      </c>
      <c r="C62" s="7" t="str">
        <f t="shared" si="0"/>
        <v>Premium4R3less</v>
      </c>
      <c r="D62" s="7" t="str">
        <f t="shared" si="1"/>
        <v>Premium</v>
      </c>
      <c r="E62" s="7" t="str">
        <f>IF(COUNTIF('R6追加前'!A:A,B62)=0,IF(OR(I62="PremiumSS",I62="PremiumSSw"),"R5only","R3less"),"")</f>
        <v>R3less</v>
      </c>
      <c r="F62" s="7" t="str">
        <f>IF(COUNTIF('R6開放'!A:A,B62)&gt;0,"R6release","")</f>
        <v/>
      </c>
      <c r="G62" s="7"/>
      <c r="H62" s="7" t="str">
        <f>VLOOKUP(B62,[1]characters!$A:$C,3,FALSE)</f>
        <v>黄忠</v>
      </c>
      <c r="I62" s="7" t="str">
        <f>VLOOKUP(B62,[1]characters!$A:$J,10,FALSE)</f>
        <v>PremiumS</v>
      </c>
      <c r="J62" s="7">
        <f>VLOOKUP(B62,[1]characters!$A:$I,9,FALSE)</f>
        <v>4</v>
      </c>
      <c r="K62" s="7" t="str">
        <f>VLOOKUP(B62,[1]characters!$A:$H,8,FALSE)</f>
        <v>yellow</v>
      </c>
      <c r="L62" s="7" t="str">
        <f>VLOOKUP(B62,[1]characters!$A:$K,11,FALSE)</f>
        <v>technical</v>
      </c>
      <c r="M62" s="7" t="str">
        <f>VLOOKUP(B62,[1]characters!$A:$M,13,FALSE)</f>
        <v>samurai</v>
      </c>
      <c r="N62" s="7" t="str">
        <f>VLOOKUP(B62,[1]characters!$A:$G,7,FALSE)</f>
        <v>不明</v>
      </c>
      <c r="O62" s="45">
        <f ca="1">IFERROR(VLOOKUP(B62,input_502100!L:R,7,FALSE),VLOOKUP(tables_502100!C62,input_502100!A:H,8,FALSE))</f>
        <v>190395.83332999999</v>
      </c>
      <c r="P62" s="46">
        <f ca="1">O62/SUM(O:O)</f>
        <v>3.3285984848484031E-2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input_502100!A$2</f>
        <v>502100</v>
      </c>
      <c r="B63" s="8">
        <v>1144</v>
      </c>
      <c r="C63" s="7" t="str">
        <f t="shared" si="0"/>
        <v>Premium5R3less</v>
      </c>
      <c r="D63" s="7" t="str">
        <f t="shared" si="1"/>
        <v>Premium</v>
      </c>
      <c r="E63" s="7" t="str">
        <f>IF(COUNTIF('R6追加前'!A:A,B63)=0,IF(OR(I63="PremiumSS",I63="PremiumSSw"),"R5only","R3less"),"")</f>
        <v>R3less</v>
      </c>
      <c r="F63" s="7" t="str">
        <f>IF(COUNTIF('R6開放'!A:A,B63)&gt;0,"R6release","")</f>
        <v/>
      </c>
      <c r="G63" s="7"/>
      <c r="H63" s="7" t="str">
        <f>VLOOKUP(B63,[1]characters!$A:$C,3,FALSE)</f>
        <v>白星を射る老将 黄忠</v>
      </c>
      <c r="I63" s="7" t="str">
        <f>VLOOKUP(B63,[1]characters!$A:$J,10,FALSE)</f>
        <v>PremiumS</v>
      </c>
      <c r="J63" s="7">
        <f>VLOOKUP(B63,[1]characters!$A:$I,9,FALSE)</f>
        <v>5</v>
      </c>
      <c r="K63" s="7" t="str">
        <f>VLOOKUP(B63,[1]characters!$A:$H,8,FALSE)</f>
        <v>yellow</v>
      </c>
      <c r="L63" s="7" t="str">
        <f>VLOOKUP(B63,[1]characters!$A:$K,11,FALSE)</f>
        <v>technical</v>
      </c>
      <c r="M63" s="7" t="str">
        <f>VLOOKUP(B63,[1]characters!$A:$M,13,FALSE)</f>
        <v>samurai</v>
      </c>
      <c r="N63" s="7" t="str">
        <f>VLOOKUP(B63,[1]characters!$A:$G,7,FALSE)</f>
        <v>不明</v>
      </c>
      <c r="O63" s="45">
        <f ca="1">IFERROR(VLOOKUP(B63,input_502100!L:R,7,FALSE),VLOOKUP(tables_502100!C63,input_502100!A:H,8,FALSE))</f>
        <v>30062.5</v>
      </c>
      <c r="P63" s="46">
        <f ca="1">O63/SUM(O:O)</f>
        <v>5.2556818182737022E-3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input_502100!A$2</f>
        <v>502100</v>
      </c>
      <c r="B64" s="8">
        <v>1157</v>
      </c>
      <c r="C64" s="7" t="str">
        <f t="shared" si="0"/>
        <v>PremiumSS5R5only</v>
      </c>
      <c r="D64" s="7" t="str">
        <f t="shared" si="1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インドラ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god</v>
      </c>
      <c r="N64" s="7" t="str">
        <f>VLOOKUP(B64,[1]characters!$A:$G,7,FALSE)</f>
        <v>不明</v>
      </c>
      <c r="O64" s="45">
        <f ca="1">IFERROR(VLOOKUP(B64,input_502100!L:R,7,FALSE),VLOOKUP(tables_502100!C64,input_502100!A:H,8,FALSE))</f>
        <v>23600</v>
      </c>
      <c r="P64" s="46">
        <f ca="1">O64/SUM(O:O)</f>
        <v>4.1258741259462576E-3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input_502100!A$2</f>
        <v>502100</v>
      </c>
      <c r="B65" s="8">
        <v>1214</v>
      </c>
      <c r="C65" s="7" t="str">
        <f t="shared" si="0"/>
        <v>PremiumSS5R5only</v>
      </c>
      <c r="D65" s="7" t="str">
        <f t="shared" si="1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アルテミス</v>
      </c>
      <c r="I65" s="7" t="str">
        <f>VLOOKUP(B65,[1]characters!$A:$J,10,FALSE)</f>
        <v>PremiumSSw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god</v>
      </c>
      <c r="N65" s="7">
        <f>VLOOKUP(B65,[1]characters!$A:$G,7,FALSE)</f>
        <v>0</v>
      </c>
      <c r="O65" s="45">
        <f ca="1">IFERROR(VLOOKUP(B65,input_502100!L:R,7,FALSE),VLOOKUP(tables_502100!C65,input_502100!A:H,8,FALSE))</f>
        <v>23600</v>
      </c>
      <c r="P65" s="46">
        <f ca="1">O65/SUM(O:O)</f>
        <v>4.1258741259462576E-3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input_502100!A$2</f>
        <v>502100</v>
      </c>
      <c r="B66" s="6">
        <v>1230</v>
      </c>
      <c r="C66" s="7" t="str">
        <f t="shared" ref="C66:C73" si="2">D66&amp;J66&amp;E66&amp;F66&amp;G66</f>
        <v>PremiumSS5R5only</v>
      </c>
      <c r="D66" s="7" t="str">
        <f t="shared" si="1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夏目漱石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yellow</v>
      </c>
      <c r="L66" s="7" t="str">
        <f>VLOOKUP(B66,[1]characters!$A:$K,11,FALSE)</f>
        <v>heal</v>
      </c>
      <c r="M66" s="7" t="str">
        <f>VLOOKUP(B66,[1]characters!$A:$M,13,FALSE)</f>
        <v>animal</v>
      </c>
      <c r="N66" s="7">
        <f>VLOOKUP(B66,[1]characters!$A:$G,7,FALSE)</f>
        <v>0</v>
      </c>
      <c r="O66" s="45">
        <f ca="1">IFERROR(VLOOKUP(B66,input_502100!L:R,7,FALSE),VLOOKUP(tables_502100!C66,input_502100!A:H,8,FALSE))</f>
        <v>23600</v>
      </c>
      <c r="P66" s="46">
        <f ca="1">O66/SUM(O:O)</f>
        <v>4.1258741259462576E-3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input_502100!A$2</f>
        <v>502100</v>
      </c>
      <c r="B67" s="6">
        <v>1250</v>
      </c>
      <c r="C67" s="7" t="str">
        <f t="shared" si="2"/>
        <v>PremiumSS5R5only</v>
      </c>
      <c r="D67" s="7" t="str">
        <f t="shared" ref="D67:D73" si="3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f ca="1">IFERROR(VLOOKUP(B67,input_502100!L:R,7,FALSE),VLOOKUP(tables_502100!C67,input_502100!A:H,8,FALSE))</f>
        <v>23600</v>
      </c>
      <c r="P67" s="46">
        <f ca="1">O67/SUM(O:O)</f>
        <v>4.1258741259462576E-3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input_502100!A$2</f>
        <v>502100</v>
      </c>
      <c r="B68" s="6">
        <v>760</v>
      </c>
      <c r="C68" s="7" t="str">
        <f t="shared" si="2"/>
        <v>PremiumSSS5R3less</v>
      </c>
      <c r="D68" s="7" t="str">
        <f t="shared" si="3"/>
        <v>PremiumSSS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限論顕現 クロネッカー</v>
      </c>
      <c r="I68" s="7" t="str">
        <f>VLOOKUP(B68,[1]characters!$A:$J,10,FALSE)</f>
        <v>PremiumSSS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男性</v>
      </c>
      <c r="O68" s="45">
        <f>IFERROR(VLOOKUP(B68,input_502100!L:R,7,FALSE),VLOOKUP(tables_502100!C68,input_502100!A:H,8,FALSE))</f>
        <v>22880</v>
      </c>
      <c r="P68" s="46">
        <f ca="1">O68/SUM(O:O)</f>
        <v>4.0000000000699311E-3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input_502100!A$2</f>
        <v>502100</v>
      </c>
      <c r="B69" s="6">
        <v>410</v>
      </c>
      <c r="C69" s="7" t="str">
        <f t="shared" si="2"/>
        <v>PremiumSSS4R3less</v>
      </c>
      <c r="D69" s="7" t="str">
        <f t="shared" si="3"/>
        <v>PremiumSSS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ファラデー</v>
      </c>
      <c r="I69" s="7" t="str">
        <f>VLOOKUP(B69,[1]characters!$A:$J,10,FALSE)</f>
        <v>PremiumSSS</v>
      </c>
      <c r="J69" s="7">
        <f>VLOOKUP(B69,[1]characters!$A:$I,9,FALSE)</f>
        <v>4</v>
      </c>
      <c r="K69" s="7" t="str">
        <f>VLOOKUP(B69,[1]characters!$A:$H,8,FALSE)</f>
        <v>yellow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>IFERROR(VLOOKUP(B69,input_502100!L:R,7,FALSE),VLOOKUP(tables_502100!C69,input_502100!A:H,8,FALSE))</f>
        <v>11440</v>
      </c>
      <c r="P69" s="46">
        <f ca="1">O69/SUM(O:O)</f>
        <v>2.0000000000349656E-3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input_502100!A$2</f>
        <v>502100</v>
      </c>
      <c r="B70" s="60">
        <v>411</v>
      </c>
      <c r="C70" s="7" t="str">
        <f t="shared" si="2"/>
        <v>PremiumSSS5R3less</v>
      </c>
      <c r="D70" s="7" t="str">
        <f t="shared" si="3"/>
        <v>PremiumSSS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電隷の始祖 ファラデー</v>
      </c>
      <c r="I70" s="7" t="str">
        <f>VLOOKUP(B70,[1]characters!$A:$J,10,FALSE)</f>
        <v>PremiumSSS</v>
      </c>
      <c r="J70" s="7">
        <f>VLOOKUP(B70,[1]characters!$A:$I,9,FALSE)</f>
        <v>5</v>
      </c>
      <c r="K70" s="7" t="str">
        <f>VLOOKUP(B70,[1]characters!$A:$H,8,FALSE)</f>
        <v>yellow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IFERROR(VLOOKUP(B70,input_502100!L:R,7,FALSE),VLOOKUP(tables_502100!C70,input_502100!A:H,8,FALSE))</f>
        <v>11440</v>
      </c>
      <c r="P70" s="46">
        <f ca="1">O70/SUM(O:O)</f>
        <v>2.0000000000349656E-3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input_502100!A$2</f>
        <v>502100</v>
      </c>
      <c r="B71" s="60">
        <v>489</v>
      </c>
      <c r="C71" s="7" t="str">
        <f t="shared" si="2"/>
        <v>PremiumSSS5R3less</v>
      </c>
      <c r="D71" s="7" t="str">
        <f t="shared" si="3"/>
        <v>PremiumSSS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宇宙の拡超 ハップル</v>
      </c>
      <c r="I71" s="7" t="str">
        <f>VLOOKUP(B71,[1]characters!$A:$J,10,FALSE)</f>
        <v>PremiumSSS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technical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IFERROR(VLOOKUP(B71,input_502100!L:R,7,FALSE),VLOOKUP(tables_502100!C71,input_502100!A:H,8,FALSE))</f>
        <v>22880</v>
      </c>
      <c r="P71" s="46">
        <f ca="1">O71/SUM(O:O)</f>
        <v>4.0000000000699311E-3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input_502100!A$2</f>
        <v>502100</v>
      </c>
      <c r="B72" s="60">
        <v>792</v>
      </c>
      <c r="C72" s="7" t="str">
        <f t="shared" si="2"/>
        <v>PremiumSSS5R3less</v>
      </c>
      <c r="D72" s="7" t="str">
        <f t="shared" si="3"/>
        <v>PremiumSSS</v>
      </c>
      <c r="E72" s="7" t="str">
        <f>IF(COUNTIF('R6追加前'!A:A,B72)=0,IF(OR(I72="PremiumSS",I72="PremiumSSw"),"R5only","R3less"),"")</f>
        <v>R3less</v>
      </c>
      <c r="F72" s="7" t="str">
        <f>IF(COUNTIF('R6開放'!A:A,B72)&gt;0,"R6release","")</f>
        <v/>
      </c>
      <c r="G72" s="7"/>
      <c r="H72" s="7" t="str">
        <f>VLOOKUP(B72,[1]characters!$A:$C,3,FALSE)</f>
        <v>片還の収波 フーリエ</v>
      </c>
      <c r="I72" s="7" t="str">
        <f>VLOOKUP(B72,[1]characters!$A:$J,10,FALSE)</f>
        <v>PremiumSSS</v>
      </c>
      <c r="J72" s="7">
        <f>VLOOKUP(B72,[1]characters!$A:$I,9,FALSE)</f>
        <v>5</v>
      </c>
      <c r="K72" s="7" t="str">
        <f>VLOOKUP(B72,[1]characters!$A:$H,8,FALSE)</f>
        <v>yellow</v>
      </c>
      <c r="L72" s="7" t="str">
        <f>VLOOKUP(B72,[1]characters!$A:$K,11,FALSE)</f>
        <v>technical</v>
      </c>
      <c r="M72" s="7" t="str">
        <f>VLOOKUP(B72,[1]characters!$A:$M,13,FALSE)</f>
        <v>human</v>
      </c>
      <c r="N72" s="7" t="str">
        <f>VLOOKUP(B72,[1]characters!$A:$G,7,FALSE)</f>
        <v>男性</v>
      </c>
      <c r="O72" s="45">
        <f>IFERROR(VLOOKUP(B72,input_502100!L:R,7,FALSE),VLOOKUP(tables_502100!C72,input_502100!A:H,8,FALSE))</f>
        <v>22880</v>
      </c>
      <c r="P72" s="46">
        <f ca="1">O72/SUM(O:O)</f>
        <v>4.0000000000699311E-3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input_502100!A$2</f>
        <v>502100</v>
      </c>
      <c r="B73" s="90">
        <v>1232</v>
      </c>
      <c r="C73" s="7" t="str">
        <f t="shared" si="2"/>
        <v>PremiumSSS5R3less</v>
      </c>
      <c r="D73" s="7" t="str">
        <f t="shared" si="3"/>
        <v>PremiumSSS</v>
      </c>
      <c r="E73" s="7" t="str">
        <f>IF(COUNTIF('R6追加前'!A:A,B73)=0,IF(OR(I73="PremiumSS",I73="PremiumSSw"),"R5only","R3less"),"")</f>
        <v>R3less</v>
      </c>
      <c r="F73" s="7" t="str">
        <f>IF(COUNTIF('R6開放'!A:A,B73)&gt;0,"R6release","")</f>
        <v/>
      </c>
      <c r="G73" s="7"/>
      <c r="H73" s="7" t="str">
        <f>VLOOKUP(B73,[1]characters!$A:$C,3,FALSE)</f>
        <v>ケプラー</v>
      </c>
      <c r="I73" s="7" t="str">
        <f>VLOOKUP(B73,[1]characters!$A:$J,10,FALSE)</f>
        <v>PremiumSSS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academia</v>
      </c>
      <c r="N73" s="7">
        <f>VLOOKUP(B73,[1]characters!$A:$G,7,FALSE)</f>
        <v>0</v>
      </c>
      <c r="O73" s="45">
        <f>IFERROR(VLOOKUP(B73,input_502100!L:R,7,FALSE),VLOOKUP(tables_502100!C73,input_502100!A:H,8,FALSE))</f>
        <v>22880</v>
      </c>
      <c r="P73" s="46">
        <f ca="1">O73/SUM(O:O)</f>
        <v>4.0000000000699311E-3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</sheetData>
  <autoFilter ref="A1:V73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7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K49" sqref="K4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input_502100!A$2</f>
        <v>502100</v>
      </c>
      <c r="B2" s="6">
        <v>177</v>
      </c>
      <c r="C2" s="7" t="str">
        <f t="shared" ref="C2:C37" si="0">D2&amp;J2&amp;E2&amp;F2&amp;G2</f>
        <v>Premium5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黒魔の異端師 バフォメット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f>IF(D2="Premium",5430,475)</f>
        <v>5430</v>
      </c>
      <c r="P2" s="46">
        <f t="shared" ref="P2:P43" si="1">O2/SUM(O:O)</f>
        <v>4.7631578947368421E-2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input_502100!A$2</f>
        <v>502100</v>
      </c>
      <c r="B3" s="6">
        <v>189</v>
      </c>
      <c r="C3" s="7" t="str">
        <f t="shared" si="0"/>
        <v>Premium5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迅雷の王禽 ホルス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 t="shared" ref="O3:O38" si="3">IF(D3="Premium",5430,475)</f>
        <v>5430</v>
      </c>
      <c r="P3" s="46">
        <f t="shared" si="1"/>
        <v>4.7631578947368421E-2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input_502100!A$2</f>
        <v>502100</v>
      </c>
      <c r="B4" s="6">
        <v>198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砕骨の剛腕 アキレス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t="shared" si="3"/>
        <v>5430</v>
      </c>
      <c r="P4" s="46">
        <f t="shared" si="1"/>
        <v>4.7631578947368421E-2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input_502100!A$2</f>
        <v>502100</v>
      </c>
      <c r="B5" s="6">
        <v>213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満天の星降神 アストライアー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3"/>
        <v>5430</v>
      </c>
      <c r="P5" s="46">
        <f t="shared" si="1"/>
        <v>4.7631578947368421E-2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input_502100!A$2</f>
        <v>502100</v>
      </c>
      <c r="B6" s="6">
        <v>225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咆哮の巨獅腕 ヘラクレス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f t="shared" si="3"/>
        <v>5430</v>
      </c>
      <c r="P6" s="46">
        <f t="shared" si="1"/>
        <v>4.7631578947368421E-2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input_502100!A$2</f>
        <v>502100</v>
      </c>
      <c r="B7" s="6">
        <v>237</v>
      </c>
      <c r="C7" s="7" t="str">
        <f t="shared" si="0"/>
        <v>Premium5R6release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森羅万象の神母 イザナミ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f t="shared" si="3"/>
        <v>5430</v>
      </c>
      <c r="P7" s="46">
        <f t="shared" si="1"/>
        <v>4.7631578947368421E-2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input_502100!A$2</f>
        <v>502100</v>
      </c>
      <c r="B8" s="6">
        <v>249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雷電の天使 ミカエル・ゲイナー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 t="shared" si="3"/>
        <v>5430</v>
      </c>
      <c r="P8" s="46">
        <f t="shared" si="1"/>
        <v>4.7631578947368421E-2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input_502100!A$2</f>
        <v>502100</v>
      </c>
      <c r="B9" s="6">
        <v>261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輪廻の蛇龍 ウロボロス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45">
        <f t="shared" si="3"/>
        <v>5430</v>
      </c>
      <c r="P9" s="46">
        <f t="shared" si="1"/>
        <v>4.7631578947368421E-2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input_502100!A$2</f>
        <v>502100</v>
      </c>
      <c r="B10" s="6">
        <v>327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千殺の妖志士 斎藤一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475</v>
      </c>
      <c r="P10" s="46">
        <f t="shared" si="1"/>
        <v>4.1666666666666666E-3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input_502100!A$2</f>
        <v>502100</v>
      </c>
      <c r="B11" s="6">
        <v>389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操神の愛姫 スフィンクス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heal</v>
      </c>
      <c r="M11" s="7" t="str">
        <f>VLOOKUP(B11,[1]characters!$A:$M,13,FALSE)</f>
        <v>animal</v>
      </c>
      <c r="N11" s="7" t="str">
        <f>VLOOKUP(B11,[1]characters!$A:$G,7,FALSE)</f>
        <v>女性</v>
      </c>
      <c r="O11" s="45">
        <f t="shared" si="3"/>
        <v>5430</v>
      </c>
      <c r="P11" s="46">
        <f t="shared" si="1"/>
        <v>4.7631578947368421E-2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input_502100!A$2</f>
        <v>502100</v>
      </c>
      <c r="B12" s="8">
        <v>399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信愛の兄妹 ヘンゼル＆グレーテル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475</v>
      </c>
      <c r="P12" s="46">
        <f t="shared" si="1"/>
        <v>4.1666666666666666E-3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input_502100!A$2</f>
        <v>502100</v>
      </c>
      <c r="B13" s="8">
        <v>409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天眼の皇貴魔 アスタロト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男性</v>
      </c>
      <c r="O13" s="45">
        <f t="shared" si="3"/>
        <v>475</v>
      </c>
      <c r="P13" s="46">
        <f t="shared" si="1"/>
        <v>4.1666666666666666E-3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input_502100!A$2</f>
        <v>502100</v>
      </c>
      <c r="B14" s="6">
        <v>443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勇機結集 ブレイブリー・ライオン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45">
        <f t="shared" si="3"/>
        <v>475</v>
      </c>
      <c r="P14" s="46">
        <f t="shared" si="1"/>
        <v>4.1666666666666666E-3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input_502100!A$2</f>
        <v>502100</v>
      </c>
      <c r="B15" s="6">
        <v>471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不可避の爆激 トリスタン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f t="shared" si="3"/>
        <v>5430</v>
      </c>
      <c r="P15" s="46">
        <f t="shared" si="1"/>
        <v>4.7631578947368421E-2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input_502100!A$2</f>
        <v>502100</v>
      </c>
      <c r="B16" s="10">
        <v>483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 xml:space="preserve">命経死遂 沢庵宗彭 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hp</v>
      </c>
      <c r="M16" s="7" t="str">
        <f>VLOOKUP(B16,[1]characters!$A:$M,13,FALSE)</f>
        <v>human</v>
      </c>
      <c r="N16" s="7" t="str">
        <f>VLOOKUP(B16,[1]characters!$A:$G,7,FALSE)</f>
        <v>男性</v>
      </c>
      <c r="O16" s="45">
        <f t="shared" si="3"/>
        <v>5430</v>
      </c>
      <c r="P16" s="46">
        <f t="shared" si="1"/>
        <v>4.7631578947368421E-2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input_502100!A$2</f>
        <v>502100</v>
      </c>
      <c r="B17" s="11">
        <v>500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脈動の禁髪 ラプンツェル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t="shared" si="3"/>
        <v>475</v>
      </c>
      <c r="P17" s="46">
        <f t="shared" si="1"/>
        <v>4.1666666666666666E-3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input_502100!A$2</f>
        <v>502100</v>
      </c>
      <c r="B18" s="6">
        <v>563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電翔紫閃の雷刃 ハヤト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男性</v>
      </c>
      <c r="O18" s="45">
        <f t="shared" si="3"/>
        <v>5430</v>
      </c>
      <c r="P18" s="46">
        <f t="shared" si="1"/>
        <v>4.7631578947368421E-2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input_502100!A$2</f>
        <v>502100</v>
      </c>
      <c r="B19" s="6">
        <v>567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紅揚の祭狐宴舞 タマモ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balance</v>
      </c>
      <c r="M19" s="7" t="str">
        <f>VLOOKUP(B19,[1]characters!$A:$M,13,FALSE)</f>
        <v>animal</v>
      </c>
      <c r="N19" s="7" t="str">
        <f>VLOOKUP(B19,[1]characters!$A:$G,7,FALSE)</f>
        <v>不明</v>
      </c>
      <c r="O19" s="45">
        <f t="shared" si="3"/>
        <v>5430</v>
      </c>
      <c r="P19" s="46">
        <f t="shared" si="1"/>
        <v>4.7631578947368421E-2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input_502100!A$2</f>
        <v>502100</v>
      </c>
      <c r="B20" s="10">
        <v>595</v>
      </c>
      <c r="C20" s="7" t="str">
        <f t="shared" si="0"/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光華なる神域 アルフヘイム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45">
        <f t="shared" si="3"/>
        <v>475</v>
      </c>
      <c r="P20" s="46">
        <f t="shared" si="1"/>
        <v>4.1666666666666666E-3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input_502100!A$2</f>
        <v>502100</v>
      </c>
      <c r="B21" s="6">
        <v>606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冀望の光芒 バルドル</v>
      </c>
      <c r="I21" s="7" t="str">
        <f>VLOOKUP(B21,[1]characters!$A:$J,10,FALSE)</f>
        <v>PremiumS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heal</v>
      </c>
      <c r="M21" s="7" t="str">
        <f>VLOOKUP(B21,[1]characters!$A:$M,13,FALSE)</f>
        <v>god</v>
      </c>
      <c r="N21" s="7" t="str">
        <f>VLOOKUP(B21,[1]characters!$A:$G,7,FALSE)</f>
        <v>男性</v>
      </c>
      <c r="O21" s="45">
        <f t="shared" si="3"/>
        <v>5430</v>
      </c>
      <c r="P21" s="46">
        <f t="shared" si="1"/>
        <v>4.7631578947368421E-2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input_502100!A$2</f>
        <v>502100</v>
      </c>
      <c r="B22" s="6">
        <v>667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最幸運の妖童 テマリ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unknown</v>
      </c>
      <c r="N22" s="7" t="str">
        <f>VLOOKUP(B22,[1]characters!$A:$G,7,FALSE)</f>
        <v>女性</v>
      </c>
      <c r="O22" s="45">
        <f t="shared" si="3"/>
        <v>5430</v>
      </c>
      <c r="P22" s="46">
        <f t="shared" si="1"/>
        <v>4.7631578947368421E-2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input_502100!A$2</f>
        <v>502100</v>
      </c>
      <c r="B23" s="6">
        <v>677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武遊闊歩 ヴィシュヌ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attack</v>
      </c>
      <c r="M23" s="7" t="str">
        <f>VLOOKUP(B23,[1]characters!$A:$M,13,FALSE)</f>
        <v>god</v>
      </c>
      <c r="N23" s="7" t="str">
        <f>VLOOKUP(B23,[1]characters!$A:$G,7,FALSE)</f>
        <v>女性</v>
      </c>
      <c r="O23" s="45">
        <f t="shared" si="3"/>
        <v>475</v>
      </c>
      <c r="P23" s="46">
        <f t="shared" si="1"/>
        <v>4.1666666666666666E-3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input_502100!A$2</f>
        <v>502100</v>
      </c>
      <c r="B24" s="6">
        <v>734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伊達政宗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45">
        <f t="shared" si="3"/>
        <v>475</v>
      </c>
      <c r="P24" s="46">
        <f t="shared" si="1"/>
        <v>4.1666666666666666E-3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input_502100!A$2</f>
        <v>502100</v>
      </c>
      <c r="B25" s="6">
        <v>749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光喜の牧童 パーン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heal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f t="shared" si="3"/>
        <v>5430</v>
      </c>
      <c r="P25" s="46">
        <f t="shared" si="1"/>
        <v>4.7631578947368421E-2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input_502100!A$2</f>
        <v>502100</v>
      </c>
      <c r="B26" s="6">
        <v>779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頑堅咬亀 ガメック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hp</v>
      </c>
      <c r="M26" s="7" t="str">
        <f>VLOOKUP(B26,[1]characters!$A:$M,13,FALSE)</f>
        <v>animal</v>
      </c>
      <c r="N26" s="7" t="str">
        <f>VLOOKUP(B26,[1]characters!$A:$G,7,FALSE)</f>
        <v>不明</v>
      </c>
      <c r="O26" s="45">
        <f t="shared" si="3"/>
        <v>5430</v>
      </c>
      <c r="P26" s="46">
        <f t="shared" si="1"/>
        <v>4.7631578947368421E-2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input_502100!A$2</f>
        <v>502100</v>
      </c>
      <c r="B27" s="6">
        <v>855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豹魔の侠客 フラウロス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animal</v>
      </c>
      <c r="N27" s="7" t="str">
        <f>VLOOKUP(B27,[1]characters!$A:$G,7,FALSE)</f>
        <v>男性</v>
      </c>
      <c r="O27" s="45">
        <f t="shared" si="3"/>
        <v>5430</v>
      </c>
      <c r="P27" s="46">
        <f t="shared" si="1"/>
        <v>4.7631578947368421E-2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input_502100!A$2</f>
        <v>502100</v>
      </c>
      <c r="B28" s="6">
        <v>868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アラジンと殲滅機兵LAMP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男性</v>
      </c>
      <c r="O28" s="45">
        <f t="shared" si="3"/>
        <v>475</v>
      </c>
      <c r="P28" s="46">
        <f t="shared" si="1"/>
        <v>4.1666666666666666E-3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input_502100!A$2</f>
        <v>502100</v>
      </c>
      <c r="B29" s="6">
        <v>943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サンソン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f t="shared" si="3"/>
        <v>475</v>
      </c>
      <c r="P29" s="46">
        <f t="shared" si="1"/>
        <v>4.1666666666666666E-3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input_502100!A$2</f>
        <v>502100</v>
      </c>
      <c r="B30" s="6">
        <v>1018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バステト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f t="shared" si="3"/>
        <v>475</v>
      </c>
      <c r="P30" s="46">
        <f t="shared" si="1"/>
        <v>4.1666666666666666E-3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input_502100!A$2</f>
        <v>502100</v>
      </c>
      <c r="B31" s="6">
        <v>1033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清少納言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45">
        <f t="shared" si="3"/>
        <v>475</v>
      </c>
      <c r="P31" s="46">
        <f t="shared" si="1"/>
        <v>4.1666666666666666E-3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input_502100!A$2</f>
        <v>502100</v>
      </c>
      <c r="B32" s="6">
        <v>1074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マルドゥク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technical</v>
      </c>
      <c r="M32" s="7" t="str">
        <f>VLOOKUP(B32,[1]characters!$A:$M,13,FALSE)</f>
        <v>god</v>
      </c>
      <c r="N32" s="7" t="str">
        <f>VLOOKUP(B32,[1]characters!$A:$G,7,FALSE)</f>
        <v>男性</v>
      </c>
      <c r="O32" s="45">
        <f t="shared" si="3"/>
        <v>475</v>
      </c>
      <c r="P32" s="46">
        <f t="shared" si="1"/>
        <v>4.1666666666666666E-3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input_502100!A$2</f>
        <v>502100</v>
      </c>
      <c r="B33" s="6">
        <v>1106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ラファエロ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human</v>
      </c>
      <c r="N33" s="7" t="str">
        <f>VLOOKUP(B33,[1]characters!$A:$G,7,FALSE)</f>
        <v>不明</v>
      </c>
      <c r="O33" s="45">
        <f t="shared" si="3"/>
        <v>475</v>
      </c>
      <c r="P33" s="46">
        <f t="shared" si="1"/>
        <v>4.1666666666666666E-3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input_502100!A$2</f>
        <v>502100</v>
      </c>
      <c r="B34" s="6">
        <v>1144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白星を射る老将 黄忠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technical</v>
      </c>
      <c r="M34" s="7" t="str">
        <f>VLOOKUP(B34,[1]characters!$A:$M,13,FALSE)</f>
        <v>samurai</v>
      </c>
      <c r="N34" s="7" t="str">
        <f>VLOOKUP(B34,[1]characters!$A:$G,7,FALSE)</f>
        <v>不明</v>
      </c>
      <c r="O34" s="45">
        <f t="shared" si="3"/>
        <v>5430</v>
      </c>
      <c r="P34" s="46">
        <f t="shared" si="1"/>
        <v>4.7631578947368421E-2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input_502100!A$2</f>
        <v>502100</v>
      </c>
      <c r="B35" s="6">
        <v>1157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インドラ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attack</v>
      </c>
      <c r="M35" s="7" t="str">
        <f>VLOOKUP(B35,[1]characters!$A:$M,13,FALSE)</f>
        <v>god</v>
      </c>
      <c r="N35" s="7" t="str">
        <f>VLOOKUP(B35,[1]characters!$A:$G,7,FALSE)</f>
        <v>不明</v>
      </c>
      <c r="O35" s="45">
        <f t="shared" si="3"/>
        <v>475</v>
      </c>
      <c r="P35" s="46">
        <f t="shared" si="1"/>
        <v>4.1666666666666666E-3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input_502100!A$2</f>
        <v>502100</v>
      </c>
      <c r="B36" s="6">
        <v>1214</v>
      </c>
      <c r="C36" s="7" t="str">
        <f t="shared" si="0"/>
        <v>PremiumSS5R5only</v>
      </c>
      <c r="D36" s="7" t="str">
        <f t="shared" si="2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アルテミス</v>
      </c>
      <c r="I36" s="7" t="str">
        <f>VLOOKUP(B36,[1]characters!$A:$J,10,FALSE)</f>
        <v>PremiumSSw</v>
      </c>
      <c r="J36" s="7">
        <f>VLOOKUP(B36,[1]characters!$A:$I,9,FALSE)</f>
        <v>5</v>
      </c>
      <c r="K36" s="7" t="str">
        <f>VLOOKUP(B36,[1]characters!$A:$H,8,FALSE)</f>
        <v>yellow</v>
      </c>
      <c r="L36" s="7" t="str">
        <f>VLOOKUP(B36,[1]characters!$A:$K,11,FALSE)</f>
        <v>balance</v>
      </c>
      <c r="M36" s="7" t="str">
        <f>VLOOKUP(B36,[1]characters!$A:$M,13,FALSE)</f>
        <v>god</v>
      </c>
      <c r="N36" s="7">
        <f>VLOOKUP(B36,[1]characters!$A:$G,7,FALSE)</f>
        <v>0</v>
      </c>
      <c r="O36" s="45">
        <f t="shared" si="3"/>
        <v>475</v>
      </c>
      <c r="P36" s="46">
        <f t="shared" si="1"/>
        <v>4.1666666666666666E-3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input_502100!A$2</f>
        <v>502100</v>
      </c>
      <c r="B37" s="6">
        <v>1230</v>
      </c>
      <c r="C37" s="7" t="str">
        <f t="shared" si="0"/>
        <v>PremiumSS5R5only</v>
      </c>
      <c r="D37" s="7" t="str">
        <f t="shared" si="2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夏目漱石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heal</v>
      </c>
      <c r="M37" s="7" t="str">
        <f>VLOOKUP(B37,[1]characters!$A:$M,13,FALSE)</f>
        <v>animal</v>
      </c>
      <c r="N37" s="7">
        <f>VLOOKUP(B37,[1]characters!$A:$G,7,FALSE)</f>
        <v>0</v>
      </c>
      <c r="O37" s="45">
        <f t="shared" si="3"/>
        <v>475</v>
      </c>
      <c r="P37" s="46">
        <f t="shared" si="1"/>
        <v>4.1666666666666666E-3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input_502100!A$2</f>
        <v>502100</v>
      </c>
      <c r="B38" s="60">
        <v>1250</v>
      </c>
      <c r="C38" s="7" t="str">
        <f t="shared" ref="C38:C43" si="4">D38&amp;J38&amp;E38&amp;F38&amp;G38</f>
        <v>PremiumSS5R5only</v>
      </c>
      <c r="D38" s="7" t="str">
        <f t="shared" ref="D38:D43" si="5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真田幸村</v>
      </c>
      <c r="I38" s="7" t="str">
        <f>VLOOKUP(B38,[1]characters!$A:$J,10,FALSE)</f>
        <v>PremiumSSw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>
        <f>VLOOKUP(B38,[1]characters!$A:$G,7,FALSE)</f>
        <v>0</v>
      </c>
      <c r="O38" s="45">
        <f t="shared" si="3"/>
        <v>475</v>
      </c>
      <c r="P38" s="46">
        <f t="shared" si="1"/>
        <v>4.1666666666666666E-3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input_502100!A$2</f>
        <v>502100</v>
      </c>
      <c r="B39" s="60">
        <v>760</v>
      </c>
      <c r="C39" s="7" t="str">
        <f t="shared" si="4"/>
        <v>PremiumSSS5R3less</v>
      </c>
      <c r="D39" s="7" t="str">
        <f t="shared" si="5"/>
        <v>PremiumSSS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限論顕現 クロネッカー</v>
      </c>
      <c r="I39" s="7" t="str">
        <f>VLOOKUP(B39,[1]characters!$A:$J,10,FALSE)</f>
        <v>PremiumSSS</v>
      </c>
      <c r="J39" s="7">
        <f>VLOOKUP(B39,[1]characters!$A:$I,9,FALSE)</f>
        <v>5</v>
      </c>
      <c r="K39" s="7" t="str">
        <f>VLOOKUP(B39,[1]characters!$A:$H,8,FALSE)</f>
        <v>yellow</v>
      </c>
      <c r="L39" s="7" t="str">
        <f>VLOOKUP(B39,[1]characters!$A:$K,11,FALSE)</f>
        <v>balance</v>
      </c>
      <c r="M39" s="7" t="str">
        <f>VLOOKUP(B39,[1]characters!$A:$M,13,FALSE)</f>
        <v>human</v>
      </c>
      <c r="N39" s="7" t="str">
        <f>VLOOKUP(B39,[1]characters!$A:$G,7,FALSE)</f>
        <v>男性</v>
      </c>
      <c r="O39" s="45">
        <v>456</v>
      </c>
      <c r="P39" s="46">
        <f t="shared" si="1"/>
        <v>4.0000000000000001E-3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input_502100!A$2</f>
        <v>502100</v>
      </c>
      <c r="B40" s="60">
        <v>411</v>
      </c>
      <c r="C40" s="7" t="str">
        <f t="shared" si="4"/>
        <v>PremiumSSS5R3less</v>
      </c>
      <c r="D40" s="7" t="str">
        <f t="shared" si="5"/>
        <v>PremiumSSS</v>
      </c>
      <c r="E40" s="7" t="str">
        <f>IF(COUNTIF('R6追加前'!A:A,B40)=0,IF(OR(I40="PremiumSS",I40="PremiumSSw"),"R5only","R3less"),"")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電隷の始祖 ファラデー</v>
      </c>
      <c r="I40" s="7" t="str">
        <f>VLOOKUP(B40,[1]characters!$A:$J,10,FALSE)</f>
        <v>PremiumSSS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balance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v>456</v>
      </c>
      <c r="P40" s="46">
        <f t="shared" si="1"/>
        <v>4.0000000000000001E-3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input_502100!A$2</f>
        <v>502100</v>
      </c>
      <c r="B41" s="60">
        <v>489</v>
      </c>
      <c r="C41" s="7" t="str">
        <f t="shared" si="4"/>
        <v>PremiumSSS5R3less</v>
      </c>
      <c r="D41" s="7" t="str">
        <f t="shared" si="5"/>
        <v>PremiumSSS</v>
      </c>
      <c r="E41" s="7" t="str">
        <f>IF(COUNTIF('R6追加前'!A:A,B41)=0,IF(OR(I41="PremiumSS",I41="PremiumSSw"),"R5only","R3less"),"")</f>
        <v>R3less</v>
      </c>
      <c r="F41" s="7" t="str">
        <f>IF(COUNTIF('R6開放'!A:A,B41)&gt;0,"R6release","")</f>
        <v/>
      </c>
      <c r="G41" s="7"/>
      <c r="H41" s="7" t="str">
        <f>VLOOKUP(B41,[1]characters!$A:$C,3,FALSE)</f>
        <v>宇宙の拡超 ハップル</v>
      </c>
      <c r="I41" s="7" t="str">
        <f>VLOOKUP(B41,[1]characters!$A:$J,10,FALSE)</f>
        <v>PremiumSSS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v>456</v>
      </c>
      <c r="P41" s="46">
        <f t="shared" si="1"/>
        <v>4.0000000000000001E-3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input_502100!A$2</f>
        <v>502100</v>
      </c>
      <c r="B42" s="60">
        <v>792</v>
      </c>
      <c r="C42" s="7" t="str">
        <f t="shared" si="4"/>
        <v>PremiumSSS5R3less</v>
      </c>
      <c r="D42" s="7" t="str">
        <f t="shared" si="5"/>
        <v>PremiumSSS</v>
      </c>
      <c r="E42" s="7" t="str">
        <f>IF(COUNTIF('R6追加前'!A:A,B42)=0,IF(OR(I42="PremiumSS",I42="PremiumSSw"),"R5only","R3less"),"")</f>
        <v>R3less</v>
      </c>
      <c r="F42" s="7" t="str">
        <f>IF(COUNTIF('R6開放'!A:A,B42)&gt;0,"R6release","")</f>
        <v/>
      </c>
      <c r="G42" s="7"/>
      <c r="H42" s="7" t="str">
        <f>VLOOKUP(B42,[1]characters!$A:$C,3,FALSE)</f>
        <v>片還の収波 フーリエ</v>
      </c>
      <c r="I42" s="7" t="str">
        <f>VLOOKUP(B42,[1]characters!$A:$J,10,FALSE)</f>
        <v>PremiumSSS</v>
      </c>
      <c r="J42" s="7">
        <f>VLOOKUP(B42,[1]characters!$A:$I,9,FALSE)</f>
        <v>5</v>
      </c>
      <c r="K42" s="7" t="str">
        <f>VLOOKUP(B42,[1]characters!$A:$H,8,FALSE)</f>
        <v>yellow</v>
      </c>
      <c r="L42" s="7" t="str">
        <f>VLOOKUP(B42,[1]characters!$A:$K,11,FALSE)</f>
        <v>technical</v>
      </c>
      <c r="M42" s="7" t="str">
        <f>VLOOKUP(B42,[1]characters!$A:$M,13,FALSE)</f>
        <v>human</v>
      </c>
      <c r="N42" s="7" t="str">
        <f>VLOOKUP(B42,[1]characters!$A:$G,7,FALSE)</f>
        <v>男性</v>
      </c>
      <c r="O42" s="45">
        <v>456</v>
      </c>
      <c r="P42" s="46">
        <f t="shared" si="1"/>
        <v>4.0000000000000001E-3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input_502100!A$2</f>
        <v>502100</v>
      </c>
      <c r="B43" s="90">
        <v>1232</v>
      </c>
      <c r="C43" s="7" t="str">
        <f t="shared" si="4"/>
        <v>PremiumSSS5R3less</v>
      </c>
      <c r="D43" s="7" t="str">
        <f t="shared" si="5"/>
        <v>PremiumSSS</v>
      </c>
      <c r="E43" s="7" t="str">
        <f>IF(COUNTIF('R6追加前'!A:A,B43)=0,IF(OR(I43="PremiumSS",I43="PremiumSSw"),"R5only","R3less"),"")</f>
        <v>R3less</v>
      </c>
      <c r="F43" s="7" t="str">
        <f>IF(COUNTIF('R6開放'!A:A,B43)&gt;0,"R6release","")</f>
        <v/>
      </c>
      <c r="G43" s="7"/>
      <c r="H43" s="7" t="str">
        <f>VLOOKUP(B43,[1]characters!$A:$C,3,FALSE)</f>
        <v>ケプラー</v>
      </c>
      <c r="I43" s="7" t="str">
        <f>VLOOKUP(B43,[1]characters!$A:$J,10,FALSE)</f>
        <v>PremiumSSS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academia</v>
      </c>
      <c r="N43" s="7">
        <f>VLOOKUP(B43,[1]characters!$A:$G,7,FALSE)</f>
        <v>0</v>
      </c>
      <c r="O43" s="45">
        <v>456</v>
      </c>
      <c r="P43" s="46">
        <f t="shared" si="1"/>
        <v>4.0000000000000001E-3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E44" s="1">
        <f>COUNTIF(D:D,"Premium")</f>
        <v>19</v>
      </c>
      <c r="F44" s="1">
        <f>E47*0.905/E44</f>
        <v>5430</v>
      </c>
    </row>
    <row r="45" spans="1:22" ht="21" customHeight="1" x14ac:dyDescent="0.15">
      <c r="E45" s="1">
        <f>COUNTIF(D:D,"PremiumSS")</f>
        <v>18</v>
      </c>
      <c r="F45" s="1">
        <f>E47*0.075/E45</f>
        <v>475</v>
      </c>
    </row>
    <row r="46" spans="1:22" ht="21" customHeight="1" x14ac:dyDescent="0.15">
      <c r="E46" s="1">
        <v>5</v>
      </c>
      <c r="F46" s="1">
        <f>E47*0.02/E46</f>
        <v>456</v>
      </c>
    </row>
    <row r="47" spans="1:22" ht="21" customHeight="1" x14ac:dyDescent="0.15">
      <c r="E47" s="1">
        <f>E44*E45*E46*25*8/3</f>
        <v>114000</v>
      </c>
      <c r="F47" s="1">
        <f>GCD(F44,F45,F46)</f>
        <v>1</v>
      </c>
    </row>
  </sheetData>
  <autoFilter ref="A1:V37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input_502010</vt:lpstr>
      <vt:lpstr>tables_502010</vt:lpstr>
      <vt:lpstr>input_502100</vt:lpstr>
      <vt:lpstr>tables_502100</vt:lpstr>
      <vt:lpstr>tables_settle_502100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2016-12-22T14:31:34Z</dcterms:modified>
</cp:coreProperties>
</file>