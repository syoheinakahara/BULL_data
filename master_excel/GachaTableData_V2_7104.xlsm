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860" windowWidth="25100" windowHeight="14640" tabRatio="943" activeTab="6"/>
  </bookViews>
  <sheets>
    <sheet name="確率の考え方" sheetId="110" r:id="rId1"/>
    <sheet name="Sheet1" sheetId="107" r:id="rId2"/>
    <sheet name="output" sheetId="103" r:id="rId3"/>
    <sheet name="input_337010" sheetId="106" r:id="rId4"/>
    <sheet name="tables_337010" sheetId="82" r:id="rId5"/>
    <sheet name="input_settle_7104100" sheetId="130" r:id="rId6"/>
    <sheet name="tables_settle_7104100" sheetId="131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tables_337010!$A$1:$V$271</definedName>
    <definedName name="_xlnm._FilterDatabase" localSheetId="6" hidden="1">tables_settle_7104100!$A$1:$V$271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6" i="131" l="1"/>
  <c r="D16" i="131"/>
  <c r="J16" i="131"/>
  <c r="E16" i="131"/>
  <c r="F16" i="131"/>
  <c r="C16" i="131"/>
  <c r="H16" i="131"/>
  <c r="K16" i="131"/>
  <c r="L16" i="131"/>
  <c r="M16" i="131"/>
  <c r="N16" i="131"/>
  <c r="P16" i="131"/>
  <c r="I17" i="131"/>
  <c r="D17" i="131"/>
  <c r="J17" i="131"/>
  <c r="E17" i="131"/>
  <c r="F17" i="131"/>
  <c r="C17" i="131"/>
  <c r="H17" i="131"/>
  <c r="K17" i="131"/>
  <c r="L17" i="131"/>
  <c r="M17" i="131"/>
  <c r="N17" i="131"/>
  <c r="P17" i="131"/>
  <c r="A2" i="130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2" i="131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2" i="131"/>
  <c r="I12" i="131"/>
  <c r="D12" i="131"/>
  <c r="J12" i="131"/>
  <c r="C12" i="131"/>
  <c r="I13" i="131"/>
  <c r="D13" i="131"/>
  <c r="J13" i="131"/>
  <c r="C13" i="131"/>
  <c r="D14" i="131"/>
  <c r="J14" i="131"/>
  <c r="C14" i="131"/>
  <c r="D15" i="131"/>
  <c r="J15" i="131"/>
  <c r="C15" i="131"/>
  <c r="I2" i="131"/>
  <c r="D2" i="131"/>
  <c r="J2" i="131"/>
  <c r="C2" i="131"/>
  <c r="I3" i="131"/>
  <c r="D3" i="131"/>
  <c r="J3" i="131"/>
  <c r="C3" i="131"/>
  <c r="I4" i="131"/>
  <c r="D4" i="131"/>
  <c r="J4" i="131"/>
  <c r="C4" i="131"/>
  <c r="I5" i="131"/>
  <c r="D5" i="131"/>
  <c r="J5" i="131"/>
  <c r="C5" i="131"/>
  <c r="D6" i="131"/>
  <c r="J6" i="131"/>
  <c r="C6" i="131"/>
  <c r="D7" i="131"/>
  <c r="J7" i="131"/>
  <c r="C7" i="131"/>
  <c r="I8" i="131"/>
  <c r="D8" i="131"/>
  <c r="J8" i="131"/>
  <c r="C8" i="131"/>
  <c r="I9" i="131"/>
  <c r="D9" i="131"/>
  <c r="J9" i="131"/>
  <c r="C9" i="131"/>
  <c r="D10" i="131"/>
  <c r="J10" i="131"/>
  <c r="C10" i="131"/>
  <c r="D11" i="131"/>
  <c r="J11" i="131"/>
  <c r="C11" i="131"/>
  <c r="F6" i="130"/>
  <c r="E6" i="130"/>
  <c r="H15" i="131"/>
  <c r="H14" i="131"/>
  <c r="C3" i="103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B23" i="130"/>
  <c r="G23" i="130"/>
  <c r="E23" i="130"/>
  <c r="H23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5" i="106"/>
  <c r="E5" i="106"/>
  <c r="E3" i="103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29" i="106"/>
  <c r="B29" i="106"/>
  <c r="F29" i="106"/>
  <c r="E26" i="106"/>
  <c r="B26" i="106"/>
  <c r="E28" i="106"/>
  <c r="B28" i="106"/>
  <c r="F6" i="106"/>
  <c r="E6" i="106"/>
  <c r="E21" i="106"/>
  <c r="B21" i="106"/>
  <c r="V6" i="106"/>
  <c r="B23" i="106"/>
  <c r="E22" i="106"/>
  <c r="B22" i="106"/>
  <c r="E19" i="106"/>
  <c r="B19" i="106"/>
  <c r="B10" i="106"/>
  <c r="A2" i="106"/>
  <c r="A272" i="82"/>
  <c r="A273" i="82"/>
  <c r="A274" i="82"/>
  <c r="A275" i="82"/>
  <c r="A276" i="82"/>
  <c r="A277" i="82"/>
  <c r="F272" i="82"/>
  <c r="H272" i="82"/>
  <c r="K272" i="82"/>
  <c r="L272" i="82"/>
  <c r="M272" i="82"/>
  <c r="N272" i="82"/>
  <c r="F273" i="82"/>
  <c r="F274" i="82"/>
  <c r="F275" i="82"/>
  <c r="F276" i="82"/>
  <c r="F277" i="82"/>
  <c r="A36" i="106"/>
  <c r="G29" i="106"/>
  <c r="H29" i="106"/>
  <c r="R3" i="106"/>
  <c r="O272" i="82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E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G22" i="106"/>
  <c r="H22" i="106"/>
  <c r="O256" i="82"/>
  <c r="G23" i="106"/>
  <c r="E23" i="106"/>
  <c r="H23" i="106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R4" i="106"/>
  <c r="O273" i="82"/>
  <c r="R5" i="106"/>
  <c r="O274" i="82"/>
  <c r="R6" i="106"/>
  <c r="O275" i="82"/>
  <c r="R7" i="106"/>
  <c r="O276" i="82"/>
  <c r="R8" i="106"/>
  <c r="O277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B5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R18" i="106"/>
  <c r="R19" i="106"/>
  <c r="R9" i="106"/>
  <c r="R10" i="106"/>
  <c r="R15" i="106"/>
  <c r="R16" i="106"/>
  <c r="R17" i="106"/>
  <c r="R12" i="106"/>
  <c r="R13" i="106"/>
  <c r="R14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B32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C30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<sst xmlns="http://schemas.openxmlformats.org/spreadsheetml/2006/main" count="440" uniqueCount="245">
  <si>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</si>
  <si>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</si>
  <si>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</si>
  <si>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</si>
  <si>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</si>
  <si>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</si>
  <si>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</si>
  <si>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</si>
  <si>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</si>
  <si>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</si>
  <si>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</si>
  <si>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</si>
  <si>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</si>
  <si>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</si>
  <si>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</si>
  <si>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</si>
  <si>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</si>
  <si>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</si>
  <si>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</si>
  <si>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</si>
  <si>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</si>
  <si>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</si>
  <si>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</si>
  <si>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</si>
  <si>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</si>
  <si>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</si>
  <si>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</si>
  <si>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</si>
  <si>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</si>
  <si>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</si>
  <si>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</si>
  <si>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</si>
  <si>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</si>
  <si>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</si>
  <si>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</si>
  <si>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</si>
  <si>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</si>
  <si>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</si>
  <si>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</si>
  <si>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</si>
  <si>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</si>
  <si>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</si>
  <si>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</si>
  <si>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</si>
  <si>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</si>
  <si>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</si>
  <si>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</si>
  <si>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</si>
  <si>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</si>
  <si>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</si>
  <si>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</si>
  <si>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</si>
  <si>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</si>
  <si>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</si>
  <si>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</si>
  <si>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</si>
  <si>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</si>
  <si>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</si>
  <si>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</si>
  <si>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</si>
  <si>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</si>
  <si>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</si>
  <si>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</si>
  <si>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</si>
  <si>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</si>
  <si>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</si>
  <si>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</si>
  <si>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</si>
  <si>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</si>
  <si>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</si>
  <si>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</si>
  <si>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</si>
  <si>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</si>
  <si>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</si>
  <si>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</si>
  <si>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</si>
  <si>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</si>
  <si>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</si>
  <si>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</si>
  <si>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</si>
  <si>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</si>
  <si>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</si>
  <si>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</si>
  <si>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</si>
  <si>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</si>
  <si>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</si>
  <si>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</si>
  <si>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</si>
  <si>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</si>
  <si>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</si>
  <si>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</si>
  <si>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</si>
  <si>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</si>
  <si>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</si>
  <si>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</si>
  <si>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</si>
  <si>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</si>
  <si>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</si>
  <si>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</si>
  <si>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</si>
  <si>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</si>
  <si>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</si>
  <si>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</si>
  <si>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</si>
  <si>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</si>
  <si>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</si>
  <si>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</si>
  <si>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</si>
  <si>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</si>
  <si>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</si>
  <si>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</si>
  <si>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</si>
  <si>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</si>
  <si>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</si>
  <si>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</si>
  <si>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</si>
  <si>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</si>
  <si>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</si>
  <si>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</si>
  <si>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</si>
  <si>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</si>
  <si>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</si>
  <si>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</si>
  <si>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</si>
  <si>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</si>
  <si>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</si>
  <si>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</si>
  <si>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</si>
  <si>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</si>
  <si>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</si>
  <si>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</si>
  <si>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</si>
  <si>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</si>
  <si>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</si>
  <si>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</si>
  <si>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</si>
  <si>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</si>
  <si>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</si>
  <si>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</si>
  <si>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</si>
  <si>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</si>
  <si>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</si>
  <si>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</si>
  <si>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</si>
  <si>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</si>
  <si>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</si>
  <si>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</si>
  <si>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</si>
  <si>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</si>
  <si>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</si>
  <si>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</si>
  <si>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</si>
  <si>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</si>
  <si>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</si>
  <si>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</si>
  <si>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</si>
  <si>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</si>
  <si>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</si>
  <si>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</si>
  <si>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</si>
  <si>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</si>
  <si>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</si>
  <si>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</si>
  <si>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</si>
  <si>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</si>
  <si>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</si>
  <si>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</si>
  <si>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</si>
  <si>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</si>
  <si>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</si>
  <si>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</si>
  <si>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</si>
  <si>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</si>
  <si>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</si>
  <si>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</si>
  <si>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</si>
  <si>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</si>
  <si>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</si>
  <si>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</si>
  <si>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</si>
  <si>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</si>
  <si>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</si>
  <si>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</si>
  <si>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</si>
  <si>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</si>
  <si>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</si>
  <si>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</si>
  <si>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</si>
  <si>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</si>
  <si>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</si>
  <si>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</si>
  <si>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</si>
  <si>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</si>
  <si>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</si>
  <si>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</si>
  <si>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</si>
  <si>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</si>
  <si>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</si>
  <si>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</si>
  <si>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</si>
  <si>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</si>
  <si>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</si>
  <si>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</si>
  <si>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</si>
  <si>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</si>
  <si>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</si>
  <si>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</si>
  <si>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</si>
  <si>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</si>
  <si>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</si>
  <si>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</si>
  <si>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</si>
  <si>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</si>
  <si>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</si>
  <si>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</si>
  <si>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</si>
  <si>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</si>
  <si>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</si>
  <si>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</si>
  <si>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</si>
  <si>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335103</t>
  </si>
  <si>
    <t>ja</t>
  </si>
  <si>
    <t>ガチャ特典</t>
    <rPh sb="3" eb="5">
      <t>トクテン</t>
    </rPh>
    <phoneticPr fontId="18"/>
  </si>
  <si>
    <t>item</t>
    <phoneticPr fontId="18"/>
  </si>
  <si>
    <t>ステップアップフィーバーのSTEP3特典として★6覚醒可能ユニット出現率50%チケットをプレゼント！
※チケットの有効期限は5/26 14:59までとなります</t>
    <rPh sb="25" eb="27">
      <t>カクセイ</t>
    </rPh>
    <rPh sb="27" eb="29">
      <t>カノウ</t>
    </rPh>
    <rPh sb="33" eb="36">
      <t>シュツゲンリツ</t>
    </rPh>
    <rPh sb="57" eb="61">
      <t>ユウコウキゲン</t>
    </rPh>
    <phoneticPr fontId="18"/>
  </si>
  <si>
    <t>old</t>
    <phoneticPr fontId="18"/>
  </si>
  <si>
    <t>★6覚醒ユニット50%券x1</t>
    <rPh sb="2" eb="4">
      <t>カクセイ</t>
    </rPh>
    <rPh sb="11" eb="12">
      <t>ケン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</si>
  <si>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</si>
  <si>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</si>
  <si>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</si>
  <si>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</si>
  <si>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</si>
  <si>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</si>
  <si>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</si>
  <si>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</si>
  <si>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</si>
  <si>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</si>
  <si>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</si>
  <si>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</si>
  <si>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</si>
  <si>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</si>
  <si>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</si>
  <si>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</si>
  <si>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</si>
  <si>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tables_settle_7104100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</si>
</sst>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  <xf numFmtId="38" fontId="53" fillId="0" borderId="0" applyFont="0" applyFill="0" applyBorder="0" applyAlignment="0" applyProtection="0"/>
  </cellStyleXfs>
  <cellXfs count="94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5" fillId="32" borderId="1" xfId="0" applyNumberFormat="1" applyFont="1" applyFill="1" applyBorder="1"/>
    <xf numFmtId="38" fontId="23" fillId="4" borderId="1" xfId="3663" quotePrefix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0" fillId="0" borderId="1" xfId="0" applyFont="1" applyBorder="1" applyAlignment="1">
      <alignment vertical="center" wrapText="1"/>
    </xf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0" borderId="1" xfId="3036" applyFont="1" applyBorder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2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" fillId="4" borderId="1" xfId="2978" applyFont="1" applyFill="1" applyBorder="1"/>
    <xf numFmtId="0" fontId="23" fillId="25" borderId="1" xfId="2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6001</v>
          </cell>
          <cell r="B979" t="str">
            <v>ja</v>
          </cell>
          <cell r="C979" t="str">
            <v>ジェリー</v>
          </cell>
          <cell r="D979" t="str">
            <v>ノーマルクエスト</v>
          </cell>
          <cell r="E979" t="str">
            <v>QoH</v>
          </cell>
          <cell r="F979" t="str">
            <v>世界観</v>
          </cell>
          <cell r="G979" t="str">
            <v>不明</v>
          </cell>
          <cell r="H979" t="str">
            <v>red</v>
          </cell>
          <cell r="I979">
            <v>1</v>
          </cell>
          <cell r="J979" t="str">
            <v>Drop1T</v>
          </cell>
          <cell r="K979" t="str">
            <v>ra</v>
          </cell>
          <cell r="L979" t="str">
            <v>R</v>
          </cell>
          <cell r="M979" t="str">
            <v>unknown</v>
          </cell>
        </row>
        <row r="980">
          <cell r="A980">
            <v>6002</v>
          </cell>
          <cell r="B980" t="str">
            <v>ja</v>
          </cell>
          <cell r="C980" t="str">
            <v>ヨシタカ</v>
          </cell>
          <cell r="D980" t="str">
            <v>ノーマルクエスト</v>
          </cell>
          <cell r="E980" t="str">
            <v>アバター</v>
          </cell>
          <cell r="F980" t="str">
            <v>世界観</v>
          </cell>
          <cell r="G980" t="str">
            <v>男性</v>
          </cell>
          <cell r="H980" t="str">
            <v>red</v>
          </cell>
          <cell r="I980">
            <v>2</v>
          </cell>
          <cell r="J980" t="str">
            <v>Drop1N</v>
          </cell>
          <cell r="K980" t="str">
            <v>ra</v>
          </cell>
          <cell r="L980" t="str">
            <v>R</v>
          </cell>
          <cell r="M980" t="str">
            <v>human</v>
          </cell>
        </row>
        <row r="981">
          <cell r="A981">
            <v>6003</v>
          </cell>
          <cell r="B981" t="str">
            <v>ja</v>
          </cell>
          <cell r="C981" t="str">
            <v>朱雀</v>
          </cell>
          <cell r="D981" t="str">
            <v>リンクガチャ:4神</v>
          </cell>
          <cell r="E981" t="str">
            <v>守護神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3</v>
          </cell>
          <cell r="J981" t="str">
            <v>Drop2N</v>
          </cell>
          <cell r="K981" t="str">
            <v>ra</v>
          </cell>
          <cell r="L981" t="str">
            <v>R</v>
          </cell>
          <cell r="M981" t="str">
            <v>animal</v>
          </cell>
        </row>
        <row r="982">
          <cell r="A982">
            <v>6004</v>
          </cell>
          <cell r="B982" t="str">
            <v>ja</v>
          </cell>
          <cell r="C982" t="str">
            <v>ブレット</v>
          </cell>
          <cell r="D982" t="str">
            <v>ノーマルクエスト</v>
          </cell>
          <cell r="E982" t="str">
            <v>アバター</v>
          </cell>
          <cell r="F982" t="str">
            <v>世界観</v>
          </cell>
          <cell r="G982" t="str">
            <v>不明</v>
          </cell>
          <cell r="H982" t="str">
            <v>red</v>
          </cell>
          <cell r="I982">
            <v>1</v>
          </cell>
          <cell r="J982" t="str">
            <v>Drop1W</v>
          </cell>
          <cell r="K982" t="str">
            <v>ra</v>
          </cell>
          <cell r="L982" t="str">
            <v>R</v>
          </cell>
          <cell r="M982" t="str">
            <v>animal</v>
          </cell>
        </row>
        <row r="983">
          <cell r="A983">
            <v>6005</v>
          </cell>
          <cell r="B983" t="str">
            <v>ja</v>
          </cell>
          <cell r="C983" t="str">
            <v>孤神 テティス</v>
          </cell>
          <cell r="D983" t="str">
            <v>初期ガチャ</v>
          </cell>
          <cell r="E983" t="str">
            <v>管理者</v>
          </cell>
          <cell r="F983" t="str">
            <v>美しい</v>
          </cell>
          <cell r="G983" t="str">
            <v>女性</v>
          </cell>
          <cell r="H983" t="str">
            <v>blue</v>
          </cell>
          <cell r="I983">
            <v>4</v>
          </cell>
          <cell r="J983" t="str">
            <v>PremiumN</v>
          </cell>
          <cell r="K983" t="str">
            <v>ra</v>
          </cell>
          <cell r="L983" t="str">
            <v>R</v>
          </cell>
          <cell r="M983" t="str">
            <v>god</v>
          </cell>
        </row>
        <row r="984">
          <cell r="A984">
            <v>6006</v>
          </cell>
          <cell r="B984" t="str">
            <v>ja</v>
          </cell>
          <cell r="C984" t="str">
            <v>海底の孤高神 テティス</v>
          </cell>
          <cell r="D984" t="str">
            <v>初期ガチャ</v>
          </cell>
          <cell r="E984" t="str">
            <v>管理者</v>
          </cell>
          <cell r="F984" t="str">
            <v>美しい</v>
          </cell>
          <cell r="G984" t="str">
            <v>女性</v>
          </cell>
          <cell r="H984" t="str">
            <v>blue</v>
          </cell>
          <cell r="I984">
            <v>5</v>
          </cell>
          <cell r="J984" t="str">
            <v>PremiumN</v>
          </cell>
          <cell r="K984" t="str">
            <v>ra</v>
          </cell>
          <cell r="L984" t="str">
            <v>R</v>
          </cell>
          <cell r="M984" t="str">
            <v>god</v>
          </cell>
        </row>
        <row r="985">
          <cell r="A985">
            <v>6007</v>
          </cell>
          <cell r="B985" t="str">
            <v>ja</v>
          </cell>
          <cell r="C985" t="str">
            <v>番犬 ケルベロス</v>
          </cell>
          <cell r="D985" t="str">
            <v>初期ガチャ</v>
          </cell>
          <cell r="E985" t="str">
            <v>破界者</v>
          </cell>
          <cell r="F985" t="str">
            <v>可愛い</v>
          </cell>
          <cell r="G985" t="str">
            <v>女性</v>
          </cell>
          <cell r="H985" t="str">
            <v>red</v>
          </cell>
          <cell r="I985">
            <v>4</v>
          </cell>
          <cell r="J985" t="str">
            <v>PremiumN</v>
          </cell>
          <cell r="K985" t="str">
            <v>ra</v>
          </cell>
          <cell r="L985" t="str">
            <v>R</v>
          </cell>
          <cell r="M985" t="str">
            <v>animal</v>
          </cell>
        </row>
        <row r="986">
          <cell r="A986">
            <v>6008</v>
          </cell>
          <cell r="B986" t="str">
            <v>ja</v>
          </cell>
          <cell r="C986" t="str">
            <v>焔神 プロメテウス</v>
          </cell>
          <cell r="D986" t="str">
            <v>初期ガチャ</v>
          </cell>
          <cell r="E986" t="str">
            <v>管理者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4</v>
          </cell>
          <cell r="J986" t="str">
            <v>PremiumN</v>
          </cell>
          <cell r="K986" t="str">
            <v>ra</v>
          </cell>
          <cell r="L986" t="str">
            <v>R</v>
          </cell>
          <cell r="M986" t="str">
            <v>god</v>
          </cell>
        </row>
        <row r="987">
          <cell r="A987">
            <v>6009</v>
          </cell>
          <cell r="B987" t="str">
            <v>ja</v>
          </cell>
          <cell r="C987" t="str">
            <v>超越自我 ラグランジュ</v>
          </cell>
          <cell r="D987" t="str">
            <v>ガチャ:フィーバーフェス02</v>
          </cell>
          <cell r="E987" t="str">
            <v>執行者</v>
          </cell>
          <cell r="F987" t="str">
            <v>格好いい</v>
          </cell>
          <cell r="G987" t="str">
            <v>女性</v>
          </cell>
          <cell r="H987" t="str">
            <v>red</v>
          </cell>
          <cell r="I987">
            <v>5</v>
          </cell>
          <cell r="J987" t="str">
            <v>PremiumSSS</v>
          </cell>
          <cell r="K987" t="str">
            <v>ra</v>
          </cell>
          <cell r="L987" t="str">
            <v>R</v>
          </cell>
          <cell r="M987" t="str">
            <v>human</v>
          </cell>
        </row>
        <row r="988">
          <cell r="A988">
            <v>6010</v>
          </cell>
          <cell r="B988" t="str">
            <v>ja</v>
          </cell>
          <cell r="C988" t="str">
            <v>超越凌駕 ラグランジュ</v>
          </cell>
          <cell r="D988" t="str">
            <v>ガチャ:フィーバーフェス02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red</v>
          </cell>
          <cell r="I988">
            <v>6</v>
          </cell>
          <cell r="J988" t="str">
            <v>PremiumSSS</v>
          </cell>
          <cell r="K988" t="str">
            <v>ra</v>
          </cell>
          <cell r="L988" t="str">
            <v>R</v>
          </cell>
          <cell r="M988" t="str">
            <v>human</v>
          </cell>
        </row>
        <row r="989">
          <cell r="A989">
            <v>8001</v>
          </cell>
          <cell r="B989" t="str">
            <v>ja</v>
          </cell>
          <cell r="C989" t="str">
            <v>媽祖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yellow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god</v>
          </cell>
        </row>
        <row r="990">
          <cell r="A990">
            <v>8002</v>
          </cell>
          <cell r="B990" t="str">
            <v>ja</v>
          </cell>
          <cell r="C990" t="str">
            <v>天后 媽祖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god</v>
          </cell>
        </row>
        <row r="991">
          <cell r="A991">
            <v>8003</v>
          </cell>
          <cell r="B991" t="str">
            <v>ja</v>
          </cell>
          <cell r="C991" t="str">
            <v>蛟龍</v>
          </cell>
          <cell r="D991" t="str">
            <v>イベント:ミクコラボ01</v>
          </cell>
          <cell r="E991" t="str">
            <v>執行者</v>
          </cell>
          <cell r="F991" t="str">
            <v>格好いい</v>
          </cell>
          <cell r="G991" t="str">
            <v>不明</v>
          </cell>
          <cell r="H991" t="str">
            <v>red</v>
          </cell>
          <cell r="I991">
            <v>5</v>
          </cell>
          <cell r="J991" t="str">
            <v>DropWizS</v>
          </cell>
          <cell r="K991" t="str">
            <v>hp</v>
          </cell>
          <cell r="L991" t="str">
            <v>体力タイプ</v>
          </cell>
          <cell r="M991" t="str">
            <v>dragon</v>
          </cell>
        </row>
        <row r="992">
          <cell r="A992">
            <v>8004</v>
          </cell>
          <cell r="B992" t="str">
            <v>ja</v>
          </cell>
          <cell r="C992" t="str">
            <v>深海蛟龍怪‧晏公</v>
          </cell>
          <cell r="D992" t="str">
            <v>イベント:ミクコラボ01</v>
          </cell>
          <cell r="E992" t="str">
            <v>執行者</v>
          </cell>
          <cell r="F992" t="str">
            <v>格好いい</v>
          </cell>
          <cell r="G992" t="str">
            <v>不明</v>
          </cell>
          <cell r="H992" t="str">
            <v>green</v>
          </cell>
          <cell r="I992">
            <v>6</v>
          </cell>
          <cell r="J992" t="str">
            <v>DropWizS</v>
          </cell>
          <cell r="K992" t="str">
            <v>hp</v>
          </cell>
          <cell r="L992" t="str">
            <v>体力タイプ</v>
          </cell>
          <cell r="M992" t="str">
            <v>dragon</v>
          </cell>
        </row>
        <row r="993">
          <cell r="A993">
            <v>8005</v>
          </cell>
          <cell r="B993" t="str">
            <v>ja</v>
          </cell>
          <cell r="C993" t="str">
            <v>三蔵法師</v>
          </cell>
          <cell r="D993" t="str">
            <v>イベント:ミクコラボ01</v>
          </cell>
          <cell r="E993" t="str">
            <v>執行者</v>
          </cell>
          <cell r="F993" t="str">
            <v>格好いい</v>
          </cell>
          <cell r="G993" t="str">
            <v>不明</v>
          </cell>
          <cell r="H993" t="str">
            <v>blue</v>
          </cell>
          <cell r="I993">
            <v>5</v>
          </cell>
          <cell r="J993" t="str">
            <v>PremiumSS</v>
          </cell>
          <cell r="K993" t="str">
            <v>heal</v>
          </cell>
          <cell r="L993" t="str">
            <v>回復タイプ</v>
          </cell>
          <cell r="M993" t="str">
            <v>human</v>
          </cell>
        </row>
        <row r="994">
          <cell r="A994">
            <v>8006</v>
          </cell>
          <cell r="B994" t="str">
            <v>ja</v>
          </cell>
          <cell r="C994" t="str">
            <v>三蔵法師</v>
          </cell>
          <cell r="D994" t="str">
            <v>イベント:ミクコラボ01</v>
          </cell>
          <cell r="E994" t="str">
            <v>執行者</v>
          </cell>
          <cell r="F994" t="str">
            <v>格好いい</v>
          </cell>
          <cell r="G994" t="str">
            <v>不明</v>
          </cell>
          <cell r="H994" t="str">
            <v>yellow</v>
          </cell>
          <cell r="I994">
            <v>6</v>
          </cell>
          <cell r="J994" t="str">
            <v>PremiumSS</v>
          </cell>
          <cell r="K994" t="str">
            <v>heal</v>
          </cell>
          <cell r="L994" t="str">
            <v>回復タイプ</v>
          </cell>
          <cell r="M994" t="str">
            <v>human</v>
          </cell>
        </row>
        <row r="995">
          <cell r="A995">
            <v>8007</v>
          </cell>
          <cell r="B995" t="str">
            <v>ja</v>
          </cell>
          <cell r="C995" t="str">
            <v>孫悟空</v>
          </cell>
          <cell r="D995" t="str">
            <v>イベント:ミクコラボ01</v>
          </cell>
          <cell r="E995" t="str">
            <v>執行者</v>
          </cell>
          <cell r="F995" t="str">
            <v>格好いい</v>
          </cell>
          <cell r="G995" t="str">
            <v>不明</v>
          </cell>
          <cell r="H995" t="str">
            <v>red</v>
          </cell>
          <cell r="I995">
            <v>5</v>
          </cell>
          <cell r="J995" t="str">
            <v>DropWizS</v>
          </cell>
          <cell r="K995" t="str">
            <v>balance</v>
          </cell>
          <cell r="L995" t="str">
            <v>バランスタイプ</v>
          </cell>
          <cell r="M995" t="str">
            <v>animal</v>
          </cell>
        </row>
        <row r="996">
          <cell r="A996">
            <v>8008</v>
          </cell>
          <cell r="B996" t="str">
            <v>ja</v>
          </cell>
          <cell r="C996" t="str">
            <v>孫悟空</v>
          </cell>
          <cell r="D996" t="str">
            <v>イベント:ミクコラボ01</v>
          </cell>
          <cell r="E996" t="str">
            <v>執行者</v>
          </cell>
          <cell r="F996" t="str">
            <v>格好いい</v>
          </cell>
          <cell r="G996" t="str">
            <v>不明</v>
          </cell>
          <cell r="H996" t="str">
            <v>red</v>
          </cell>
          <cell r="I996">
            <v>6</v>
          </cell>
          <cell r="J996" t="str">
            <v>DropWizS</v>
          </cell>
          <cell r="K996" t="str">
            <v>heal</v>
          </cell>
          <cell r="L996" t="str">
            <v>回復タイプ</v>
          </cell>
          <cell r="M996" t="str">
            <v>animal</v>
          </cell>
        </row>
        <row r="997">
          <cell r="A997">
            <v>8009</v>
          </cell>
          <cell r="B997" t="str">
            <v>ja</v>
          </cell>
          <cell r="C997" t="str">
            <v>七星娘娘</v>
          </cell>
          <cell r="D997" t="str">
            <v>イベント:ミクコラボ01</v>
          </cell>
          <cell r="E997" t="str">
            <v>執行者</v>
          </cell>
          <cell r="F997" t="str">
            <v>格好いい</v>
          </cell>
          <cell r="G997" t="str">
            <v>不明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god</v>
          </cell>
        </row>
        <row r="998">
          <cell r="A998">
            <v>8010</v>
          </cell>
          <cell r="B998" t="str">
            <v>ja</v>
          </cell>
          <cell r="C998" t="str">
            <v>七星娘娘</v>
          </cell>
          <cell r="D998" t="str">
            <v>イベント:ミクコラボ01</v>
          </cell>
          <cell r="E998" t="str">
            <v>執行者</v>
          </cell>
          <cell r="F998" t="str">
            <v>格好いい</v>
          </cell>
          <cell r="G998" t="str">
            <v>不明</v>
          </cell>
          <cell r="H998" t="str">
            <v>yellow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god</v>
          </cell>
        </row>
        <row r="999">
          <cell r="A999">
            <v>8011</v>
          </cell>
          <cell r="B999" t="str">
            <v>ja</v>
          </cell>
          <cell r="C999" t="str">
            <v>月下老人</v>
          </cell>
          <cell r="D999" t="str">
            <v>イベント:ミクコラボ01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green</v>
          </cell>
          <cell r="I999">
            <v>5</v>
          </cell>
          <cell r="J999" t="str">
            <v>DropWizS</v>
          </cell>
          <cell r="K999" t="str">
            <v>heal</v>
          </cell>
          <cell r="L999" t="str">
            <v>回復タイプ</v>
          </cell>
          <cell r="M999" t="str">
            <v>god</v>
          </cell>
        </row>
        <row r="1000">
          <cell r="A1000">
            <v>8012</v>
          </cell>
          <cell r="B1000" t="str">
            <v>ja</v>
          </cell>
          <cell r="C1000" t="str">
            <v>良緣祈福 月下老人</v>
          </cell>
          <cell r="D1000" t="str">
            <v>イベント:ミクコラボ01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yellow</v>
          </cell>
          <cell r="I1000">
            <v>6</v>
          </cell>
          <cell r="J1000" t="str">
            <v>DropWizS</v>
          </cell>
          <cell r="K1000" t="str">
            <v>heal</v>
          </cell>
          <cell r="L1000" t="str">
            <v>回復タイプ</v>
          </cell>
          <cell r="M1000" t="str">
            <v>god</v>
          </cell>
        </row>
        <row r="1001">
          <cell r="A1001">
            <v>8013</v>
          </cell>
          <cell r="B1001" t="str">
            <v>ja</v>
          </cell>
          <cell r="C1001" t="str">
            <v>CO04_Wiz01_R5</v>
          </cell>
          <cell r="D1001" t="str">
            <v>初音ミクV3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yellow</v>
          </cell>
          <cell r="I1001">
            <v>5</v>
          </cell>
          <cell r="J1001" t="str">
            <v>DropWizS</v>
          </cell>
          <cell r="K1001" t="str">
            <v>balance</v>
          </cell>
          <cell r="L1001" t="str">
            <v>バランスタイプ</v>
          </cell>
          <cell r="M1001" t="str">
            <v>unknown</v>
          </cell>
        </row>
        <row r="1002">
          <cell r="A1002">
            <v>8014</v>
          </cell>
          <cell r="B1002" t="str">
            <v>ja</v>
          </cell>
          <cell r="C1002" t="str">
            <v>CO04_Wiz01_R6</v>
          </cell>
          <cell r="D1002" t="str">
            <v>初音ミクV3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yellow</v>
          </cell>
          <cell r="I1002">
            <v>6</v>
          </cell>
          <cell r="J1002" t="str">
            <v>DropWizS</v>
          </cell>
          <cell r="K1002" t="str">
            <v>balance</v>
          </cell>
          <cell r="L1002" t="str">
            <v>バランスタイプ</v>
          </cell>
          <cell r="M1002" t="str">
            <v>unknown</v>
          </cell>
        </row>
        <row r="1003">
          <cell r="A1003">
            <v>8015</v>
          </cell>
          <cell r="B1003" t="str">
            <v>ja</v>
          </cell>
          <cell r="C1003" t="str">
            <v>CO04_ GA01_R5</v>
          </cell>
          <cell r="D1003" t="str">
            <v>初音ミク・アペンド</v>
          </cell>
          <cell r="E1003" t="str">
            <v>執行者</v>
          </cell>
          <cell r="F1003" t="str">
            <v>格好いい</v>
          </cell>
          <cell r="G1003" t="str">
            <v>女性</v>
          </cell>
          <cell r="H1003" t="str">
            <v>green</v>
          </cell>
          <cell r="I1003">
            <v>5</v>
          </cell>
          <cell r="J1003" t="str">
            <v>PremiumSSS</v>
          </cell>
          <cell r="K1003" t="str">
            <v>technical</v>
          </cell>
          <cell r="L1003" t="str">
            <v>テクニカルタイプ</v>
          </cell>
          <cell r="M1003" t="str">
            <v>unknown</v>
          </cell>
        </row>
        <row r="1004">
          <cell r="A1004">
            <v>8016</v>
          </cell>
          <cell r="B1004" t="str">
            <v>ja</v>
          </cell>
          <cell r="C1004" t="str">
            <v>CO04_ GA01_R6</v>
          </cell>
          <cell r="D1004" t="str">
            <v>初音ミク・アペンド</v>
          </cell>
          <cell r="E1004" t="str">
            <v>執行者</v>
          </cell>
          <cell r="F1004" t="str">
            <v>格好いい</v>
          </cell>
          <cell r="G1004" t="str">
            <v>女性</v>
          </cell>
          <cell r="H1004" t="str">
            <v>green</v>
          </cell>
          <cell r="I1004">
            <v>6</v>
          </cell>
          <cell r="J1004" t="str">
            <v>PremiumSSS</v>
          </cell>
          <cell r="K1004" t="str">
            <v>technical</v>
          </cell>
          <cell r="L1004" t="str">
            <v>テクニカルタイプ</v>
          </cell>
          <cell r="M1004" t="str">
            <v>unknown</v>
          </cell>
        </row>
        <row r="1005">
          <cell r="A1005">
            <v>8017</v>
          </cell>
          <cell r="B1005" t="str">
            <v>ja</v>
          </cell>
          <cell r="C1005" t="str">
            <v>CO04_ GA02_R5</v>
          </cell>
          <cell r="D1005" t="str">
            <v>初音ミク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yellow</v>
          </cell>
          <cell r="I1005">
            <v>5</v>
          </cell>
          <cell r="J1005" t="str">
            <v>PremiumSSS</v>
          </cell>
          <cell r="K1005" t="str">
            <v>balance</v>
          </cell>
          <cell r="L1005" t="str">
            <v>バランスタイプ</v>
          </cell>
          <cell r="M1005" t="str">
            <v>unknown</v>
          </cell>
        </row>
        <row r="1006">
          <cell r="A1006">
            <v>8018</v>
          </cell>
          <cell r="B1006" t="str">
            <v>ja</v>
          </cell>
          <cell r="C1006" t="str">
            <v>CO04_ GA02_R6</v>
          </cell>
          <cell r="D1006" t="str">
            <v>初音ミク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yellow</v>
          </cell>
          <cell r="I1006">
            <v>6</v>
          </cell>
          <cell r="J1006" t="str">
            <v>PremiumSSS</v>
          </cell>
          <cell r="K1006" t="str">
            <v>balance</v>
          </cell>
          <cell r="L1006" t="str">
            <v>バランスタイプ</v>
          </cell>
          <cell r="M1006" t="str">
            <v>unknown</v>
          </cell>
        </row>
        <row r="1007">
          <cell r="A1007">
            <v>8019</v>
          </cell>
          <cell r="B1007" t="str">
            <v>ja</v>
          </cell>
          <cell r="C1007" t="str">
            <v>CO04_ GA03_R4</v>
          </cell>
          <cell r="D1007" t="str">
            <v>鏡音リン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yellow</v>
          </cell>
          <cell r="I1007">
            <v>4</v>
          </cell>
          <cell r="J1007" t="str">
            <v>PremiumSS</v>
          </cell>
          <cell r="K1007" t="str">
            <v>balance</v>
          </cell>
          <cell r="L1007" t="str">
            <v>バランスタイプ</v>
          </cell>
          <cell r="M1007" t="str">
            <v>unknown</v>
          </cell>
        </row>
        <row r="1008">
          <cell r="A1008">
            <v>8020</v>
          </cell>
          <cell r="B1008" t="str">
            <v>ja</v>
          </cell>
          <cell r="C1008" t="str">
            <v>CO04_ GA03_R5</v>
          </cell>
          <cell r="D1008" t="str">
            <v>鏡音リン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yellow</v>
          </cell>
          <cell r="I1008">
            <v>5</v>
          </cell>
          <cell r="J1008" t="str">
            <v>PremiumSS</v>
          </cell>
          <cell r="K1008" t="str">
            <v>balance</v>
          </cell>
          <cell r="L1008" t="str">
            <v>バランスタイプ</v>
          </cell>
          <cell r="M1008" t="str">
            <v>unknown</v>
          </cell>
        </row>
        <row r="1009">
          <cell r="A1009">
            <v>8021</v>
          </cell>
          <cell r="B1009" t="str">
            <v>ja</v>
          </cell>
          <cell r="C1009" t="str">
            <v>CO04_ GA04_R4</v>
          </cell>
          <cell r="D1009" t="str">
            <v>鏡音レン</v>
          </cell>
          <cell r="E1009" t="str">
            <v>執行者</v>
          </cell>
          <cell r="F1009" t="str">
            <v>格好いい</v>
          </cell>
          <cell r="G1009" t="str">
            <v>女性</v>
          </cell>
          <cell r="H1009" t="str">
            <v>red</v>
          </cell>
          <cell r="I1009">
            <v>4</v>
          </cell>
          <cell r="J1009" t="str">
            <v>PremiumS</v>
          </cell>
          <cell r="K1009" t="str">
            <v>heal</v>
          </cell>
          <cell r="L1009" t="str">
            <v>回復タイプ</v>
          </cell>
          <cell r="M1009" t="str">
            <v>unknown</v>
          </cell>
        </row>
        <row r="1010">
          <cell r="A1010">
            <v>8022</v>
          </cell>
          <cell r="B1010" t="str">
            <v>ja</v>
          </cell>
          <cell r="C1010" t="str">
            <v>CO04_ GA04_R5</v>
          </cell>
          <cell r="D1010" t="str">
            <v>鏡音レン</v>
          </cell>
          <cell r="E1010" t="str">
            <v>執行者</v>
          </cell>
          <cell r="F1010" t="str">
            <v>格好いい</v>
          </cell>
          <cell r="G1010" t="str">
            <v>女性</v>
          </cell>
          <cell r="H1010" t="str">
            <v>red</v>
          </cell>
          <cell r="I1010">
            <v>5</v>
          </cell>
          <cell r="J1010" t="str">
            <v>PremiumS</v>
          </cell>
          <cell r="K1010" t="str">
            <v>heal</v>
          </cell>
          <cell r="L1010" t="str">
            <v>回復タイプ</v>
          </cell>
          <cell r="M1010" t="str">
            <v>unknown</v>
          </cell>
        </row>
        <row r="1011">
          <cell r="A1011">
            <v>8023</v>
          </cell>
          <cell r="B1011" t="str">
            <v>ja</v>
          </cell>
          <cell r="C1011" t="str">
            <v>CO04_ GA05_R3</v>
          </cell>
          <cell r="D1011" t="str">
            <v>巡音ルカ</v>
          </cell>
          <cell r="E1011" t="str">
            <v>執行者</v>
          </cell>
          <cell r="F1011" t="str">
            <v>格好いい</v>
          </cell>
          <cell r="G1011" t="str">
            <v>女性</v>
          </cell>
          <cell r="H1011" t="str">
            <v>red</v>
          </cell>
          <cell r="I1011">
            <v>3</v>
          </cell>
          <cell r="J1011" t="str">
            <v>PremiumS</v>
          </cell>
          <cell r="K1011" t="str">
            <v>attack</v>
          </cell>
          <cell r="L1011" t="str">
            <v>攻撃タイプ</v>
          </cell>
          <cell r="M1011" t="str">
            <v>unknown</v>
          </cell>
        </row>
        <row r="1012">
          <cell r="A1012">
            <v>8024</v>
          </cell>
          <cell r="B1012" t="str">
            <v>ja</v>
          </cell>
          <cell r="C1012" t="str">
            <v>CO04_ GA05_R4</v>
          </cell>
          <cell r="D1012" t="str">
            <v>巡音ルカ</v>
          </cell>
          <cell r="E1012" t="str">
            <v>執行者</v>
          </cell>
          <cell r="F1012" t="str">
            <v>格好いい</v>
          </cell>
          <cell r="G1012" t="str">
            <v>女性</v>
          </cell>
          <cell r="H1012" t="str">
            <v>red</v>
          </cell>
          <cell r="I1012">
            <v>4</v>
          </cell>
          <cell r="J1012" t="str">
            <v>PremiumS</v>
          </cell>
          <cell r="K1012" t="str">
            <v>attack</v>
          </cell>
          <cell r="L1012" t="str">
            <v>攻撃タイプ</v>
          </cell>
          <cell r="M1012" t="str">
            <v>unknown</v>
          </cell>
        </row>
        <row r="1013">
          <cell r="A1013">
            <v>8025</v>
          </cell>
          <cell r="B1013" t="str">
            <v>ja</v>
          </cell>
          <cell r="C1013" t="str">
            <v>CO04_ GA06_R3</v>
          </cell>
          <cell r="D1013" t="str">
            <v>MEIKO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3</v>
          </cell>
          <cell r="J1013" t="str">
            <v>PremiumS</v>
          </cell>
          <cell r="K1013" t="str">
            <v>hp</v>
          </cell>
          <cell r="L1013" t="str">
            <v>体力タイプ</v>
          </cell>
          <cell r="M1013" t="str">
            <v>unknown</v>
          </cell>
        </row>
        <row r="1014">
          <cell r="A1014">
            <v>8026</v>
          </cell>
          <cell r="B1014" t="str">
            <v>ja</v>
          </cell>
          <cell r="C1014" t="str">
            <v>CO04_ GA06_R4</v>
          </cell>
          <cell r="D1014" t="str">
            <v>MEIKO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4</v>
          </cell>
          <cell r="J1014" t="str">
            <v>PremiumS</v>
          </cell>
          <cell r="K1014" t="str">
            <v>hp</v>
          </cell>
          <cell r="L1014" t="str">
            <v>体力タイプ</v>
          </cell>
          <cell r="M1014" t="str">
            <v>unknown</v>
          </cell>
        </row>
        <row r="1015">
          <cell r="A1015">
            <v>8027</v>
          </cell>
          <cell r="B1015" t="str">
            <v>ja</v>
          </cell>
          <cell r="C1015" t="str">
            <v>CO04_ GA07_R3</v>
          </cell>
          <cell r="D1015" t="str">
            <v>KAITO</v>
          </cell>
          <cell r="E1015" t="str">
            <v>執行者</v>
          </cell>
          <cell r="F1015" t="str">
            <v>格好いい</v>
          </cell>
          <cell r="G1015" t="str">
            <v>女性</v>
          </cell>
          <cell r="H1015" t="str">
            <v>blue</v>
          </cell>
          <cell r="I1015">
            <v>3</v>
          </cell>
          <cell r="J1015" t="str">
            <v>PremiumS</v>
          </cell>
          <cell r="K1015" t="str">
            <v>technical</v>
          </cell>
          <cell r="L1015" t="str">
            <v>テクニカルタイプ</v>
          </cell>
          <cell r="M1015" t="str">
            <v>unknown</v>
          </cell>
        </row>
        <row r="1016">
          <cell r="A1016">
            <v>8028</v>
          </cell>
          <cell r="B1016" t="str">
            <v>ja</v>
          </cell>
          <cell r="C1016" t="str">
            <v>CO04_ GA07_R4</v>
          </cell>
          <cell r="D1016" t="str">
            <v>KAITO</v>
          </cell>
          <cell r="E1016" t="str">
            <v>執行者</v>
          </cell>
          <cell r="F1016" t="str">
            <v>格好いい</v>
          </cell>
          <cell r="G1016" t="str">
            <v>女性</v>
          </cell>
          <cell r="H1016" t="str">
            <v>blue</v>
          </cell>
          <cell r="I1016">
            <v>4</v>
          </cell>
          <cell r="J1016" t="str">
            <v>PremiumS</v>
          </cell>
          <cell r="K1016" t="str">
            <v>technical</v>
          </cell>
          <cell r="L1016" t="str">
            <v>テクニカルタイプ</v>
          </cell>
          <cell r="M1016" t="str">
            <v>unknown</v>
          </cell>
        </row>
        <row r="1017">
          <cell r="A1017">
            <v>8029</v>
          </cell>
          <cell r="B1017" t="str">
            <v>ja</v>
          </cell>
          <cell r="C1017" t="str">
            <v>CO04_ EV01_R4</v>
          </cell>
          <cell r="D1017" t="str">
            <v>Expoミク</v>
          </cell>
          <cell r="E1017" t="str">
            <v>執行者</v>
          </cell>
          <cell r="F1017" t="str">
            <v>格好いい</v>
          </cell>
          <cell r="G1017" t="str">
            <v>女性</v>
          </cell>
          <cell r="H1017" t="str">
            <v>blue</v>
          </cell>
          <cell r="I1017">
            <v>4</v>
          </cell>
          <cell r="J1017" t="str">
            <v>Drop2N</v>
          </cell>
          <cell r="K1017" t="str">
            <v>heal</v>
          </cell>
          <cell r="L1017" t="str">
            <v>回復タイプ</v>
          </cell>
          <cell r="M1017" t="str">
            <v>unknown</v>
          </cell>
        </row>
        <row r="1018">
          <cell r="A1018">
            <v>8030</v>
          </cell>
          <cell r="B1018" t="str">
            <v>ja</v>
          </cell>
          <cell r="C1018" t="str">
            <v>CO04_ EV02_R5</v>
          </cell>
          <cell r="D1018" t="str">
            <v>Expoミク</v>
          </cell>
          <cell r="E1018" t="str">
            <v>執行者</v>
          </cell>
          <cell r="F1018" t="str">
            <v>格好いい</v>
          </cell>
          <cell r="G1018" t="str">
            <v>女性</v>
          </cell>
          <cell r="H1018" t="str">
            <v>blue</v>
          </cell>
          <cell r="I1018">
            <v>5</v>
          </cell>
          <cell r="J1018" t="str">
            <v>Drop2N</v>
          </cell>
          <cell r="K1018" t="str">
            <v>heal</v>
          </cell>
          <cell r="L1018" t="str">
            <v>回復タイプ</v>
          </cell>
          <cell r="M101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3" x14ac:dyDescent="0.15">
      <c r="A33" s="64" t="s">
        <v>131</v>
      </c>
      <c r="B33" s="66" t="s">
        <v>147</v>
      </c>
      <c r="C33" s="66" t="s">
        <v>188</v>
      </c>
    </row>
    <row r="34" spans="1:3" x14ac:dyDescent="0.15">
      <c r="A34" s="64" t="s">
        <v>128</v>
      </c>
      <c r="B34" s="66" t="s">
        <v>147</v>
      </c>
      <c r="C34" s="66" t="s">
        <v>189</v>
      </c>
    </row>
    <row r="35" spans="1:3" x14ac:dyDescent="0.15">
      <c r="A35" s="64" t="s">
        <v>127</v>
      </c>
      <c r="B35" s="66" t="s">
        <v>147</v>
      </c>
      <c r="C35" s="66" t="s">
        <v>190</v>
      </c>
    </row>
    <row r="36" spans="1:3" x14ac:dyDescent="0.15">
      <c r="A36" s="64" t="s">
        <v>130</v>
      </c>
      <c r="B36" s="66" t="s">
        <v>147</v>
      </c>
      <c r="C36" s="66" t="s">
        <v>191</v>
      </c>
    </row>
    <row r="37" spans="1:3" x14ac:dyDescent="0.15">
      <c r="A37" s="64" t="s">
        <v>136</v>
      </c>
      <c r="B37" s="66" t="s">
        <v>147</v>
      </c>
      <c r="C37" s="66" t="s">
        <v>192</v>
      </c>
    </row>
    <row r="38" spans="1:3" x14ac:dyDescent="0.15">
      <c r="A38" s="64" t="s">
        <v>132</v>
      </c>
      <c r="B38" s="66" t="s">
        <v>147</v>
      </c>
      <c r="C38" s="66" t="s">
        <v>193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E27" sqref="E2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231</v>
      </c>
      <c r="B2" s="61" t="s">
        <v>116</v>
      </c>
      <c r="C2" s="50" t="str">
        <f>RIGHT(F2,6)</f>
        <v>337010</v>
      </c>
      <c r="D2" s="19" t="s">
        <v>46</v>
      </c>
      <c r="E2" s="17" t="str">
        <f t="shared" ref="E2:E6" si="0">B2&amp;C2&amp;D2</f>
        <v>gacha_select_tables_337010.tmp</v>
      </c>
      <c r="F2" s="86" t="s">
        <v>230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225</v>
      </c>
      <c r="B3" s="88" t="s">
        <v>232</v>
      </c>
      <c r="C3" s="50" t="str">
        <f>RIGHT(F3,7)</f>
        <v>7104100</v>
      </c>
      <c r="D3" s="19" t="s">
        <v>46</v>
      </c>
      <c r="E3" s="17" t="str">
        <f t="shared" ref="E3" si="1">B3&amp;C3&amp;D3</f>
        <v>gacha_settle_tables_7104100.tmp</v>
      </c>
      <c r="F3" s="92" t="s">
        <v>244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2" t="s">
        <v>227</v>
      </c>
      <c r="B4" s="27" t="s">
        <v>51</v>
      </c>
      <c r="C4" s="83" t="s">
        <v>228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82" t="s">
        <v>227</v>
      </c>
      <c r="B5" s="19" t="s">
        <v>49</v>
      </c>
      <c r="C5" s="83" t="s">
        <v>228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1" t="s">
        <v>7</v>
      </c>
      <c r="P5" s="51" t="s">
        <v>9</v>
      </c>
      <c r="Q5" s="51" t="s">
        <v>6</v>
      </c>
      <c r="R5" s="51" t="s">
        <v>88</v>
      </c>
      <c r="S5" s="51" t="s">
        <v>8</v>
      </c>
      <c r="T5" s="51" t="s">
        <v>89</v>
      </c>
      <c r="U5" s="51" t="s">
        <v>5</v>
      </c>
    </row>
    <row r="6" spans="1:21" x14ac:dyDescent="0.15">
      <c r="A6" s="82" t="s">
        <v>227</v>
      </c>
      <c r="B6" s="19" t="s">
        <v>50</v>
      </c>
      <c r="C6" s="83" t="s">
        <v>228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E6" sqref="E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337010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VLOOKUP(L3,tables_337010!B:C,2,FALSE)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VLOOKUP(L4,tables_337010!B:C,2,FALSE)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0.5</v>
      </c>
      <c r="D5" t="s">
        <v>207</v>
      </c>
      <c r="E5" s="43">
        <f>(B11-H5)/(F5-I5)</f>
        <v>8.3333333333333328E-4</v>
      </c>
      <c r="F5">
        <f>(COUNTIF(tables_337010!C:C,input_337010!A26)+COUNTIF(tables_337010!C:C,input_337010!A28)+COUNTIF(tables_337010!C:C,input_337010!A29))</f>
        <v>36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VLOOKUP(L5,tables_337010!B:C,2,FALSE)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0.45</v>
      </c>
      <c r="D6" t="s">
        <v>208</v>
      </c>
      <c r="E6" s="77">
        <f>(B10-H6)/(F6-I6)</f>
        <v>1.2763157894736843E-2</v>
      </c>
      <c r="F6">
        <f>(COUNTIF(tables_337010!C:C,input_337010!A18)+COUNTIF(tables_337010!C:C,input_337010!A20)+COUNTIF(tables_337010!C:C,input_337010!A22))</f>
        <v>76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VLOOKUP(L6,tables_337010!B:C,2,FALSE)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0.05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VLOOKUP(L7,tables_337010!B:C,2,FALSE)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VLOOKUP(L8,tables_337010!B:C,2,FALSE)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VLOOKUP(L9,tables_337010!B:C,2,FALSE)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VLOOKUP(L10,tables_337010!B:C,2,FALSE)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VLOOKUP(L11,tables_337010!B:C,2,FALSE)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VLOOKUP(L12,tables_337010!B:C,2,FALSE)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VLOOKUP(L13,tables_337010!B:C,2,FALSE)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VLOOKUP(L14,tables_337010!B:C,2,FALSE)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VLOOKUP(L15,tables_337010!B:C,2,FALSE)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VLOOKUP(L16,tables_337010!B:C,2,FALSE)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56">
        <f>B5-B19-B24</f>
        <v>0.16649122807017544</v>
      </c>
      <c r="C17" s="74">
        <f t="shared" ref="C17:C31" si="2">SUMIF(Q:Q,A17,N:N)</f>
        <v>0</v>
      </c>
      <c r="D17" s="75">
        <f t="shared" ref="D17:D26" si="3">B17-C17</f>
        <v>0.16649122807017544</v>
      </c>
      <c r="E17">
        <f>COUNTIF(tables_337010!C:C,input_337010!A17)-COUNTIF(Q:Q,A17)</f>
        <v>20</v>
      </c>
      <c r="F17" s="43">
        <f>IFERROR(B17/E17,0)</f>
        <v>8.3245614035087727E-3</v>
      </c>
      <c r="G17">
        <f>A$36*B17</f>
        <v>455520</v>
      </c>
      <c r="H17">
        <f t="shared" ref="H17:H26" si="4">IFERROR(ROUND(G17/E17,5),0)</f>
        <v>22776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VLOOKUP(L17,tables_337010!B:C,2,FALSE)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56">
        <f>E6*E18-B17</f>
        <v>8.8771929824561419E-2</v>
      </c>
      <c r="C18" s="74">
        <f t="shared" si="2"/>
        <v>0</v>
      </c>
      <c r="D18" s="75">
        <f t="shared" si="3"/>
        <v>8.8771929824561419E-2</v>
      </c>
      <c r="E18">
        <f>COUNTIF(tables_337010!C:C,input_337010!A18)-COUNTIF(Q:Q,A18)</f>
        <v>20</v>
      </c>
      <c r="F18" s="43">
        <f t="shared" ref="F18:F31" si="7">IFERROR(B18/E18,0)</f>
        <v>4.4385964912280708E-3</v>
      </c>
      <c r="G18">
        <f t="shared" ref="G18:G31" si="8">A$36*B18</f>
        <v>242880.00000000003</v>
      </c>
      <c r="H18">
        <f t="shared" si="4"/>
        <v>12144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VLOOKUP(L18,tables_337010!B:C,2,FALSE)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f>E$6*E19*B5</f>
        <v>0.33184210526315788</v>
      </c>
      <c r="C19" s="74">
        <f t="shared" si="2"/>
        <v>0</v>
      </c>
      <c r="D19" s="75">
        <f t="shared" si="3"/>
        <v>0.33184210526315788</v>
      </c>
      <c r="E19">
        <f>COUNTIF(tables_337010!C:C,input_337010!A19)-COUNTIF(Q:Q,A19)</f>
        <v>52</v>
      </c>
      <c r="F19" s="43">
        <f t="shared" si="7"/>
        <v>6.3815789473684204E-3</v>
      </c>
      <c r="G19">
        <f t="shared" si="8"/>
        <v>907920</v>
      </c>
      <c r="H19">
        <f t="shared" si="4"/>
        <v>17460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VLOOKUP(L19,tables_337010!B:C,2,FALSE)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f>E$6*E20*B6</f>
        <v>0.29865789473684212</v>
      </c>
      <c r="C20" s="74">
        <f t="shared" si="2"/>
        <v>0</v>
      </c>
      <c r="D20" s="75">
        <f t="shared" si="3"/>
        <v>0.29865789473684212</v>
      </c>
      <c r="E20">
        <f>COUNTIF(tables_337010!C:C,input_337010!A20)-COUNTIF(Q:Q,A20)</f>
        <v>52</v>
      </c>
      <c r="F20" s="43">
        <f t="shared" si="7"/>
        <v>5.7434210526315791E-3</v>
      </c>
      <c r="G20">
        <f t="shared" si="8"/>
        <v>817128</v>
      </c>
      <c r="H20">
        <f t="shared" si="4"/>
        <v>15714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VLOOKUP(L20,tables_337010!B:C,2,FALSE)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56">
        <f>E$6*E21*B7</f>
        <v>3.3184210526315788E-2</v>
      </c>
      <c r="C21" s="74">
        <f t="shared" si="2"/>
        <v>0</v>
      </c>
      <c r="D21" s="75">
        <f t="shared" si="3"/>
        <v>3.3184210526315788E-2</v>
      </c>
      <c r="E21">
        <f>COUNTIF(tables_337010!C:C,input_337010!A21)-COUNTIF(Q:Q,A21)</f>
        <v>52</v>
      </c>
      <c r="F21" s="43">
        <f t="shared" si="7"/>
        <v>6.3815789473684211E-4</v>
      </c>
      <c r="G21">
        <f t="shared" si="8"/>
        <v>90792</v>
      </c>
      <c r="H21">
        <f t="shared" si="4"/>
        <v>1746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6">
        <f>E6*E22-B23</f>
        <v>3.8903508771929829E-2</v>
      </c>
      <c r="C22" s="74">
        <f t="shared" si="2"/>
        <v>0</v>
      </c>
      <c r="D22" s="75">
        <f t="shared" si="3"/>
        <v>3.8903508771929829E-2</v>
      </c>
      <c r="E22">
        <f>COUNTIF(tables_337010!C:C,input_337010!A22)-COUNTIF(Q:Q,A22)</f>
        <v>4</v>
      </c>
      <c r="F22" s="43">
        <f t="shared" si="7"/>
        <v>9.7258771929824572E-3</v>
      </c>
      <c r="G22">
        <f t="shared" si="8"/>
        <v>106440.00000000001</v>
      </c>
      <c r="H22">
        <f t="shared" si="4"/>
        <v>26610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70">
        <f>B7-B26-B28-B29-B21-V6</f>
        <v>1.2149122807017541E-2</v>
      </c>
      <c r="C23" s="74">
        <f t="shared" si="2"/>
        <v>0</v>
      </c>
      <c r="D23" s="75">
        <f t="shared" si="3"/>
        <v>1.2149122807017541E-2</v>
      </c>
      <c r="E23">
        <f>COUNTIF(tables_337010!C:C,input_337010!A23)-COUNTIF(Q:Q,A23)</f>
        <v>4</v>
      </c>
      <c r="F23" s="43">
        <f t="shared" si="7"/>
        <v>3.0372807017543853E-3</v>
      </c>
      <c r="G23">
        <f t="shared" si="8"/>
        <v>33239.999999999993</v>
      </c>
      <c r="H23">
        <f t="shared" si="4"/>
        <v>8310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56">
        <f>E$5*COUNTIF(tables_337010!C:C,input_337010!A24)*B5</f>
        <v>1.6666666666666666E-3</v>
      </c>
      <c r="C24" s="74">
        <f t="shared" si="2"/>
        <v>0</v>
      </c>
      <c r="D24" s="75">
        <f t="shared" si="3"/>
        <v>1.6666666666666666E-3</v>
      </c>
      <c r="E24">
        <f>COUNTIF(tables_337010!C:C,input_337010!A24)-COUNTIF(Q:Q,A24)</f>
        <v>4</v>
      </c>
      <c r="F24" s="43">
        <f t="shared" si="7"/>
        <v>4.1666666666666664E-4</v>
      </c>
      <c r="G24">
        <f t="shared" si="8"/>
        <v>4560</v>
      </c>
      <c r="H24">
        <f t="shared" si="4"/>
        <v>1140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56">
        <f>E$5*B6*E25</f>
        <v>1.5E-3</v>
      </c>
      <c r="C25" s="74">
        <f t="shared" si="2"/>
        <v>0</v>
      </c>
      <c r="D25" s="75">
        <f t="shared" si="3"/>
        <v>1.5E-3</v>
      </c>
      <c r="E25">
        <f>COUNTIF(tables_337010!C:C,input_337010!A25)-COUNTIF(Q:Q,A25)</f>
        <v>4</v>
      </c>
      <c r="F25" s="43">
        <f t="shared" si="7"/>
        <v>3.7500000000000001E-4</v>
      </c>
      <c r="G25">
        <f t="shared" si="8"/>
        <v>4104</v>
      </c>
      <c r="H25">
        <f t="shared" si="4"/>
        <v>1026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56">
        <f>E$5*B7*E26</f>
        <v>1.6666666666666666E-4</v>
      </c>
      <c r="C26" s="74">
        <f t="shared" si="2"/>
        <v>0</v>
      </c>
      <c r="D26" s="75">
        <f t="shared" si="3"/>
        <v>1.6666666666666666E-4</v>
      </c>
      <c r="E26">
        <f>COUNTIF(tables_337010!C:C,input_337010!A26)-COUNTIF(Q:Q,A26)</f>
        <v>4</v>
      </c>
      <c r="F26" s="43">
        <f t="shared" si="7"/>
        <v>4.1666666666666665E-5</v>
      </c>
      <c r="G26">
        <f t="shared" si="8"/>
        <v>456</v>
      </c>
      <c r="H26">
        <f t="shared" si="4"/>
        <v>114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56">
        <f>E$5*E27*(B5+B6)</f>
        <v>2.2166666666666664E-2</v>
      </c>
      <c r="C27" s="74">
        <f t="shared" si="2"/>
        <v>0</v>
      </c>
      <c r="D27" s="75">
        <f t="shared" ref="D27:D29" si="9">B27-C27</f>
        <v>2.2166666666666664E-2</v>
      </c>
      <c r="E27">
        <f>COUNTIF(tables_337010!C:C,input_337010!A27)-COUNTIF(Q:Q,A27)</f>
        <v>28</v>
      </c>
      <c r="F27" s="43">
        <f>IFERROR(B27/E27,0)</f>
        <v>7.9166666666666654E-4</v>
      </c>
      <c r="G27">
        <f t="shared" si="8"/>
        <v>60647.999999999993</v>
      </c>
      <c r="H27">
        <f t="shared" ref="H27:H29" si="10">IFERROR(ROUND(G27/E27,5),0)</f>
        <v>2166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56">
        <f>E$5*E28*B7</f>
        <v>1.1666666666666665E-3</v>
      </c>
      <c r="C28" s="74">
        <f t="shared" si="2"/>
        <v>0</v>
      </c>
      <c r="D28" s="75">
        <f t="shared" si="9"/>
        <v>1.1666666666666665E-3</v>
      </c>
      <c r="E28">
        <f>COUNTIF(tables_337010!C:C,input_337010!A28)-COUNTIF(Q:Q,A28)</f>
        <v>28</v>
      </c>
      <c r="F28" s="43">
        <f t="shared" si="7"/>
        <v>4.1666666666666665E-5</v>
      </c>
      <c r="G28">
        <f t="shared" si="8"/>
        <v>3191.9999999999995</v>
      </c>
      <c r="H28">
        <f t="shared" si="10"/>
        <v>114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56">
        <f>E5*E29</f>
        <v>3.3333333333333331E-3</v>
      </c>
      <c r="C29" s="74">
        <f t="shared" si="2"/>
        <v>0</v>
      </c>
      <c r="D29" s="75">
        <f t="shared" si="9"/>
        <v>3.3333333333333331E-3</v>
      </c>
      <c r="E29">
        <f>COUNTIF(tables_337010!C:C,input_337010!A29)-COUNTIF(Q:Q,A29)</f>
        <v>4</v>
      </c>
      <c r="F29" s="43">
        <f>IFERROR(B29/E29,0)</f>
        <v>8.3333333333333328E-4</v>
      </c>
      <c r="G29">
        <f t="shared" si="8"/>
        <v>9120</v>
      </c>
      <c r="H29">
        <f t="shared" si="10"/>
        <v>2280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56">
        <v>0</v>
      </c>
      <c r="C30" s="74">
        <f t="shared" si="2"/>
        <v>0</v>
      </c>
      <c r="D30" s="75">
        <f t="shared" ref="D30:D31" si="12">B30-C30</f>
        <v>0</v>
      </c>
      <c r="E30">
        <f>COUNTIF(tables_337010!C:C,input_337010!A30)-COUNTIF(Q:Q,A30)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56">
        <v>0</v>
      </c>
      <c r="C31" s="74">
        <f t="shared" si="2"/>
        <v>0</v>
      </c>
      <c r="D31" s="75">
        <f t="shared" si="12"/>
        <v>0</v>
      </c>
      <c r="E31">
        <f>COUNTIF(tables_337010!C:C,input_337010!A31)-COUNTIF(Q:Q,A31)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2736000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2" t="s">
        <v>106</v>
      </c>
      <c r="B40">
        <f ca="1">SUMIF(tables_337010!C:C,input_337010!A40,tables_337010!O:O)</f>
        <v>907920</v>
      </c>
      <c r="C40" s="54">
        <f t="shared" ref="C40:C46" ca="1" si="16">B40/B$47</f>
        <v>0.48301838610827375</v>
      </c>
      <c r="E40">
        <v>3</v>
      </c>
      <c r="F40">
        <f ca="1">SUMIF(tables_337010!J:J,input_337010!E40,tables_337010!O:O)</f>
        <v>1368000</v>
      </c>
      <c r="G40">
        <f ca="1">F40/A36</f>
        <v>0.5</v>
      </c>
    </row>
    <row r="41" spans="1:7" x14ac:dyDescent="0.15">
      <c r="A41" s="32" t="s">
        <v>107</v>
      </c>
      <c r="B41">
        <f ca="1">SUMIF(tables_337010!C:C,input_337010!A41,tables_337010!O:O)</f>
        <v>817128</v>
      </c>
      <c r="C41" s="54">
        <f t="shared" ca="1" si="16"/>
        <v>0.43471654749744637</v>
      </c>
      <c r="E41">
        <v>4</v>
      </c>
      <c r="F41">
        <f ca="1">SUMIF(tables_337010!J:J,input_337010!E41,tables_337010!O:O)</f>
        <v>1231200</v>
      </c>
      <c r="G41">
        <f ca="1">F41/A36</f>
        <v>0.45</v>
      </c>
    </row>
    <row r="42" spans="1:7" x14ac:dyDescent="0.15">
      <c r="A42" s="32" t="s">
        <v>112</v>
      </c>
      <c r="B42">
        <f ca="1">SUMIF(tables_337010!C:C,input_337010!A42,tables_337010!O:O)</f>
        <v>60648</v>
      </c>
      <c r="C42" s="54">
        <f t="shared" ca="1" si="16"/>
        <v>3.2265066394279875E-2</v>
      </c>
      <c r="E42">
        <v>5</v>
      </c>
      <c r="F42">
        <f ca="1">SUMIF(tables_337010!J:J,input_337010!E42,tables_337010!O:O)</f>
        <v>136800</v>
      </c>
      <c r="G42">
        <f ca="1">F42/A36</f>
        <v>0.05</v>
      </c>
    </row>
    <row r="43" spans="1:7" x14ac:dyDescent="0.15">
      <c r="A43" s="32" t="s">
        <v>113</v>
      </c>
      <c r="B43">
        <f>SUMIF(tables_337010!C:C,input_337010!A43,tables_337010!O:O)</f>
        <v>0</v>
      </c>
      <c r="C43" s="54">
        <f t="shared" ca="1" si="16"/>
        <v>0</v>
      </c>
      <c r="F43" s="55"/>
    </row>
    <row r="44" spans="1:7" x14ac:dyDescent="0.15">
      <c r="A44" s="32" t="s">
        <v>108</v>
      </c>
      <c r="B44">
        <f ca="1">SUMIF(tables_337010!C:C,input_337010!A44,tables_337010!O:O)</f>
        <v>90792</v>
      </c>
      <c r="C44" s="54">
        <f t="shared" ca="1" si="16"/>
        <v>4.8301838610827375E-2</v>
      </c>
      <c r="E44" t="s">
        <v>104</v>
      </c>
      <c r="F44" s="55"/>
    </row>
    <row r="45" spans="1:7" x14ac:dyDescent="0.15">
      <c r="A45" s="32" t="s">
        <v>114</v>
      </c>
      <c r="B45">
        <f ca="1">SUMIF(tables_337010!C:C,input_337010!A45,tables_337010!O:O)</f>
        <v>3192</v>
      </c>
      <c r="C45" s="54">
        <f t="shared" ca="1" si="16"/>
        <v>1.6981613891726252E-3</v>
      </c>
      <c r="E45" t="s">
        <v>210</v>
      </c>
      <c r="F45" s="55">
        <f ca="1">SUMIF(tables_337010!I:I,input_337010!E45,tables_337010!P:P)</f>
        <v>0.25135964912280701</v>
      </c>
    </row>
    <row r="46" spans="1:7" x14ac:dyDescent="0.15">
      <c r="A46" s="32" t="s">
        <v>115</v>
      </c>
      <c r="B46">
        <f>SUMIF(tables_337010!C:C,input_337010!A46,tables_337010!O:O)</f>
        <v>0</v>
      </c>
      <c r="C46" s="54">
        <f t="shared" ca="1" si="16"/>
        <v>0</v>
      </c>
      <c r="E46" t="s">
        <v>211</v>
      </c>
      <c r="F46" s="55">
        <f ca="1">SUMIF(tables_337010!I:I,input_337010!E46,tables_337010!P:P)</f>
        <v>0.21947368421052646</v>
      </c>
    </row>
    <row r="47" spans="1:7" x14ac:dyDescent="0.15">
      <c r="A47" s="39" t="s">
        <v>60</v>
      </c>
      <c r="B47">
        <f ca="1">SUM(B40:B46)</f>
        <v>1879680</v>
      </c>
      <c r="C47" s="55">
        <f ca="1">SUM(C40:C46)</f>
        <v>1</v>
      </c>
      <c r="E47" t="s">
        <v>212</v>
      </c>
      <c r="F47" s="55">
        <f ca="1">SUMIF(tables_337010!I:I,input_337010!E47,tables_337010!P:P)</f>
        <v>0.49859649122807082</v>
      </c>
    </row>
    <row r="48" spans="1:7" x14ac:dyDescent="0.15">
      <c r="E48" t="s">
        <v>213</v>
      </c>
      <c r="F48" s="55">
        <f ca="1">SUMIF(tables_337010!I:I,input_337010!E48,tables_337010!P:P)</f>
        <v>2.6666666666666648E-2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6" activePane="bottomLeft" state="frozen"/>
      <selection activeCell="E6" sqref="E6"/>
      <selection pane="bottomLeft" activeCell="E6" sqref="E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input_337010!A$2</f>
        <v>337010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IFERROR(VLOOKUP(B2,input_337010!L:R,7,FALSE),VLOOKUP(tables_337010!C2,input_337010!A:H,8,FALSE))</f>
        <v>22776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input_337010!A$2</f>
        <v>337010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IFERROR(VLOOKUP(B3,input_337010!L:R,7,FALSE),VLOOKUP(tables_337010!C3,input_337010!A:H,8,FALSE))</f>
        <v>12144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input_337010!A$2</f>
        <v>337010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IFERROR(VLOOKUP(B4,input_337010!L:R,7,FALSE),VLOOKUP(tables_337010!C4,input_337010!A:H,8,FALSE))</f>
        <v>22776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input_337010!A$2</f>
        <v>337010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IFERROR(VLOOKUP(B5,input_337010!L:R,7,FALSE),VLOOKUP(tables_337010!C5,input_337010!A:H,8,FALSE))</f>
        <v>12144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input_337010!A$2</f>
        <v>337010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IFERROR(VLOOKUP(B6,input_337010!L:R,7,FALSE),VLOOKUP(tables_337010!C6,input_337010!A:H,8,FALSE))</f>
        <v>22776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input_337010!A$2</f>
        <v>337010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IFERROR(VLOOKUP(B7,input_337010!L:R,7,FALSE),VLOOKUP(tables_337010!C7,input_337010!A:H,8,FALSE))</f>
        <v>12144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input_337010!A$2</f>
        <v>337010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IFERROR(VLOOKUP(B8,input_337010!L:R,7,FALSE),VLOOKUP(tables_337010!C8,input_337010!A:H,8,FALSE))</f>
        <v>22776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input_337010!A$2</f>
        <v>337010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IFERROR(VLOOKUP(B9,input_337010!L:R,7,FALSE),VLOOKUP(tables_337010!C9,input_337010!A:H,8,FALSE))</f>
        <v>12144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input_337010!A$2</f>
        <v>337010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IFERROR(VLOOKUP(B10,input_337010!L:R,7,FALSE),VLOOKUP(tables_337010!C10,input_337010!A:H,8,FALSE))</f>
        <v>22776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input_337010!A$2</f>
        <v>337010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IFERROR(VLOOKUP(B11,input_337010!L:R,7,FALSE),VLOOKUP(tables_337010!C11,input_337010!A:H,8,FALSE))</f>
        <v>12144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input_337010!A$2</f>
        <v>337010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IFERROR(VLOOKUP(B12,input_337010!L:R,7,FALSE),VLOOKUP(tables_337010!C12,input_337010!A:H,8,FALSE))</f>
        <v>22776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input_337010!A$2</f>
        <v>337010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IFERROR(VLOOKUP(B13,input_337010!L:R,7,FALSE),VLOOKUP(tables_337010!C13,input_337010!A:H,8,FALSE))</f>
        <v>12144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input_337010!A$2</f>
        <v>337010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IFERROR(VLOOKUP(B14,input_337010!L:R,7,FALSE),VLOOKUP(tables_337010!C14,input_337010!A:H,8,FALSE))</f>
        <v>22776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input_337010!A$2</f>
        <v>337010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IFERROR(VLOOKUP(B15,input_337010!L:R,7,FALSE),VLOOKUP(tables_337010!C15,input_337010!A:H,8,FALSE))</f>
        <v>12144</v>
      </c>
      <c r="P15" s="46">
        <f t="shared" ref="P15:P78" ca="1" si="2">O15/SUM(O:O)</f>
        <v>4.4385964912280699E-3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input_337010!A$2</f>
        <v>337010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IFERROR(VLOOKUP(B16,input_337010!L:R,7,FALSE),VLOOKUP(tables_337010!C16,input_337010!A:H,8,FALSE))</f>
        <v>22776</v>
      </c>
      <c r="P16" s="46">
        <f t="shared" ca="1" si="2"/>
        <v>8.3245614035087727E-3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input_337010!A$2</f>
        <v>337010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IFERROR(VLOOKUP(B17,input_337010!L:R,7,FALSE),VLOOKUP(tables_337010!C17,input_337010!A:H,8,FALSE))</f>
        <v>12144</v>
      </c>
      <c r="P17" s="46">
        <f t="shared" ca="1" si="2"/>
        <v>4.4385964912280699E-3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input_337010!A$2</f>
        <v>337010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IFERROR(VLOOKUP(B18,input_337010!L:R,7,FALSE),VLOOKUP(tables_337010!C18,input_337010!A:H,8,FALSE))</f>
        <v>22776</v>
      </c>
      <c r="P18" s="46">
        <f t="shared" ca="1" si="2"/>
        <v>8.3245614035087727E-3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input_337010!A$2</f>
        <v>337010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IFERROR(VLOOKUP(B19,input_337010!L:R,7,FALSE),VLOOKUP(tables_337010!C19,input_337010!A:H,8,FALSE))</f>
        <v>12144</v>
      </c>
      <c r="P19" s="46">
        <f t="shared" ca="1" si="2"/>
        <v>4.4385964912280699E-3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input_337010!A$2</f>
        <v>337010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IFERROR(VLOOKUP(B20,input_337010!L:R,7,FALSE),VLOOKUP(tables_337010!C20,input_337010!A:H,8,FALSE))</f>
        <v>22776</v>
      </c>
      <c r="P20" s="46">
        <f t="shared" ca="1" si="2"/>
        <v>8.3245614035087727E-3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input_337010!A$2</f>
        <v>337010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IFERROR(VLOOKUP(B21,input_337010!L:R,7,FALSE),VLOOKUP(tables_337010!C21,input_337010!A:H,8,FALSE))</f>
        <v>12144</v>
      </c>
      <c r="P21" s="46">
        <f t="shared" ca="1" si="2"/>
        <v>4.4385964912280699E-3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input_337010!A$2</f>
        <v>337010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IFERROR(VLOOKUP(B22,input_337010!L:R,7,FALSE),VLOOKUP(tables_337010!C22,input_337010!A:H,8,FALSE))</f>
        <v>22776</v>
      </c>
      <c r="P22" s="46">
        <f t="shared" ca="1" si="2"/>
        <v>8.3245614035087727E-3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input_337010!A$2</f>
        <v>337010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IFERROR(VLOOKUP(B23,input_337010!L:R,7,FALSE),VLOOKUP(tables_337010!C23,input_337010!A:H,8,FALSE))</f>
        <v>12144</v>
      </c>
      <c r="P23" s="46">
        <f t="shared" ca="1" si="2"/>
        <v>4.4385964912280699E-3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input_337010!A$2</f>
        <v>337010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IFERROR(VLOOKUP(B24,input_337010!L:R,7,FALSE),VLOOKUP(tables_337010!C24,input_337010!A:H,8,FALSE))</f>
        <v>22776</v>
      </c>
      <c r="P24" s="46">
        <f t="shared" ca="1" si="2"/>
        <v>8.3245614035087727E-3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input_337010!A$2</f>
        <v>337010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IFERROR(VLOOKUP(B25,input_337010!L:R,7,FALSE),VLOOKUP(tables_337010!C25,input_337010!A:H,8,FALSE))</f>
        <v>12144</v>
      </c>
      <c r="P25" s="46">
        <f t="shared" ca="1" si="2"/>
        <v>4.4385964912280699E-3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input_337010!A$2</f>
        <v>337010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IFERROR(VLOOKUP(B26,input_337010!L:R,7,FALSE),VLOOKUP(tables_337010!C26,input_337010!A:H,8,FALSE))</f>
        <v>22776</v>
      </c>
      <c r="P26" s="46">
        <f t="shared" ca="1" si="2"/>
        <v>8.3245614035087727E-3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input_337010!A$2</f>
        <v>337010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IFERROR(VLOOKUP(B27,input_337010!L:R,7,FALSE),VLOOKUP(tables_337010!C27,input_337010!A:H,8,FALSE))</f>
        <v>12144</v>
      </c>
      <c r="P27" s="46">
        <f t="shared" ca="1" si="2"/>
        <v>4.4385964912280699E-3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input_337010!A$2</f>
        <v>337010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IFERROR(VLOOKUP(B28,input_337010!L:R,7,FALSE),VLOOKUP(tables_337010!C28,input_337010!A:H,8,FALSE))</f>
        <v>22776</v>
      </c>
      <c r="P28" s="46">
        <f t="shared" ca="1" si="2"/>
        <v>8.3245614035087727E-3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input_337010!A$2</f>
        <v>337010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IFERROR(VLOOKUP(B29,input_337010!L:R,7,FALSE),VLOOKUP(tables_337010!C29,input_337010!A:H,8,FALSE))</f>
        <v>12144</v>
      </c>
      <c r="P29" s="46">
        <f t="shared" ca="1" si="2"/>
        <v>4.4385964912280699E-3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input_337010!A$2</f>
        <v>337010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IFERROR(VLOOKUP(B30,input_337010!L:R,7,FALSE),VLOOKUP(tables_337010!C30,input_337010!A:H,8,FALSE))</f>
        <v>22776</v>
      </c>
      <c r="P30" s="46">
        <f t="shared" ca="1" si="2"/>
        <v>8.3245614035087727E-3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input_337010!A$2</f>
        <v>337010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IFERROR(VLOOKUP(B31,input_337010!L:R,7,FALSE),VLOOKUP(tables_337010!C31,input_337010!A:H,8,FALSE))</f>
        <v>12144</v>
      </c>
      <c r="P31" s="46">
        <f t="shared" ca="1" si="2"/>
        <v>4.4385964912280699E-3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input_337010!A$2</f>
        <v>337010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IFERROR(VLOOKUP(B32,input_337010!L:R,7,FALSE),VLOOKUP(tables_337010!C32,input_337010!A:H,8,FALSE))</f>
        <v>22776</v>
      </c>
      <c r="P32" s="46">
        <f t="shared" ca="1" si="2"/>
        <v>8.3245614035087727E-3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input_337010!A$2</f>
        <v>337010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IFERROR(VLOOKUP(B33,input_337010!L:R,7,FALSE),VLOOKUP(tables_337010!C33,input_337010!A:H,8,FALSE))</f>
        <v>12144</v>
      </c>
      <c r="P33" s="46">
        <f t="shared" ca="1" si="2"/>
        <v>4.4385964912280699E-3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input_337010!A$2</f>
        <v>337010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IFERROR(VLOOKUP(B34,input_337010!L:R,7,FALSE),VLOOKUP(tables_337010!C34,input_337010!A:H,8,FALSE))</f>
        <v>22776</v>
      </c>
      <c r="P34" s="46">
        <f t="shared" ca="1" si="2"/>
        <v>8.3245614035087727E-3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input_337010!A$2</f>
        <v>337010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IFERROR(VLOOKUP(B35,input_337010!L:R,7,FALSE),VLOOKUP(tables_337010!C35,input_337010!A:H,8,FALSE))</f>
        <v>12144</v>
      </c>
      <c r="P35" s="46">
        <f t="shared" ca="1" si="2"/>
        <v>4.4385964912280699E-3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input_337010!A$2</f>
        <v>337010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IFERROR(VLOOKUP(B36,input_337010!L:R,7,FALSE),VLOOKUP(tables_337010!C36,input_337010!A:H,8,FALSE))</f>
        <v>22776</v>
      </c>
      <c r="P36" s="46">
        <f t="shared" ca="1" si="2"/>
        <v>8.3245614035087727E-3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input_337010!A$2</f>
        <v>337010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IFERROR(VLOOKUP(B37,input_337010!L:R,7,FALSE),VLOOKUP(tables_337010!C37,input_337010!A:H,8,FALSE))</f>
        <v>12144</v>
      </c>
      <c r="P37" s="46">
        <f t="shared" ca="1" si="2"/>
        <v>4.4385964912280699E-3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input_337010!A$2</f>
        <v>337010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IFERROR(VLOOKUP(B38,input_337010!L:R,7,FALSE),VLOOKUP(tables_337010!C38,input_337010!A:H,8,FALSE))</f>
        <v>22776</v>
      </c>
      <c r="P38" s="46">
        <f t="shared" ca="1" si="2"/>
        <v>8.3245614035087727E-3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input_337010!A$2</f>
        <v>337010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IFERROR(VLOOKUP(B39,input_337010!L:R,7,FALSE),VLOOKUP(tables_337010!C39,input_337010!A:H,8,FALSE))</f>
        <v>12144</v>
      </c>
      <c r="P39" s="46">
        <f t="shared" ca="1" si="2"/>
        <v>4.4385964912280699E-3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input_337010!A$2</f>
        <v>337010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IFERROR(VLOOKUP(B40,input_337010!L:R,7,FALSE),VLOOKUP(tables_337010!C40,input_337010!A:H,8,FALSE))</f>
        <v>22776</v>
      </c>
      <c r="P40" s="46">
        <f t="shared" ca="1" si="2"/>
        <v>8.3245614035087727E-3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input_337010!A$2</f>
        <v>337010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IFERROR(VLOOKUP(B41,input_337010!L:R,7,FALSE),VLOOKUP(tables_337010!C41,input_337010!A:H,8,FALSE))</f>
        <v>12144</v>
      </c>
      <c r="P41" s="46">
        <f t="shared" ca="1" si="2"/>
        <v>4.4385964912280699E-3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input_337010!A$2</f>
        <v>337010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IFERROR(VLOOKUP(B42,input_337010!L:R,7,FALSE),VLOOKUP(tables_337010!C42,input_337010!A:H,8,FALSE))</f>
        <v>1140</v>
      </c>
      <c r="P42" s="46">
        <f t="shared" ca="1" si="2"/>
        <v>4.1666666666666669E-4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input_337010!A$2</f>
        <v>337010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IFERROR(VLOOKUP(B43,input_337010!L:R,7,FALSE),VLOOKUP(tables_337010!C43,input_337010!A:H,8,FALSE))</f>
        <v>1026</v>
      </c>
      <c r="P43" s="46">
        <f t="shared" ca="1" si="2"/>
        <v>3.7500000000000001E-4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input_337010!A$2</f>
        <v>337010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IFERROR(VLOOKUP(B44,input_337010!L:R,7,FALSE),VLOOKUP(tables_337010!C44,input_337010!A:H,8,FALSE))</f>
        <v>114</v>
      </c>
      <c r="P44" s="46">
        <f t="shared" ca="1" si="2"/>
        <v>4.1666666666666665E-5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input_337010!A$2</f>
        <v>337010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IFERROR(VLOOKUP(B45,input_337010!L:R,7,FALSE),VLOOKUP(tables_337010!C45,input_337010!A:H,8,FALSE))</f>
        <v>1140</v>
      </c>
      <c r="P45" s="46">
        <f t="shared" ca="1" si="2"/>
        <v>4.1666666666666669E-4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input_337010!A$2</f>
        <v>337010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IFERROR(VLOOKUP(B46,input_337010!L:R,7,FALSE),VLOOKUP(tables_337010!C46,input_337010!A:H,8,FALSE))</f>
        <v>1026</v>
      </c>
      <c r="P46" s="46">
        <f t="shared" ca="1" si="2"/>
        <v>3.7500000000000001E-4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input_337010!A$2</f>
        <v>337010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IFERROR(VLOOKUP(B47,input_337010!L:R,7,FALSE),VLOOKUP(tables_337010!C47,input_337010!A:H,8,FALSE))</f>
        <v>114</v>
      </c>
      <c r="P47" s="46">
        <f t="shared" ca="1" si="2"/>
        <v>4.1666666666666665E-5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input_337010!A$2</f>
        <v>337010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IFERROR(VLOOKUP(B48,input_337010!L:R,7,FALSE),VLOOKUP(tables_337010!C48,input_337010!A:H,8,FALSE))</f>
        <v>1140</v>
      </c>
      <c r="P48" s="46">
        <f t="shared" ca="1" si="2"/>
        <v>4.1666666666666669E-4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input_337010!A$2</f>
        <v>337010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IFERROR(VLOOKUP(B49,input_337010!L:R,7,FALSE),VLOOKUP(tables_337010!C49,input_337010!A:H,8,FALSE))</f>
        <v>1026</v>
      </c>
      <c r="P49" s="46">
        <f t="shared" ca="1" si="2"/>
        <v>3.7500000000000001E-4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input_337010!A$2</f>
        <v>337010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IFERROR(VLOOKUP(B50,input_337010!L:R,7,FALSE),VLOOKUP(tables_337010!C50,input_337010!A:H,8,FALSE))</f>
        <v>114</v>
      </c>
      <c r="P50" s="46">
        <f t="shared" ca="1" si="2"/>
        <v>4.1666666666666665E-5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input_337010!A$2</f>
        <v>337010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IFERROR(VLOOKUP(B51,input_337010!L:R,7,FALSE),VLOOKUP(tables_337010!C51,input_337010!A:H,8,FALSE))</f>
        <v>17460</v>
      </c>
      <c r="P51" s="46">
        <f t="shared" ca="1" si="2"/>
        <v>6.3815789473684213E-3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input_337010!A$2</f>
        <v>337010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IFERROR(VLOOKUP(B52,input_337010!L:R,7,FALSE),VLOOKUP(tables_337010!C52,input_337010!A:H,8,FALSE))</f>
        <v>15714</v>
      </c>
      <c r="P52" s="46">
        <f t="shared" ca="1" si="2"/>
        <v>5.7434210526315791E-3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input_337010!A$2</f>
        <v>337010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IFERROR(VLOOKUP(B53,input_337010!L:R,7,FALSE),VLOOKUP(tables_337010!C53,input_337010!A:H,8,FALSE))</f>
        <v>1746</v>
      </c>
      <c r="P53" s="46">
        <f t="shared" ca="1" si="2"/>
        <v>6.3815789473684211E-4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input_337010!A$2</f>
        <v>337010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IFERROR(VLOOKUP(B54,input_337010!L:R,7,FALSE),VLOOKUP(tables_337010!C54,input_337010!A:H,8,FALSE))</f>
        <v>17460</v>
      </c>
      <c r="P54" s="46">
        <f t="shared" ca="1" si="2"/>
        <v>6.3815789473684213E-3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input_337010!A$2</f>
        <v>337010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IFERROR(VLOOKUP(B55,input_337010!L:R,7,FALSE),VLOOKUP(tables_337010!C55,input_337010!A:H,8,FALSE))</f>
        <v>15714</v>
      </c>
      <c r="P55" s="46">
        <f t="shared" ca="1" si="2"/>
        <v>5.7434210526315791E-3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input_337010!A$2</f>
        <v>337010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IFERROR(VLOOKUP(B56,input_337010!L:R,7,FALSE),VLOOKUP(tables_337010!C56,input_337010!A:H,8,FALSE))</f>
        <v>1746</v>
      </c>
      <c r="P56" s="46">
        <f t="shared" ca="1" si="2"/>
        <v>6.3815789473684211E-4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input_337010!A$2</f>
        <v>337010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IFERROR(VLOOKUP(B57,input_337010!L:R,7,FALSE),VLOOKUP(tables_337010!C57,input_337010!A:H,8,FALSE))</f>
        <v>17460</v>
      </c>
      <c r="P57" s="46">
        <f t="shared" ca="1" si="2"/>
        <v>6.3815789473684213E-3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input_337010!A$2</f>
        <v>337010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IFERROR(VLOOKUP(B58,input_337010!L:R,7,FALSE),VLOOKUP(tables_337010!C58,input_337010!A:H,8,FALSE))</f>
        <v>15714</v>
      </c>
      <c r="P58" s="46">
        <f t="shared" ca="1" si="2"/>
        <v>5.7434210526315791E-3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input_337010!A$2</f>
        <v>337010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IFERROR(VLOOKUP(B59,input_337010!L:R,7,FALSE),VLOOKUP(tables_337010!C59,input_337010!A:H,8,FALSE))</f>
        <v>1746</v>
      </c>
      <c r="P59" s="46">
        <f t="shared" ca="1" si="2"/>
        <v>6.3815789473684211E-4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input_337010!A$2</f>
        <v>337010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IFERROR(VLOOKUP(B60,input_337010!L:R,7,FALSE),VLOOKUP(tables_337010!C60,input_337010!A:H,8,FALSE))</f>
        <v>17460</v>
      </c>
      <c r="P60" s="46">
        <f t="shared" ca="1" si="2"/>
        <v>6.3815789473684213E-3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input_337010!A$2</f>
        <v>337010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IFERROR(VLOOKUP(B61,input_337010!L:R,7,FALSE),VLOOKUP(tables_337010!C61,input_337010!A:H,8,FALSE))</f>
        <v>15714</v>
      </c>
      <c r="P61" s="46">
        <f t="shared" ca="1" si="2"/>
        <v>5.7434210526315791E-3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input_337010!A$2</f>
        <v>337010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IFERROR(VLOOKUP(B62,input_337010!L:R,7,FALSE),VLOOKUP(tables_337010!C62,input_337010!A:H,8,FALSE))</f>
        <v>1746</v>
      </c>
      <c r="P62" s="46">
        <f t="shared" ca="1" si="2"/>
        <v>6.3815789473684211E-4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input_337010!A$2</f>
        <v>337010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IFERROR(VLOOKUP(B63,input_337010!L:R,7,FALSE),VLOOKUP(tables_337010!C63,input_337010!A:H,8,FALSE))</f>
        <v>17460</v>
      </c>
      <c r="P63" s="46">
        <f t="shared" ca="1" si="2"/>
        <v>6.3815789473684213E-3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input_337010!A$2</f>
        <v>337010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IFERROR(VLOOKUP(B64,input_337010!L:R,7,FALSE),VLOOKUP(tables_337010!C64,input_337010!A:H,8,FALSE))</f>
        <v>15714</v>
      </c>
      <c r="P64" s="46">
        <f t="shared" ca="1" si="2"/>
        <v>5.7434210526315791E-3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input_337010!A$2</f>
        <v>337010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IFERROR(VLOOKUP(B65,input_337010!L:R,7,FALSE),VLOOKUP(tables_337010!C65,input_337010!A:H,8,FALSE))</f>
        <v>1746</v>
      </c>
      <c r="P65" s="46">
        <f t="shared" ca="1" si="2"/>
        <v>6.3815789473684211E-4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input_337010!A$2</f>
        <v>337010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IFERROR(VLOOKUP(B66,input_337010!L:R,7,FALSE),VLOOKUP(tables_337010!C66,input_337010!A:H,8,FALSE))</f>
        <v>17460</v>
      </c>
      <c r="P66" s="46">
        <f t="shared" ca="1" si="2"/>
        <v>6.3815789473684213E-3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input_337010!A$2</f>
        <v>337010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IFERROR(VLOOKUP(B67,input_337010!L:R,7,FALSE),VLOOKUP(tables_337010!C67,input_337010!A:H,8,FALSE))</f>
        <v>15714</v>
      </c>
      <c r="P67" s="46">
        <f t="shared" ca="1" si="2"/>
        <v>5.7434210526315791E-3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input_337010!A$2</f>
        <v>337010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IFERROR(VLOOKUP(B68,input_337010!L:R,7,FALSE),VLOOKUP(tables_337010!C68,input_337010!A:H,8,FALSE))</f>
        <v>1746</v>
      </c>
      <c r="P68" s="46">
        <f t="shared" ca="1" si="2"/>
        <v>6.3815789473684211E-4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input_337010!A$2</f>
        <v>337010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IFERROR(VLOOKUP(B69,input_337010!L:R,7,FALSE),VLOOKUP(tables_337010!C69,input_337010!A:H,8,FALSE))</f>
        <v>17460</v>
      </c>
      <c r="P69" s="46">
        <f t="shared" ca="1" si="2"/>
        <v>6.3815789473684213E-3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input_337010!A$2</f>
        <v>337010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IFERROR(VLOOKUP(B70,input_337010!L:R,7,FALSE),VLOOKUP(tables_337010!C70,input_337010!A:H,8,FALSE))</f>
        <v>15714</v>
      </c>
      <c r="P70" s="46">
        <f t="shared" ca="1" si="2"/>
        <v>5.7434210526315791E-3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input_337010!A$2</f>
        <v>337010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IFERROR(VLOOKUP(B71,input_337010!L:R,7,FALSE),VLOOKUP(tables_337010!C71,input_337010!A:H,8,FALSE))</f>
        <v>1746</v>
      </c>
      <c r="P71" s="46">
        <f t="shared" ca="1" si="2"/>
        <v>6.3815789473684211E-4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input_337010!A$2</f>
        <v>337010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IFERROR(VLOOKUP(B72,input_337010!L:R,7,FALSE),VLOOKUP(tables_337010!C72,input_337010!A:H,8,FALSE))</f>
        <v>17460</v>
      </c>
      <c r="P72" s="46">
        <f t="shared" ca="1" si="2"/>
        <v>6.3815789473684213E-3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input_337010!A$2</f>
        <v>337010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IFERROR(VLOOKUP(B73,input_337010!L:R,7,FALSE),VLOOKUP(tables_337010!C73,input_337010!A:H,8,FALSE))</f>
        <v>15714</v>
      </c>
      <c r="P73" s="46">
        <f t="shared" ca="1" si="2"/>
        <v>5.7434210526315791E-3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input_337010!A$2</f>
        <v>337010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IFERROR(VLOOKUP(B74,input_337010!L:R,7,FALSE),VLOOKUP(tables_337010!C74,input_337010!A:H,8,FALSE))</f>
        <v>1746</v>
      </c>
      <c r="P74" s="46">
        <f t="shared" ca="1" si="2"/>
        <v>6.3815789473684211E-4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input_337010!A$2</f>
        <v>337010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IFERROR(VLOOKUP(B75,input_337010!L:R,7,FALSE),VLOOKUP(tables_337010!C75,input_337010!A:H,8,FALSE))</f>
        <v>17460</v>
      </c>
      <c r="P75" s="46">
        <f t="shared" ca="1" si="2"/>
        <v>6.3815789473684213E-3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input_337010!A$2</f>
        <v>337010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IFERROR(VLOOKUP(B76,input_337010!L:R,7,FALSE),VLOOKUP(tables_337010!C76,input_337010!A:H,8,FALSE))</f>
        <v>15714</v>
      </c>
      <c r="P76" s="46">
        <f t="shared" ca="1" si="2"/>
        <v>5.7434210526315791E-3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input_337010!A$2</f>
        <v>337010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IFERROR(VLOOKUP(B77,input_337010!L:R,7,FALSE),VLOOKUP(tables_337010!C77,input_337010!A:H,8,FALSE))</f>
        <v>1746</v>
      </c>
      <c r="P77" s="46">
        <f t="shared" ca="1" si="2"/>
        <v>6.3815789473684211E-4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input_337010!A$2</f>
        <v>337010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IFERROR(VLOOKUP(B78,input_337010!L:R,7,FALSE),VLOOKUP(tables_337010!C78,input_337010!A:H,8,FALSE))</f>
        <v>17460</v>
      </c>
      <c r="P78" s="46">
        <f t="shared" ca="1" si="2"/>
        <v>6.3815789473684213E-3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input_337010!A$2</f>
        <v>337010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IFERROR(VLOOKUP(B79,input_337010!L:R,7,FALSE),VLOOKUP(tables_337010!C79,input_337010!A:H,8,FALSE))</f>
        <v>15714</v>
      </c>
      <c r="P79" s="46">
        <f t="shared" ref="P79:P142" ca="1" si="5">O79/SUM(O:O)</f>
        <v>5.7434210526315791E-3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input_337010!A$2</f>
        <v>337010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IFERROR(VLOOKUP(B80,input_337010!L:R,7,FALSE),VLOOKUP(tables_337010!C80,input_337010!A:H,8,FALSE))</f>
        <v>1746</v>
      </c>
      <c r="P80" s="46">
        <f t="shared" ca="1" si="5"/>
        <v>6.3815789473684211E-4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input_337010!A$2</f>
        <v>337010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IFERROR(VLOOKUP(B81,input_337010!L:R,7,FALSE),VLOOKUP(tables_337010!C81,input_337010!A:H,8,FALSE))</f>
        <v>17460</v>
      </c>
      <c r="P81" s="46">
        <f t="shared" ca="1" si="5"/>
        <v>6.3815789473684213E-3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input_337010!A$2</f>
        <v>337010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IFERROR(VLOOKUP(B82,input_337010!L:R,7,FALSE),VLOOKUP(tables_337010!C82,input_337010!A:H,8,FALSE))</f>
        <v>15714</v>
      </c>
      <c r="P82" s="46">
        <f t="shared" ca="1" si="5"/>
        <v>5.7434210526315791E-3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input_337010!A$2</f>
        <v>337010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IFERROR(VLOOKUP(B83,input_337010!L:R,7,FALSE),VLOOKUP(tables_337010!C83,input_337010!A:H,8,FALSE))</f>
        <v>1746</v>
      </c>
      <c r="P83" s="46">
        <f t="shared" ca="1" si="5"/>
        <v>6.3815789473684211E-4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input_337010!A$2</f>
        <v>337010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IFERROR(VLOOKUP(B84,input_337010!L:R,7,FALSE),VLOOKUP(tables_337010!C84,input_337010!A:H,8,FALSE))</f>
        <v>17460</v>
      </c>
      <c r="P84" s="46">
        <f t="shared" ca="1" si="5"/>
        <v>6.3815789473684213E-3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input_337010!A$2</f>
        <v>337010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IFERROR(VLOOKUP(B85,input_337010!L:R,7,FALSE),VLOOKUP(tables_337010!C85,input_337010!A:H,8,FALSE))</f>
        <v>15714</v>
      </c>
      <c r="P85" s="46">
        <f t="shared" ca="1" si="5"/>
        <v>5.7434210526315791E-3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input_337010!A$2</f>
        <v>337010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IFERROR(VLOOKUP(B86,input_337010!L:R,7,FALSE),VLOOKUP(tables_337010!C86,input_337010!A:H,8,FALSE))</f>
        <v>1746</v>
      </c>
      <c r="P86" s="46">
        <f t="shared" ca="1" si="5"/>
        <v>6.3815789473684211E-4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input_337010!A$2</f>
        <v>337010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IFERROR(VLOOKUP(B87,input_337010!L:R,7,FALSE),VLOOKUP(tables_337010!C87,input_337010!A:H,8,FALSE))</f>
        <v>17460</v>
      </c>
      <c r="P87" s="46">
        <f t="shared" ca="1" si="5"/>
        <v>6.3815789473684213E-3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input_337010!A$2</f>
        <v>337010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IFERROR(VLOOKUP(B88,input_337010!L:R,7,FALSE),VLOOKUP(tables_337010!C88,input_337010!A:H,8,FALSE))</f>
        <v>15714</v>
      </c>
      <c r="P88" s="46">
        <f t="shared" ca="1" si="5"/>
        <v>5.7434210526315791E-3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input_337010!A$2</f>
        <v>337010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IFERROR(VLOOKUP(B89,input_337010!L:R,7,FALSE),VLOOKUP(tables_337010!C89,input_337010!A:H,8,FALSE))</f>
        <v>1746</v>
      </c>
      <c r="P89" s="46">
        <f t="shared" ca="1" si="5"/>
        <v>6.3815789473684211E-4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input_337010!A$2</f>
        <v>337010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IFERROR(VLOOKUP(B90,input_337010!L:R,7,FALSE),VLOOKUP(tables_337010!C90,input_337010!A:H,8,FALSE))</f>
        <v>17460</v>
      </c>
      <c r="P90" s="46">
        <f t="shared" ca="1" si="5"/>
        <v>6.3815789473684213E-3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input_337010!A$2</f>
        <v>337010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IFERROR(VLOOKUP(B91,input_337010!L:R,7,FALSE),VLOOKUP(tables_337010!C91,input_337010!A:H,8,FALSE))</f>
        <v>15714</v>
      </c>
      <c r="P91" s="46">
        <f t="shared" ca="1" si="5"/>
        <v>5.7434210526315791E-3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input_337010!A$2</f>
        <v>337010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IFERROR(VLOOKUP(B92,input_337010!L:R,7,FALSE),VLOOKUP(tables_337010!C92,input_337010!A:H,8,FALSE))</f>
        <v>1746</v>
      </c>
      <c r="P92" s="46">
        <f t="shared" ca="1" si="5"/>
        <v>6.3815789473684211E-4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input_337010!A$2</f>
        <v>337010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IFERROR(VLOOKUP(B93,input_337010!L:R,7,FALSE),VLOOKUP(tables_337010!C93,input_337010!A:H,8,FALSE))</f>
        <v>17460</v>
      </c>
      <c r="P93" s="46">
        <f t="shared" ca="1" si="5"/>
        <v>6.3815789473684213E-3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input_337010!A$2</f>
        <v>337010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IFERROR(VLOOKUP(B94,input_337010!L:R,7,FALSE),VLOOKUP(tables_337010!C94,input_337010!A:H,8,FALSE))</f>
        <v>15714</v>
      </c>
      <c r="P94" s="46">
        <f t="shared" ca="1" si="5"/>
        <v>5.7434210526315791E-3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input_337010!A$2</f>
        <v>337010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IFERROR(VLOOKUP(B95,input_337010!L:R,7,FALSE),VLOOKUP(tables_337010!C95,input_337010!A:H,8,FALSE))</f>
        <v>1746</v>
      </c>
      <c r="P95" s="46">
        <f t="shared" ca="1" si="5"/>
        <v>6.3815789473684211E-4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input_337010!A$2</f>
        <v>337010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IFERROR(VLOOKUP(B96,input_337010!L:R,7,FALSE),VLOOKUP(tables_337010!C96,input_337010!A:H,8,FALSE))</f>
        <v>17460</v>
      </c>
      <c r="P96" s="46">
        <f t="shared" ca="1" si="5"/>
        <v>6.3815789473684213E-3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input_337010!A$2</f>
        <v>337010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IFERROR(VLOOKUP(B97,input_337010!L:R,7,FALSE),VLOOKUP(tables_337010!C97,input_337010!A:H,8,FALSE))</f>
        <v>15714</v>
      </c>
      <c r="P97" s="46">
        <f t="shared" ca="1" si="5"/>
        <v>5.7434210526315791E-3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input_337010!A$2</f>
        <v>337010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IFERROR(VLOOKUP(B98,input_337010!L:R,7,FALSE),VLOOKUP(tables_337010!C98,input_337010!A:H,8,FALSE))</f>
        <v>1746</v>
      </c>
      <c r="P98" s="46">
        <f t="shared" ca="1" si="5"/>
        <v>6.3815789473684211E-4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input_337010!A$2</f>
        <v>337010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IFERROR(VLOOKUP(B99,input_337010!L:R,7,FALSE),VLOOKUP(tables_337010!C99,input_337010!A:H,8,FALSE))</f>
        <v>17460</v>
      </c>
      <c r="P99" s="46">
        <f t="shared" ca="1" si="5"/>
        <v>6.3815789473684213E-3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input_337010!A$2</f>
        <v>337010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IFERROR(VLOOKUP(B100,input_337010!L:R,7,FALSE),VLOOKUP(tables_337010!C100,input_337010!A:H,8,FALSE))</f>
        <v>15714</v>
      </c>
      <c r="P100" s="46">
        <f t="shared" ca="1" si="5"/>
        <v>5.7434210526315791E-3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input_337010!A$2</f>
        <v>337010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IFERROR(VLOOKUP(B101,input_337010!L:R,7,FALSE),VLOOKUP(tables_337010!C101,input_337010!A:H,8,FALSE))</f>
        <v>1746</v>
      </c>
      <c r="P101" s="46">
        <f t="shared" ca="1" si="5"/>
        <v>6.3815789473684211E-4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input_337010!A$2</f>
        <v>337010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IFERROR(VLOOKUP(B102,input_337010!L:R,7,FALSE),VLOOKUP(tables_337010!C102,input_337010!A:H,8,FALSE))</f>
        <v>17460</v>
      </c>
      <c r="P102" s="46">
        <f t="shared" ca="1" si="5"/>
        <v>6.3815789473684213E-3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input_337010!A$2</f>
        <v>337010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IFERROR(VLOOKUP(B103,input_337010!L:R,7,FALSE),VLOOKUP(tables_337010!C103,input_337010!A:H,8,FALSE))</f>
        <v>15714</v>
      </c>
      <c r="P103" s="46">
        <f t="shared" ca="1" si="5"/>
        <v>5.7434210526315791E-3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input_337010!A$2</f>
        <v>337010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IFERROR(VLOOKUP(B104,input_337010!L:R,7,FALSE),VLOOKUP(tables_337010!C104,input_337010!A:H,8,FALSE))</f>
        <v>1746</v>
      </c>
      <c r="P104" s="46">
        <f t="shared" ca="1" si="5"/>
        <v>6.3815789473684211E-4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input_337010!A$2</f>
        <v>337010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IFERROR(VLOOKUP(B105,input_337010!L:R,7,FALSE),VLOOKUP(tables_337010!C105,input_337010!A:H,8,FALSE))</f>
        <v>17460</v>
      </c>
      <c r="P105" s="46">
        <f t="shared" ca="1" si="5"/>
        <v>6.3815789473684213E-3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input_337010!A$2</f>
        <v>337010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IFERROR(VLOOKUP(B106,input_337010!L:R,7,FALSE),VLOOKUP(tables_337010!C106,input_337010!A:H,8,FALSE))</f>
        <v>15714</v>
      </c>
      <c r="P106" s="46">
        <f t="shared" ca="1" si="5"/>
        <v>5.7434210526315791E-3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input_337010!A$2</f>
        <v>337010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IFERROR(VLOOKUP(B107,input_337010!L:R,7,FALSE),VLOOKUP(tables_337010!C107,input_337010!A:H,8,FALSE))</f>
        <v>1746</v>
      </c>
      <c r="P107" s="46">
        <f t="shared" ca="1" si="5"/>
        <v>6.3815789473684211E-4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input_337010!A$2</f>
        <v>337010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IFERROR(VLOOKUP(B108,input_337010!L:R,7,FALSE),VLOOKUP(tables_337010!C108,input_337010!A:H,8,FALSE))</f>
        <v>17460</v>
      </c>
      <c r="P108" s="46">
        <f t="shared" ca="1" si="5"/>
        <v>6.3815789473684213E-3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input_337010!A$2</f>
        <v>337010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IFERROR(VLOOKUP(B109,input_337010!L:R,7,FALSE),VLOOKUP(tables_337010!C109,input_337010!A:H,8,FALSE))</f>
        <v>15714</v>
      </c>
      <c r="P109" s="46">
        <f t="shared" ca="1" si="5"/>
        <v>5.7434210526315791E-3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input_337010!A$2</f>
        <v>337010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IFERROR(VLOOKUP(B110,input_337010!L:R,7,FALSE),VLOOKUP(tables_337010!C110,input_337010!A:H,8,FALSE))</f>
        <v>1746</v>
      </c>
      <c r="P110" s="46">
        <f t="shared" ca="1" si="5"/>
        <v>6.3815789473684211E-4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input_337010!A$2</f>
        <v>337010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IFERROR(VLOOKUP(B111,input_337010!L:R,7,FALSE),VLOOKUP(tables_337010!C111,input_337010!A:H,8,FALSE))</f>
        <v>1140</v>
      </c>
      <c r="P111" s="46">
        <f t="shared" ca="1" si="5"/>
        <v>4.1666666666666669E-4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input_337010!A$2</f>
        <v>337010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IFERROR(VLOOKUP(B112,input_337010!L:R,7,FALSE),VLOOKUP(tables_337010!C112,input_337010!A:H,8,FALSE))</f>
        <v>1026</v>
      </c>
      <c r="P112" s="46">
        <f t="shared" ca="1" si="5"/>
        <v>3.7500000000000001E-4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input_337010!A$2</f>
        <v>337010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IFERROR(VLOOKUP(B113,input_337010!L:R,7,FALSE),VLOOKUP(tables_337010!C113,input_337010!A:H,8,FALSE))</f>
        <v>114</v>
      </c>
      <c r="P113" s="46">
        <f t="shared" ca="1" si="5"/>
        <v>4.1666666666666665E-5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input_337010!A$2</f>
        <v>337010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IFERROR(VLOOKUP(B114,input_337010!L:R,7,FALSE),VLOOKUP(tables_337010!C114,input_337010!A:H,8,FALSE))</f>
        <v>17460</v>
      </c>
      <c r="P114" s="46">
        <f t="shared" ca="1" si="5"/>
        <v>6.3815789473684213E-3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input_337010!A$2</f>
        <v>337010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IFERROR(VLOOKUP(B115,input_337010!L:R,7,FALSE),VLOOKUP(tables_337010!C115,input_337010!A:H,8,FALSE))</f>
        <v>15714</v>
      </c>
      <c r="P115" s="46">
        <f t="shared" ca="1" si="5"/>
        <v>5.7434210526315791E-3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input_337010!A$2</f>
        <v>337010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IFERROR(VLOOKUP(B116,input_337010!L:R,7,FALSE),VLOOKUP(tables_337010!C116,input_337010!A:H,8,FALSE))</f>
        <v>1746</v>
      </c>
      <c r="P116" s="46">
        <f t="shared" ca="1" si="5"/>
        <v>6.3815789473684211E-4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input_337010!A$2</f>
        <v>337010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IFERROR(VLOOKUP(B117,input_337010!L:R,7,FALSE),VLOOKUP(tables_337010!C117,input_337010!A:H,8,FALSE))</f>
        <v>17460</v>
      </c>
      <c r="P117" s="46">
        <f t="shared" ca="1" si="5"/>
        <v>6.3815789473684213E-3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input_337010!A$2</f>
        <v>337010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IFERROR(VLOOKUP(B118,input_337010!L:R,7,FALSE),VLOOKUP(tables_337010!C118,input_337010!A:H,8,FALSE))</f>
        <v>15714</v>
      </c>
      <c r="P118" s="46">
        <f t="shared" ca="1" si="5"/>
        <v>5.7434210526315791E-3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input_337010!A$2</f>
        <v>337010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IFERROR(VLOOKUP(B119,input_337010!L:R,7,FALSE),VLOOKUP(tables_337010!C119,input_337010!A:H,8,FALSE))</f>
        <v>1746</v>
      </c>
      <c r="P119" s="46">
        <f t="shared" ca="1" si="5"/>
        <v>6.3815789473684211E-4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input_337010!A$2</f>
        <v>337010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IFERROR(VLOOKUP(B120,input_337010!L:R,7,FALSE),VLOOKUP(tables_337010!C120,input_337010!A:H,8,FALSE))</f>
        <v>17460</v>
      </c>
      <c r="P120" s="46">
        <f t="shared" ca="1" si="5"/>
        <v>6.3815789473684213E-3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input_337010!A$2</f>
        <v>337010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IFERROR(VLOOKUP(B121,input_337010!L:R,7,FALSE),VLOOKUP(tables_337010!C121,input_337010!A:H,8,FALSE))</f>
        <v>15714</v>
      </c>
      <c r="P121" s="46">
        <f t="shared" ca="1" si="5"/>
        <v>5.7434210526315791E-3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input_337010!A$2</f>
        <v>337010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IFERROR(VLOOKUP(B122,input_337010!L:R,7,FALSE),VLOOKUP(tables_337010!C122,input_337010!A:H,8,FALSE))</f>
        <v>1746</v>
      </c>
      <c r="P122" s="46">
        <f t="shared" ca="1" si="5"/>
        <v>6.3815789473684211E-4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input_337010!A$2</f>
        <v>337010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IFERROR(VLOOKUP(B123,input_337010!L:R,7,FALSE),VLOOKUP(tables_337010!C123,input_337010!A:H,8,FALSE))</f>
        <v>17460</v>
      </c>
      <c r="P123" s="46">
        <f t="shared" ca="1" si="5"/>
        <v>6.3815789473684213E-3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input_337010!A$2</f>
        <v>337010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IFERROR(VLOOKUP(B124,input_337010!L:R,7,FALSE),VLOOKUP(tables_337010!C124,input_337010!A:H,8,FALSE))</f>
        <v>15714</v>
      </c>
      <c r="P124" s="46">
        <f t="shared" ca="1" si="5"/>
        <v>5.7434210526315791E-3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input_337010!A$2</f>
        <v>337010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IFERROR(VLOOKUP(B125,input_337010!L:R,7,FALSE),VLOOKUP(tables_337010!C125,input_337010!A:H,8,FALSE))</f>
        <v>1746</v>
      </c>
      <c r="P125" s="46">
        <f t="shared" ca="1" si="5"/>
        <v>6.3815789473684211E-4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input_337010!A$2</f>
        <v>337010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IFERROR(VLOOKUP(B126,input_337010!L:R,7,FALSE),VLOOKUP(tables_337010!C126,input_337010!A:H,8,FALSE))</f>
        <v>17460</v>
      </c>
      <c r="P126" s="46">
        <f t="shared" ca="1" si="5"/>
        <v>6.3815789473684213E-3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input_337010!A$2</f>
        <v>337010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IFERROR(VLOOKUP(B127,input_337010!L:R,7,FALSE),VLOOKUP(tables_337010!C127,input_337010!A:H,8,FALSE))</f>
        <v>15714</v>
      </c>
      <c r="P127" s="46">
        <f t="shared" ca="1" si="5"/>
        <v>5.7434210526315791E-3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input_337010!A$2</f>
        <v>337010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IFERROR(VLOOKUP(B128,input_337010!L:R,7,FALSE),VLOOKUP(tables_337010!C128,input_337010!A:H,8,FALSE))</f>
        <v>1746</v>
      </c>
      <c r="P128" s="46">
        <f t="shared" ca="1" si="5"/>
        <v>6.3815789473684211E-4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input_337010!A$2</f>
        <v>337010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IFERROR(VLOOKUP(B129,input_337010!L:R,7,FALSE),VLOOKUP(tables_337010!C129,input_337010!A:H,8,FALSE))</f>
        <v>17460</v>
      </c>
      <c r="P129" s="46">
        <f t="shared" ca="1" si="5"/>
        <v>6.3815789473684213E-3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input_337010!A$2</f>
        <v>337010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IFERROR(VLOOKUP(B130,input_337010!L:R,7,FALSE),VLOOKUP(tables_337010!C130,input_337010!A:H,8,FALSE))</f>
        <v>15714</v>
      </c>
      <c r="P130" s="46">
        <f t="shared" ca="1" si="5"/>
        <v>5.7434210526315791E-3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input_337010!A$2</f>
        <v>337010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IFERROR(VLOOKUP(B131,input_337010!L:R,7,FALSE),VLOOKUP(tables_337010!C131,input_337010!A:H,8,FALSE))</f>
        <v>1746</v>
      </c>
      <c r="P131" s="46">
        <f t="shared" ca="1" si="5"/>
        <v>6.3815789473684211E-4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input_337010!A$2</f>
        <v>337010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IFERROR(VLOOKUP(B132,input_337010!L:R,7,FALSE),VLOOKUP(tables_337010!C132,input_337010!A:H,8,FALSE))</f>
        <v>17460</v>
      </c>
      <c r="P132" s="46">
        <f t="shared" ca="1" si="5"/>
        <v>6.3815789473684213E-3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input_337010!A$2</f>
        <v>337010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IFERROR(VLOOKUP(B133,input_337010!L:R,7,FALSE),VLOOKUP(tables_337010!C133,input_337010!A:H,8,FALSE))</f>
        <v>15714</v>
      </c>
      <c r="P133" s="46">
        <f t="shared" ca="1" si="5"/>
        <v>5.7434210526315791E-3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input_337010!A$2</f>
        <v>337010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IFERROR(VLOOKUP(B134,input_337010!L:R,7,FALSE),VLOOKUP(tables_337010!C134,input_337010!A:H,8,FALSE))</f>
        <v>1746</v>
      </c>
      <c r="P134" s="46">
        <f t="shared" ca="1" si="5"/>
        <v>6.3815789473684211E-4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input_337010!A$2</f>
        <v>337010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IFERROR(VLOOKUP(B135,input_337010!L:R,7,FALSE),VLOOKUP(tables_337010!C135,input_337010!A:H,8,FALSE))</f>
        <v>17460</v>
      </c>
      <c r="P135" s="46">
        <f t="shared" ca="1" si="5"/>
        <v>6.3815789473684213E-3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input_337010!A$2</f>
        <v>337010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IFERROR(VLOOKUP(B136,input_337010!L:R,7,FALSE),VLOOKUP(tables_337010!C136,input_337010!A:H,8,FALSE))</f>
        <v>15714</v>
      </c>
      <c r="P136" s="46">
        <f t="shared" ca="1" si="5"/>
        <v>5.7434210526315791E-3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input_337010!A$2</f>
        <v>337010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IFERROR(VLOOKUP(B137,input_337010!L:R,7,FALSE),VLOOKUP(tables_337010!C137,input_337010!A:H,8,FALSE))</f>
        <v>1746</v>
      </c>
      <c r="P137" s="46">
        <f t="shared" ca="1" si="5"/>
        <v>6.3815789473684211E-4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input_337010!A$2</f>
        <v>337010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IFERROR(VLOOKUP(B138,input_337010!L:R,7,FALSE),VLOOKUP(tables_337010!C138,input_337010!A:H,8,FALSE))</f>
        <v>2166</v>
      </c>
      <c r="P138" s="46">
        <f t="shared" ca="1" si="5"/>
        <v>7.9166666666666665E-4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input_337010!A$2</f>
        <v>337010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IFERROR(VLOOKUP(B139,input_337010!L:R,7,FALSE),VLOOKUP(tables_337010!C139,input_337010!A:H,8,FALSE))</f>
        <v>114</v>
      </c>
      <c r="P139" s="46">
        <f t="shared" ca="1" si="5"/>
        <v>4.1666666666666665E-5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input_337010!A$2</f>
        <v>337010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IFERROR(VLOOKUP(B140,input_337010!L:R,7,FALSE),VLOOKUP(tables_337010!C140,input_337010!A:H,8,FALSE))</f>
        <v>2166</v>
      </c>
      <c r="P140" s="46">
        <f t="shared" ca="1" si="5"/>
        <v>7.9166666666666665E-4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input_337010!A$2</f>
        <v>337010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IFERROR(VLOOKUP(B141,input_337010!L:R,7,FALSE),VLOOKUP(tables_337010!C141,input_337010!A:H,8,FALSE))</f>
        <v>114</v>
      </c>
      <c r="P141" s="46">
        <f t="shared" ca="1" si="5"/>
        <v>4.1666666666666665E-5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input_337010!A$2</f>
        <v>337010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IFERROR(VLOOKUP(B142,input_337010!L:R,7,FALSE),VLOOKUP(tables_337010!C142,input_337010!A:H,8,FALSE))</f>
        <v>2166</v>
      </c>
      <c r="P142" s="46">
        <f t="shared" ca="1" si="5"/>
        <v>7.9166666666666665E-4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input_337010!A$2</f>
        <v>337010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IFERROR(VLOOKUP(B143,input_337010!L:R,7,FALSE),VLOOKUP(tables_337010!C143,input_337010!A:H,8,FALSE))</f>
        <v>114</v>
      </c>
      <c r="P143" s="46">
        <f t="shared" ref="P143:P206" ca="1" si="8">O143/SUM(O:O)</f>
        <v>4.1666666666666665E-5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input_337010!A$2</f>
        <v>337010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IFERROR(VLOOKUP(B144,input_337010!L:R,7,FALSE),VLOOKUP(tables_337010!C144,input_337010!A:H,8,FALSE))</f>
        <v>2166</v>
      </c>
      <c r="P144" s="46">
        <f t="shared" ca="1" si="8"/>
        <v>7.9166666666666665E-4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input_337010!A$2</f>
        <v>337010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IFERROR(VLOOKUP(B145,input_337010!L:R,7,FALSE),VLOOKUP(tables_337010!C145,input_337010!A:H,8,FALSE))</f>
        <v>114</v>
      </c>
      <c r="P145" s="46">
        <f t="shared" ca="1" si="8"/>
        <v>4.1666666666666665E-5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input_337010!A$2</f>
        <v>337010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IFERROR(VLOOKUP(B146,input_337010!L:R,7,FALSE),VLOOKUP(tables_337010!C146,input_337010!A:H,8,FALSE))</f>
        <v>17460</v>
      </c>
      <c r="P146" s="46">
        <f t="shared" ca="1" si="8"/>
        <v>6.3815789473684213E-3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input_337010!A$2</f>
        <v>337010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IFERROR(VLOOKUP(B147,input_337010!L:R,7,FALSE),VLOOKUP(tables_337010!C147,input_337010!A:H,8,FALSE))</f>
        <v>15714</v>
      </c>
      <c r="P147" s="46">
        <f t="shared" ca="1" si="8"/>
        <v>5.7434210526315791E-3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input_337010!A$2</f>
        <v>337010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IFERROR(VLOOKUP(B148,input_337010!L:R,7,FALSE),VLOOKUP(tables_337010!C148,input_337010!A:H,8,FALSE))</f>
        <v>1746</v>
      </c>
      <c r="P148" s="46">
        <f t="shared" ca="1" si="8"/>
        <v>6.3815789473684211E-4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input_337010!A$2</f>
        <v>337010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IFERROR(VLOOKUP(B149,input_337010!L:R,7,FALSE),VLOOKUP(tables_337010!C149,input_337010!A:H,8,FALSE))</f>
        <v>2166</v>
      </c>
      <c r="P149" s="46">
        <f t="shared" ca="1" si="8"/>
        <v>7.9166666666666665E-4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input_337010!A$2</f>
        <v>337010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IFERROR(VLOOKUP(B150,input_337010!L:R,7,FALSE),VLOOKUP(tables_337010!C150,input_337010!A:H,8,FALSE))</f>
        <v>114</v>
      </c>
      <c r="P150" s="46">
        <f t="shared" ca="1" si="8"/>
        <v>4.1666666666666665E-5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input_337010!A$2</f>
        <v>337010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IFERROR(VLOOKUP(B151,input_337010!L:R,7,FALSE),VLOOKUP(tables_337010!C151,input_337010!A:H,8,FALSE))</f>
        <v>2166</v>
      </c>
      <c r="P151" s="46">
        <f t="shared" ca="1" si="8"/>
        <v>7.9166666666666665E-4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input_337010!A$2</f>
        <v>337010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IFERROR(VLOOKUP(B152,input_337010!L:R,7,FALSE),VLOOKUP(tables_337010!C152,input_337010!A:H,8,FALSE))</f>
        <v>114</v>
      </c>
      <c r="P152" s="46">
        <f t="shared" ca="1" si="8"/>
        <v>4.1666666666666665E-5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input_337010!A$2</f>
        <v>337010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IFERROR(VLOOKUP(B153,input_337010!L:R,7,FALSE),VLOOKUP(tables_337010!C153,input_337010!A:H,8,FALSE))</f>
        <v>17460</v>
      </c>
      <c r="P153" s="46">
        <f t="shared" ca="1" si="8"/>
        <v>6.3815789473684213E-3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input_337010!A$2</f>
        <v>337010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IFERROR(VLOOKUP(B154,input_337010!L:R,7,FALSE),VLOOKUP(tables_337010!C154,input_337010!A:H,8,FALSE))</f>
        <v>15714</v>
      </c>
      <c r="P154" s="46">
        <f t="shared" ca="1" si="8"/>
        <v>5.7434210526315791E-3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input_337010!A$2</f>
        <v>337010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IFERROR(VLOOKUP(B155,input_337010!L:R,7,FALSE),VLOOKUP(tables_337010!C155,input_337010!A:H,8,FALSE))</f>
        <v>1746</v>
      </c>
      <c r="P155" s="46">
        <f t="shared" ca="1" si="8"/>
        <v>6.3815789473684211E-4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input_337010!A$2</f>
        <v>337010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IFERROR(VLOOKUP(B156,input_337010!L:R,7,FALSE),VLOOKUP(tables_337010!C156,input_337010!A:H,8,FALSE))</f>
        <v>2166</v>
      </c>
      <c r="P156" s="46">
        <f t="shared" ca="1" si="8"/>
        <v>7.9166666666666665E-4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input_337010!A$2</f>
        <v>337010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IFERROR(VLOOKUP(B157,input_337010!L:R,7,FALSE),VLOOKUP(tables_337010!C157,input_337010!A:H,8,FALSE))</f>
        <v>114</v>
      </c>
      <c r="P157" s="46">
        <f t="shared" ca="1" si="8"/>
        <v>4.1666666666666665E-5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input_337010!A$2</f>
        <v>337010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IFERROR(VLOOKUP(B158,input_337010!L:R,7,FALSE),VLOOKUP(tables_337010!C158,input_337010!A:H,8,FALSE))</f>
        <v>17460</v>
      </c>
      <c r="P158" s="46">
        <f t="shared" ca="1" si="8"/>
        <v>6.3815789473684213E-3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input_337010!A$2</f>
        <v>337010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IFERROR(VLOOKUP(B159,input_337010!L:R,7,FALSE),VLOOKUP(tables_337010!C159,input_337010!A:H,8,FALSE))</f>
        <v>15714</v>
      </c>
      <c r="P159" s="46">
        <f t="shared" ca="1" si="8"/>
        <v>5.7434210526315791E-3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input_337010!A$2</f>
        <v>337010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IFERROR(VLOOKUP(B160,input_337010!L:R,7,FALSE),VLOOKUP(tables_337010!C160,input_337010!A:H,8,FALSE))</f>
        <v>1746</v>
      </c>
      <c r="P160" s="46">
        <f t="shared" ca="1" si="8"/>
        <v>6.3815789473684211E-4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input_337010!A$2</f>
        <v>337010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IFERROR(VLOOKUP(B161,input_337010!L:R,7,FALSE),VLOOKUP(tables_337010!C161,input_337010!A:H,8,FALSE))</f>
        <v>17460</v>
      </c>
      <c r="P161" s="46">
        <f t="shared" ca="1" si="8"/>
        <v>6.3815789473684213E-3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input_337010!A$2</f>
        <v>337010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IFERROR(VLOOKUP(B162,input_337010!L:R,7,FALSE),VLOOKUP(tables_337010!C162,input_337010!A:H,8,FALSE))</f>
        <v>15714</v>
      </c>
      <c r="P162" s="46">
        <f t="shared" ca="1" si="8"/>
        <v>5.7434210526315791E-3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input_337010!A$2</f>
        <v>337010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IFERROR(VLOOKUP(B163,input_337010!L:R,7,FALSE),VLOOKUP(tables_337010!C163,input_337010!A:H,8,FALSE))</f>
        <v>1746</v>
      </c>
      <c r="P163" s="46">
        <f t="shared" ca="1" si="8"/>
        <v>6.3815789473684211E-4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input_337010!A$2</f>
        <v>337010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IFERROR(VLOOKUP(B164,input_337010!L:R,7,FALSE),VLOOKUP(tables_337010!C164,input_337010!A:H,8,FALSE))</f>
        <v>2166</v>
      </c>
      <c r="P164" s="46">
        <f t="shared" ca="1" si="8"/>
        <v>7.9166666666666665E-4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input_337010!A$2</f>
        <v>337010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IFERROR(VLOOKUP(B165,input_337010!L:R,7,FALSE),VLOOKUP(tables_337010!C165,input_337010!A:H,8,FALSE))</f>
        <v>114</v>
      </c>
      <c r="P165" s="46">
        <f t="shared" ca="1" si="8"/>
        <v>4.1666666666666665E-5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input_337010!A$2</f>
        <v>337010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IFERROR(VLOOKUP(B166,input_337010!L:R,7,FALSE),VLOOKUP(tables_337010!C166,input_337010!A:H,8,FALSE))</f>
        <v>17460</v>
      </c>
      <c r="P166" s="46">
        <f t="shared" ca="1" si="8"/>
        <v>6.3815789473684213E-3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input_337010!A$2</f>
        <v>337010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IFERROR(VLOOKUP(B167,input_337010!L:R,7,FALSE),VLOOKUP(tables_337010!C167,input_337010!A:H,8,FALSE))</f>
        <v>15714</v>
      </c>
      <c r="P167" s="46">
        <f t="shared" ca="1" si="8"/>
        <v>5.7434210526315791E-3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input_337010!A$2</f>
        <v>337010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IFERROR(VLOOKUP(B168,input_337010!L:R,7,FALSE),VLOOKUP(tables_337010!C168,input_337010!A:H,8,FALSE))</f>
        <v>1746</v>
      </c>
      <c r="P168" s="46">
        <f t="shared" ca="1" si="8"/>
        <v>6.3815789473684211E-4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input_337010!A$2</f>
        <v>337010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IFERROR(VLOOKUP(B169,input_337010!L:R,7,FALSE),VLOOKUP(tables_337010!C169,input_337010!A:H,8,FALSE))</f>
        <v>2166</v>
      </c>
      <c r="P169" s="46">
        <f t="shared" ca="1" si="8"/>
        <v>7.9166666666666665E-4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input_337010!A$2</f>
        <v>337010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IFERROR(VLOOKUP(B170,input_337010!L:R,7,FALSE),VLOOKUP(tables_337010!C170,input_337010!A:H,8,FALSE))</f>
        <v>114</v>
      </c>
      <c r="P170" s="46">
        <f t="shared" ca="1" si="8"/>
        <v>4.1666666666666665E-5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input_337010!A$2</f>
        <v>337010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IFERROR(VLOOKUP(B171,input_337010!L:R,7,FALSE),VLOOKUP(tables_337010!C171,input_337010!A:H,8,FALSE))</f>
        <v>17460</v>
      </c>
      <c r="P171" s="46">
        <f t="shared" ca="1" si="8"/>
        <v>6.3815789473684213E-3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input_337010!A$2</f>
        <v>337010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IFERROR(VLOOKUP(B172,input_337010!L:R,7,FALSE),VLOOKUP(tables_337010!C172,input_337010!A:H,8,FALSE))</f>
        <v>15714</v>
      </c>
      <c r="P172" s="46">
        <f t="shared" ca="1" si="8"/>
        <v>5.7434210526315791E-3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input_337010!A$2</f>
        <v>337010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IFERROR(VLOOKUP(B173,input_337010!L:R,7,FALSE),VLOOKUP(tables_337010!C173,input_337010!A:H,8,FALSE))</f>
        <v>1746</v>
      </c>
      <c r="P173" s="46">
        <f t="shared" ca="1" si="8"/>
        <v>6.3815789473684211E-4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input_337010!A$2</f>
        <v>337010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IFERROR(VLOOKUP(B174,input_337010!L:R,7,FALSE),VLOOKUP(tables_337010!C174,input_337010!A:H,8,FALSE))</f>
        <v>2166</v>
      </c>
      <c r="P174" s="46">
        <f t="shared" ca="1" si="8"/>
        <v>7.9166666666666665E-4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input_337010!A$2</f>
        <v>337010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IFERROR(VLOOKUP(B175,input_337010!L:R,7,FALSE),VLOOKUP(tables_337010!C175,input_337010!A:H,8,FALSE))</f>
        <v>114</v>
      </c>
      <c r="P175" s="46">
        <f t="shared" ca="1" si="8"/>
        <v>4.1666666666666665E-5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input_337010!A$2</f>
        <v>337010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IFERROR(VLOOKUP(B176,input_337010!L:R,7,FALSE),VLOOKUP(tables_337010!C176,input_337010!A:H,8,FALSE))</f>
        <v>2166</v>
      </c>
      <c r="P176" s="46">
        <f t="shared" ca="1" si="8"/>
        <v>7.9166666666666665E-4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input_337010!A$2</f>
        <v>337010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IFERROR(VLOOKUP(B177,input_337010!L:R,7,FALSE),VLOOKUP(tables_337010!C177,input_337010!A:H,8,FALSE))</f>
        <v>114</v>
      </c>
      <c r="P177" s="46">
        <f t="shared" ca="1" si="8"/>
        <v>4.1666666666666665E-5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input_337010!A$2</f>
        <v>337010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IFERROR(VLOOKUP(B178,input_337010!L:R,7,FALSE),VLOOKUP(tables_337010!C178,input_337010!A:H,8,FALSE))</f>
        <v>17460</v>
      </c>
      <c r="P178" s="46">
        <f t="shared" ca="1" si="8"/>
        <v>6.3815789473684213E-3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input_337010!A$2</f>
        <v>337010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IFERROR(VLOOKUP(B179,input_337010!L:R,7,FALSE),VLOOKUP(tables_337010!C179,input_337010!A:H,8,FALSE))</f>
        <v>15714</v>
      </c>
      <c r="P179" s="46">
        <f t="shared" ca="1" si="8"/>
        <v>5.7434210526315791E-3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input_337010!A$2</f>
        <v>337010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IFERROR(VLOOKUP(B180,input_337010!L:R,7,FALSE),VLOOKUP(tables_337010!C180,input_337010!A:H,8,FALSE))</f>
        <v>1746</v>
      </c>
      <c r="P180" s="46">
        <f t="shared" ca="1" si="8"/>
        <v>6.3815789473684211E-4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input_337010!A$2</f>
        <v>337010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IFERROR(VLOOKUP(B181,input_337010!L:R,7,FALSE),VLOOKUP(tables_337010!C181,input_337010!A:H,8,FALSE))</f>
        <v>17460</v>
      </c>
      <c r="P181" s="46">
        <f t="shared" ca="1" si="8"/>
        <v>6.3815789473684213E-3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input_337010!A$2</f>
        <v>337010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IFERROR(VLOOKUP(B182,input_337010!L:R,7,FALSE),VLOOKUP(tables_337010!C182,input_337010!A:H,8,FALSE))</f>
        <v>15714</v>
      </c>
      <c r="P182" s="46">
        <f t="shared" ca="1" si="8"/>
        <v>5.7434210526315791E-3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input_337010!A$2</f>
        <v>337010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IFERROR(VLOOKUP(B183,input_337010!L:R,7,FALSE),VLOOKUP(tables_337010!C183,input_337010!A:H,8,FALSE))</f>
        <v>1746</v>
      </c>
      <c r="P183" s="46">
        <f t="shared" ca="1" si="8"/>
        <v>6.3815789473684211E-4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input_337010!A$2</f>
        <v>337010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IFERROR(VLOOKUP(B184,input_337010!L:R,7,FALSE),VLOOKUP(tables_337010!C184,input_337010!A:H,8,FALSE))</f>
        <v>2166</v>
      </c>
      <c r="P184" s="46">
        <f t="shared" ca="1" si="8"/>
        <v>7.9166666666666665E-4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input_337010!A$2</f>
        <v>337010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IFERROR(VLOOKUP(B185,input_337010!L:R,7,FALSE),VLOOKUP(tables_337010!C185,input_337010!A:H,8,FALSE))</f>
        <v>114</v>
      </c>
      <c r="P185" s="46">
        <f t="shared" ca="1" si="8"/>
        <v>4.1666666666666665E-5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input_337010!A$2</f>
        <v>337010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IFERROR(VLOOKUP(B186,input_337010!L:R,7,FALSE),VLOOKUP(tables_337010!C186,input_337010!A:H,8,FALSE))</f>
        <v>17460</v>
      </c>
      <c r="P186" s="46">
        <f t="shared" ca="1" si="8"/>
        <v>6.3815789473684213E-3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input_337010!A$2</f>
        <v>337010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IFERROR(VLOOKUP(B187,input_337010!L:R,7,FALSE),VLOOKUP(tables_337010!C187,input_337010!A:H,8,FALSE))</f>
        <v>15714</v>
      </c>
      <c r="P187" s="46">
        <f t="shared" ca="1" si="8"/>
        <v>5.7434210526315791E-3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input_337010!A$2</f>
        <v>337010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IFERROR(VLOOKUP(B188,input_337010!L:R,7,FALSE),VLOOKUP(tables_337010!C188,input_337010!A:H,8,FALSE))</f>
        <v>1746</v>
      </c>
      <c r="P188" s="46">
        <f t="shared" ca="1" si="8"/>
        <v>6.3815789473684211E-4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input_337010!A$2</f>
        <v>337010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IFERROR(VLOOKUP(B189,input_337010!L:R,7,FALSE),VLOOKUP(tables_337010!C189,input_337010!A:H,8,FALSE))</f>
        <v>2166</v>
      </c>
      <c r="P189" s="46">
        <f t="shared" ca="1" si="8"/>
        <v>7.9166666666666665E-4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input_337010!A$2</f>
        <v>337010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IFERROR(VLOOKUP(B190,input_337010!L:R,7,FALSE),VLOOKUP(tables_337010!C190,input_337010!A:H,8,FALSE))</f>
        <v>114</v>
      </c>
      <c r="P190" s="46">
        <f t="shared" ca="1" si="8"/>
        <v>4.1666666666666665E-5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input_337010!A$2</f>
        <v>337010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IFERROR(VLOOKUP(B191,input_337010!L:R,7,FALSE),VLOOKUP(tables_337010!C191,input_337010!A:H,8,FALSE))</f>
        <v>2166</v>
      </c>
      <c r="P191" s="46">
        <f t="shared" ca="1" si="8"/>
        <v>7.9166666666666665E-4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input_337010!A$2</f>
        <v>337010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IFERROR(VLOOKUP(B192,input_337010!L:R,7,FALSE),VLOOKUP(tables_337010!C192,input_337010!A:H,8,FALSE))</f>
        <v>114</v>
      </c>
      <c r="P192" s="46">
        <f t="shared" ca="1" si="8"/>
        <v>4.1666666666666665E-5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input_337010!A$2</f>
        <v>337010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IFERROR(VLOOKUP(B193,input_337010!L:R,7,FALSE),VLOOKUP(tables_337010!C193,input_337010!A:H,8,FALSE))</f>
        <v>17460</v>
      </c>
      <c r="P193" s="46">
        <f t="shared" ca="1" si="8"/>
        <v>6.3815789473684213E-3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input_337010!A$2</f>
        <v>337010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IFERROR(VLOOKUP(B194,input_337010!L:R,7,FALSE),VLOOKUP(tables_337010!C194,input_337010!A:H,8,FALSE))</f>
        <v>15714</v>
      </c>
      <c r="P194" s="46">
        <f t="shared" ca="1" si="8"/>
        <v>5.7434210526315791E-3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input_337010!A$2</f>
        <v>337010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IFERROR(VLOOKUP(B195,input_337010!L:R,7,FALSE),VLOOKUP(tables_337010!C195,input_337010!A:H,8,FALSE))</f>
        <v>1746</v>
      </c>
      <c r="P195" s="46">
        <f t="shared" ca="1" si="8"/>
        <v>6.3815789473684211E-4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input_337010!A$2</f>
        <v>337010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IFERROR(VLOOKUP(B196,input_337010!L:R,7,FALSE),VLOOKUP(tables_337010!C196,input_337010!A:H,8,FALSE))</f>
        <v>2166</v>
      </c>
      <c r="P196" s="46">
        <f t="shared" ca="1" si="8"/>
        <v>7.9166666666666665E-4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input_337010!A$2</f>
        <v>337010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IFERROR(VLOOKUP(B197,input_337010!L:R,7,FALSE),VLOOKUP(tables_337010!C197,input_337010!A:H,8,FALSE))</f>
        <v>114</v>
      </c>
      <c r="P197" s="46">
        <f t="shared" ca="1" si="8"/>
        <v>4.1666666666666665E-5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input_337010!A$2</f>
        <v>337010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IFERROR(VLOOKUP(B198,input_337010!L:R,7,FALSE),VLOOKUP(tables_337010!C198,input_337010!A:H,8,FALSE))</f>
        <v>17460</v>
      </c>
      <c r="P198" s="46">
        <f t="shared" ca="1" si="8"/>
        <v>6.3815789473684213E-3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input_337010!A$2</f>
        <v>337010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IFERROR(VLOOKUP(B199,input_337010!L:R,7,FALSE),VLOOKUP(tables_337010!C199,input_337010!A:H,8,FALSE))</f>
        <v>15714</v>
      </c>
      <c r="P199" s="46">
        <f t="shared" ca="1" si="8"/>
        <v>5.7434210526315791E-3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input_337010!A$2</f>
        <v>337010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IFERROR(VLOOKUP(B200,input_337010!L:R,7,FALSE),VLOOKUP(tables_337010!C200,input_337010!A:H,8,FALSE))</f>
        <v>1746</v>
      </c>
      <c r="P200" s="46">
        <f t="shared" ca="1" si="8"/>
        <v>6.3815789473684211E-4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input_337010!A$2</f>
        <v>337010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IFERROR(VLOOKUP(B201,input_337010!L:R,7,FALSE),VLOOKUP(tables_337010!C201,input_337010!A:H,8,FALSE))</f>
        <v>2166</v>
      </c>
      <c r="P201" s="46">
        <f t="shared" ca="1" si="8"/>
        <v>7.9166666666666665E-4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input_337010!A$2</f>
        <v>337010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IFERROR(VLOOKUP(B202,input_337010!L:R,7,FALSE),VLOOKUP(tables_337010!C202,input_337010!A:H,8,FALSE))</f>
        <v>114</v>
      </c>
      <c r="P202" s="46">
        <f t="shared" ca="1" si="8"/>
        <v>4.1666666666666665E-5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input_337010!A$2</f>
        <v>337010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IFERROR(VLOOKUP(B203,input_337010!L:R,7,FALSE),VLOOKUP(tables_337010!C203,input_337010!A:H,8,FALSE))</f>
        <v>17460</v>
      </c>
      <c r="P203" s="46">
        <f t="shared" ca="1" si="8"/>
        <v>6.3815789473684213E-3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input_337010!A$2</f>
        <v>337010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IFERROR(VLOOKUP(B204,input_337010!L:R,7,FALSE),VLOOKUP(tables_337010!C204,input_337010!A:H,8,FALSE))</f>
        <v>15714</v>
      </c>
      <c r="P204" s="46">
        <f t="shared" ca="1" si="8"/>
        <v>5.7434210526315791E-3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input_337010!A$2</f>
        <v>337010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IFERROR(VLOOKUP(B205,input_337010!L:R,7,FALSE),VLOOKUP(tables_337010!C205,input_337010!A:H,8,FALSE))</f>
        <v>1746</v>
      </c>
      <c r="P205" s="46">
        <f t="shared" ca="1" si="8"/>
        <v>6.3815789473684211E-4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input_337010!A$2</f>
        <v>337010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IFERROR(VLOOKUP(B206,input_337010!L:R,7,FALSE),VLOOKUP(tables_337010!C206,input_337010!A:H,8,FALSE))</f>
        <v>2166</v>
      </c>
      <c r="P206" s="46">
        <f t="shared" ca="1" si="8"/>
        <v>7.9166666666666665E-4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input_337010!A$2</f>
        <v>337010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IFERROR(VLOOKUP(B207,input_337010!L:R,7,FALSE),VLOOKUP(tables_337010!C207,input_337010!A:H,8,FALSE))</f>
        <v>114</v>
      </c>
      <c r="P207" s="46">
        <f t="shared" ref="P207:P270" ca="1" si="11">O207/SUM(O:O)</f>
        <v>4.1666666666666665E-5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input_337010!A$2</f>
        <v>337010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IFERROR(VLOOKUP(B208,input_337010!L:R,7,FALSE),VLOOKUP(tables_337010!C208,input_337010!A:H,8,FALSE))</f>
        <v>2166</v>
      </c>
      <c r="P208" s="46">
        <f t="shared" ca="1" si="11"/>
        <v>7.9166666666666665E-4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input_337010!A$2</f>
        <v>337010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IFERROR(VLOOKUP(B209,input_337010!L:R,7,FALSE),VLOOKUP(tables_337010!C209,input_337010!A:H,8,FALSE))</f>
        <v>114</v>
      </c>
      <c r="P209" s="46">
        <f t="shared" ca="1" si="11"/>
        <v>4.1666666666666665E-5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input_337010!A$2</f>
        <v>337010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IFERROR(VLOOKUP(B210,input_337010!L:R,7,FALSE),VLOOKUP(tables_337010!C210,input_337010!A:H,8,FALSE))</f>
        <v>17460</v>
      </c>
      <c r="P210" s="46">
        <f t="shared" ca="1" si="11"/>
        <v>6.3815789473684213E-3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input_337010!A$2</f>
        <v>337010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IFERROR(VLOOKUP(B211,input_337010!L:R,7,FALSE),VLOOKUP(tables_337010!C211,input_337010!A:H,8,FALSE))</f>
        <v>15714</v>
      </c>
      <c r="P211" s="46">
        <f t="shared" ca="1" si="11"/>
        <v>5.7434210526315791E-3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input_337010!A$2</f>
        <v>337010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IFERROR(VLOOKUP(B212,input_337010!L:R,7,FALSE),VLOOKUP(tables_337010!C212,input_337010!A:H,8,FALSE))</f>
        <v>1746</v>
      </c>
      <c r="P212" s="46">
        <f t="shared" ca="1" si="11"/>
        <v>6.3815789473684211E-4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input_337010!A$2</f>
        <v>337010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IFERROR(VLOOKUP(B213,input_337010!L:R,7,FALSE),VLOOKUP(tables_337010!C213,input_337010!A:H,8,FALSE))</f>
        <v>2166</v>
      </c>
      <c r="P213" s="46">
        <f t="shared" ca="1" si="11"/>
        <v>7.9166666666666665E-4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input_337010!A$2</f>
        <v>337010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IFERROR(VLOOKUP(B214,input_337010!L:R,7,FALSE),VLOOKUP(tables_337010!C214,input_337010!A:H,8,FALSE))</f>
        <v>114</v>
      </c>
      <c r="P214" s="46">
        <f t="shared" ca="1" si="11"/>
        <v>4.1666666666666665E-5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input_337010!A$2</f>
        <v>337010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IFERROR(VLOOKUP(B215,input_337010!L:R,7,FALSE),VLOOKUP(tables_337010!C215,input_337010!A:H,8,FALSE))</f>
        <v>2166</v>
      </c>
      <c r="P215" s="46">
        <f t="shared" ca="1" si="11"/>
        <v>7.9166666666666665E-4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input_337010!A$2</f>
        <v>337010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IFERROR(VLOOKUP(B216,input_337010!L:R,7,FALSE),VLOOKUP(tables_337010!C216,input_337010!A:H,8,FALSE))</f>
        <v>114</v>
      </c>
      <c r="P216" s="46">
        <f t="shared" ca="1" si="11"/>
        <v>4.1666666666666665E-5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input_337010!A$2</f>
        <v>337010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IFERROR(VLOOKUP(B217,input_337010!L:R,7,FALSE),VLOOKUP(tables_337010!C217,input_337010!A:H,8,FALSE))</f>
        <v>17460</v>
      </c>
      <c r="P217" s="46">
        <f t="shared" ca="1" si="11"/>
        <v>6.3815789473684213E-3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input_337010!A$2</f>
        <v>337010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IFERROR(VLOOKUP(B218,input_337010!L:R,7,FALSE),VLOOKUP(tables_337010!C218,input_337010!A:H,8,FALSE))</f>
        <v>15714</v>
      </c>
      <c r="P218" s="46">
        <f t="shared" ca="1" si="11"/>
        <v>5.7434210526315791E-3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input_337010!A$2</f>
        <v>337010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IFERROR(VLOOKUP(B219,input_337010!L:R,7,FALSE),VLOOKUP(tables_337010!C219,input_337010!A:H,8,FALSE))</f>
        <v>1746</v>
      </c>
      <c r="P219" s="46">
        <f t="shared" ca="1" si="11"/>
        <v>6.3815789473684211E-4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input_337010!A$2</f>
        <v>337010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IFERROR(VLOOKUP(B220,input_337010!L:R,7,FALSE),VLOOKUP(tables_337010!C220,input_337010!A:H,8,FALSE))</f>
        <v>17460</v>
      </c>
      <c r="P220" s="46">
        <f t="shared" ca="1" si="11"/>
        <v>6.3815789473684213E-3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input_337010!A$2</f>
        <v>337010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IFERROR(VLOOKUP(B221,input_337010!L:R,7,FALSE),VLOOKUP(tables_337010!C221,input_337010!A:H,8,FALSE))</f>
        <v>15714</v>
      </c>
      <c r="P221" s="46">
        <f t="shared" ca="1" si="11"/>
        <v>5.7434210526315791E-3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input_337010!A$2</f>
        <v>337010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IFERROR(VLOOKUP(B222,input_337010!L:R,7,FALSE),VLOOKUP(tables_337010!C222,input_337010!A:H,8,FALSE))</f>
        <v>1746</v>
      </c>
      <c r="P222" s="46">
        <f t="shared" ca="1" si="11"/>
        <v>6.3815789473684211E-4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input_337010!A$2</f>
        <v>337010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IFERROR(VLOOKUP(B223,input_337010!L:R,7,FALSE),VLOOKUP(tables_337010!C223,input_337010!A:H,8,FALSE))</f>
        <v>2166</v>
      </c>
      <c r="P223" s="46">
        <f t="shared" ca="1" si="11"/>
        <v>7.9166666666666665E-4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input_337010!A$2</f>
        <v>337010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IFERROR(VLOOKUP(B224,input_337010!L:R,7,FALSE),VLOOKUP(tables_337010!C224,input_337010!A:H,8,FALSE))</f>
        <v>114</v>
      </c>
      <c r="P224" s="46">
        <f t="shared" ca="1" si="11"/>
        <v>4.1666666666666665E-5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input_337010!A$2</f>
        <v>337010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IFERROR(VLOOKUP(B225,input_337010!L:R,7,FALSE),VLOOKUP(tables_337010!C225,input_337010!A:H,8,FALSE))</f>
        <v>17460</v>
      </c>
      <c r="P225" s="46">
        <f t="shared" ca="1" si="11"/>
        <v>6.3815789473684213E-3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input_337010!A$2</f>
        <v>337010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IFERROR(VLOOKUP(B226,input_337010!L:R,7,FALSE),VLOOKUP(tables_337010!C226,input_337010!A:H,8,FALSE))</f>
        <v>15714</v>
      </c>
      <c r="P226" s="46">
        <f t="shared" ca="1" si="11"/>
        <v>5.7434210526315791E-3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input_337010!A$2</f>
        <v>337010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IFERROR(VLOOKUP(B227,input_337010!L:R,7,FALSE),VLOOKUP(tables_337010!C227,input_337010!A:H,8,FALSE))</f>
        <v>1746</v>
      </c>
      <c r="P227" s="46">
        <f t="shared" ca="1" si="11"/>
        <v>6.3815789473684211E-4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input_337010!A$2</f>
        <v>337010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IFERROR(VLOOKUP(B228,input_337010!L:R,7,FALSE),VLOOKUP(tables_337010!C228,input_337010!A:H,8,FALSE))</f>
        <v>17460</v>
      </c>
      <c r="P228" s="46">
        <f t="shared" ca="1" si="11"/>
        <v>6.3815789473684213E-3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input_337010!A$2</f>
        <v>337010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IFERROR(VLOOKUP(B229,input_337010!L:R,7,FALSE),VLOOKUP(tables_337010!C229,input_337010!A:H,8,FALSE))</f>
        <v>15714</v>
      </c>
      <c r="P229" s="46">
        <f t="shared" ca="1" si="11"/>
        <v>5.7434210526315791E-3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input_337010!A$2</f>
        <v>337010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IFERROR(VLOOKUP(B230,input_337010!L:R,7,FALSE),VLOOKUP(tables_337010!C230,input_337010!A:H,8,FALSE))</f>
        <v>1746</v>
      </c>
      <c r="P230" s="46">
        <f t="shared" ca="1" si="11"/>
        <v>6.3815789473684211E-4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input_337010!A$2</f>
        <v>337010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IFERROR(VLOOKUP(B231,input_337010!L:R,7,FALSE),VLOOKUP(tables_337010!C231,input_337010!A:H,8,FALSE))</f>
        <v>2166</v>
      </c>
      <c r="P231" s="46">
        <f t="shared" ca="1" si="11"/>
        <v>7.9166666666666665E-4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input_337010!A$2</f>
        <v>337010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IFERROR(VLOOKUP(B232,input_337010!L:R,7,FALSE),VLOOKUP(tables_337010!C232,input_337010!A:H,8,FALSE))</f>
        <v>114</v>
      </c>
      <c r="P232" s="46">
        <f t="shared" ca="1" si="11"/>
        <v>4.1666666666666665E-5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input_337010!A$2</f>
        <v>337010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IFERROR(VLOOKUP(B233,input_337010!L:R,7,FALSE),VLOOKUP(tables_337010!C233,input_337010!A:H,8,FALSE))</f>
        <v>17460</v>
      </c>
      <c r="P233" s="46">
        <f t="shared" ca="1" si="11"/>
        <v>6.3815789473684213E-3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input_337010!A$2</f>
        <v>337010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IFERROR(VLOOKUP(B234,input_337010!L:R,7,FALSE),VLOOKUP(tables_337010!C234,input_337010!A:H,8,FALSE))</f>
        <v>15714</v>
      </c>
      <c r="P234" s="46">
        <f t="shared" ca="1" si="11"/>
        <v>5.7434210526315791E-3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input_337010!A$2</f>
        <v>337010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IFERROR(VLOOKUP(B235,input_337010!L:R,7,FALSE),VLOOKUP(tables_337010!C235,input_337010!A:H,8,FALSE))</f>
        <v>1746</v>
      </c>
      <c r="P235" s="46">
        <f t="shared" ca="1" si="11"/>
        <v>6.3815789473684211E-4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input_337010!A$2</f>
        <v>337010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IFERROR(VLOOKUP(B236,input_337010!L:R,7,FALSE),VLOOKUP(tables_337010!C236,input_337010!A:H,8,FALSE))</f>
        <v>2166</v>
      </c>
      <c r="P236" s="46">
        <f t="shared" ca="1" si="11"/>
        <v>7.9166666666666665E-4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input_337010!A$2</f>
        <v>337010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IFERROR(VLOOKUP(B237,input_337010!L:R,7,FALSE),VLOOKUP(tables_337010!C237,input_337010!A:H,8,FALSE))</f>
        <v>114</v>
      </c>
      <c r="P237" s="46">
        <f t="shared" ca="1" si="11"/>
        <v>4.1666666666666665E-5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input_337010!A$2</f>
        <v>337010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IFERROR(VLOOKUP(B238,input_337010!L:R,7,FALSE),VLOOKUP(tables_337010!C238,input_337010!A:H,8,FALSE))</f>
        <v>2166</v>
      </c>
      <c r="P238" s="46">
        <f t="shared" ca="1" si="11"/>
        <v>7.9166666666666665E-4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input_337010!A$2</f>
        <v>337010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IFERROR(VLOOKUP(B239,input_337010!L:R,7,FALSE),VLOOKUP(tables_337010!C239,input_337010!A:H,8,FALSE))</f>
        <v>114</v>
      </c>
      <c r="P239" s="46">
        <f t="shared" ca="1" si="11"/>
        <v>4.1666666666666665E-5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input_337010!A$2</f>
        <v>337010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IFERROR(VLOOKUP(B240,input_337010!L:R,7,FALSE),VLOOKUP(tables_337010!C240,input_337010!A:H,8,FALSE))</f>
        <v>17460</v>
      </c>
      <c r="P240" s="46">
        <f t="shared" ca="1" si="11"/>
        <v>6.3815789473684213E-3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input_337010!A$2</f>
        <v>337010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IFERROR(VLOOKUP(B241,input_337010!L:R,7,FALSE),VLOOKUP(tables_337010!C241,input_337010!A:H,8,FALSE))</f>
        <v>15714</v>
      </c>
      <c r="P241" s="46">
        <f t="shared" ca="1" si="11"/>
        <v>5.7434210526315791E-3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input_337010!A$2</f>
        <v>337010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IFERROR(VLOOKUP(B242,input_337010!L:R,7,FALSE),VLOOKUP(tables_337010!C242,input_337010!A:H,8,FALSE))</f>
        <v>1746</v>
      </c>
      <c r="P242" s="46">
        <f t="shared" ca="1" si="11"/>
        <v>6.3815789473684211E-4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input_337010!A$2</f>
        <v>337010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IFERROR(VLOOKUP(B243,input_337010!L:R,7,FALSE),VLOOKUP(tables_337010!C243,input_337010!A:H,8,FALSE))</f>
        <v>17460</v>
      </c>
      <c r="P243" s="46">
        <f t="shared" ca="1" si="11"/>
        <v>6.3815789473684213E-3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input_337010!A$2</f>
        <v>337010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IFERROR(VLOOKUP(B244,input_337010!L:R,7,FALSE),VLOOKUP(tables_337010!C244,input_337010!A:H,8,FALSE))</f>
        <v>15714</v>
      </c>
      <c r="P244" s="46">
        <f t="shared" ca="1" si="11"/>
        <v>5.7434210526315791E-3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input_337010!A$2</f>
        <v>337010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IFERROR(VLOOKUP(B245,input_337010!L:R,7,FALSE),VLOOKUP(tables_337010!C245,input_337010!A:H,8,FALSE))</f>
        <v>1746</v>
      </c>
      <c r="P245" s="46">
        <f t="shared" ca="1" si="11"/>
        <v>6.3815789473684211E-4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input_337010!A$2</f>
        <v>337010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IFERROR(VLOOKUP(B246,input_337010!L:R,7,FALSE),VLOOKUP(tables_337010!C246,input_337010!A:H,8,FALSE))</f>
        <v>17460</v>
      </c>
      <c r="P246" s="46">
        <f t="shared" ca="1" si="11"/>
        <v>6.3815789473684213E-3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input_337010!A$2</f>
        <v>337010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IFERROR(VLOOKUP(B247,input_337010!L:R,7,FALSE),VLOOKUP(tables_337010!C247,input_337010!A:H,8,FALSE))</f>
        <v>15714</v>
      </c>
      <c r="P247" s="46">
        <f t="shared" ca="1" si="11"/>
        <v>5.7434210526315791E-3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input_337010!A$2</f>
        <v>337010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IFERROR(VLOOKUP(B248,input_337010!L:R,7,FALSE),VLOOKUP(tables_337010!C248,input_337010!A:H,8,FALSE))</f>
        <v>1746</v>
      </c>
      <c r="P248" s="46">
        <f t="shared" ca="1" si="11"/>
        <v>6.3815789473684211E-4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input_337010!A$2</f>
        <v>337010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IFERROR(VLOOKUP(B249,input_337010!L:R,7,FALSE),VLOOKUP(tables_337010!C249,input_337010!A:H,8,FALSE))</f>
        <v>17460</v>
      </c>
      <c r="P249" s="46">
        <f t="shared" ca="1" si="11"/>
        <v>6.3815789473684213E-3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input_337010!A$2</f>
        <v>337010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IFERROR(VLOOKUP(B250,input_337010!L:R,7,FALSE),VLOOKUP(tables_337010!C250,input_337010!A:H,8,FALSE))</f>
        <v>15714</v>
      </c>
      <c r="P250" s="46">
        <f t="shared" ca="1" si="11"/>
        <v>5.7434210526315791E-3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input_337010!A$2</f>
        <v>337010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IFERROR(VLOOKUP(B251,input_337010!L:R,7,FALSE),VLOOKUP(tables_337010!C251,input_337010!A:H,8,FALSE))</f>
        <v>1746</v>
      </c>
      <c r="P251" s="46">
        <f t="shared" ca="1" si="11"/>
        <v>6.3815789473684211E-4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input_337010!A$2</f>
        <v>337010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IFERROR(VLOOKUP(B252,input_337010!L:R,7,FALSE),VLOOKUP(tables_337010!C252,input_337010!A:H,8,FALSE))</f>
        <v>2166</v>
      </c>
      <c r="P252" s="46">
        <f t="shared" ca="1" si="11"/>
        <v>7.9166666666666665E-4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input_337010!A$2</f>
        <v>337010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IFERROR(VLOOKUP(B253,input_337010!L:R,7,FALSE),VLOOKUP(tables_337010!C253,input_337010!A:H,8,FALSE))</f>
        <v>114</v>
      </c>
      <c r="P253" s="46">
        <f t="shared" ca="1" si="11"/>
        <v>4.1666666666666665E-5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input_337010!A$2</f>
        <v>337010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IFERROR(VLOOKUP(B254,input_337010!L:R,7,FALSE),VLOOKUP(tables_337010!C254,input_337010!A:H,8,FALSE))</f>
        <v>2166</v>
      </c>
      <c r="P254" s="46">
        <f t="shared" ca="1" si="11"/>
        <v>7.9166666666666665E-4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input_337010!A$2</f>
        <v>337010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IFERROR(VLOOKUP(B255,input_337010!L:R,7,FALSE),VLOOKUP(tables_337010!C255,input_337010!A:H,8,FALSE))</f>
        <v>114</v>
      </c>
      <c r="P255" s="46">
        <f t="shared" ca="1" si="11"/>
        <v>4.1666666666666665E-5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input_337010!A$2</f>
        <v>337010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IFERROR(VLOOKUP(B256,input_337010!L:R,7,FALSE),VLOOKUP(tables_337010!C256,input_337010!A:H,8,FALSE))</f>
        <v>26610</v>
      </c>
      <c r="P256" s="46">
        <f t="shared" ca="1" si="11"/>
        <v>9.7258771929824555E-3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input_337010!A$2</f>
        <v>337010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IFERROR(VLOOKUP(B257,input_337010!L:R,7,FALSE),VLOOKUP(tables_337010!C257,input_337010!A:H,8,FALSE))</f>
        <v>8310</v>
      </c>
      <c r="P257" s="46">
        <f t="shared" ca="1" si="11"/>
        <v>3.0372807017543858E-3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input_337010!A$2</f>
        <v>337010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IFERROR(VLOOKUP(B258,input_337010!L:R,7,FALSE),VLOOKUP(tables_337010!C258,input_337010!A:H,8,FALSE))</f>
        <v>26610</v>
      </c>
      <c r="P258" s="46">
        <f t="shared" ca="1" si="11"/>
        <v>9.7258771929824555E-3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input_337010!A$2</f>
        <v>337010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IFERROR(VLOOKUP(B259,input_337010!L:R,7,FALSE),VLOOKUP(tables_337010!C259,input_337010!A:H,8,FALSE))</f>
        <v>8310</v>
      </c>
      <c r="P259" s="46">
        <f t="shared" ca="1" si="11"/>
        <v>3.0372807017543858E-3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input_337010!A$2</f>
        <v>337010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IFERROR(VLOOKUP(B260,input_337010!L:R,7,FALSE),VLOOKUP(tables_337010!C260,input_337010!A:H,8,FALSE))</f>
        <v>2280</v>
      </c>
      <c r="P260" s="46">
        <f t="shared" ca="1" si="11"/>
        <v>8.3333333333333339E-4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input_337010!A$2</f>
        <v>337010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IFERROR(VLOOKUP(B261,input_337010!L:R,7,FALSE),VLOOKUP(tables_337010!C261,input_337010!A:H,8,FALSE))</f>
        <v>2280</v>
      </c>
      <c r="P261" s="46">
        <f t="shared" ca="1" si="11"/>
        <v>8.3333333333333339E-4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input_337010!A$2</f>
        <v>337010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IFERROR(VLOOKUP(B262,input_337010!L:R,7,FALSE),VLOOKUP(tables_337010!C262,input_337010!A:H,8,FALSE))</f>
        <v>2166</v>
      </c>
      <c r="P262" s="46">
        <f t="shared" ca="1" si="11"/>
        <v>7.9166666666666665E-4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input_337010!A$2</f>
        <v>337010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IFERROR(VLOOKUP(B263,input_337010!L:R,7,FALSE),VLOOKUP(tables_337010!C263,input_337010!A:H,8,FALSE))</f>
        <v>114</v>
      </c>
      <c r="P263" s="46">
        <f t="shared" ca="1" si="11"/>
        <v>4.1666666666666665E-5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input_337010!A$2</f>
        <v>337010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IFERROR(VLOOKUP(B264,input_337010!L:R,7,FALSE),VLOOKUP(tables_337010!C264,input_337010!A:H,8,FALSE))</f>
        <v>2166</v>
      </c>
      <c r="P264" s="46">
        <f t="shared" ca="1" si="11"/>
        <v>7.9166666666666665E-4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input_337010!A$2</f>
        <v>337010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IFERROR(VLOOKUP(B265,input_337010!L:R,7,FALSE),VLOOKUP(tables_337010!C265,input_337010!A:H,8,FALSE))</f>
        <v>114</v>
      </c>
      <c r="P265" s="46">
        <f t="shared" ca="1" si="11"/>
        <v>4.1666666666666665E-5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input_337010!A$2</f>
        <v>337010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IFERROR(VLOOKUP(B266,input_337010!L:R,7,FALSE),VLOOKUP(tables_337010!C266,input_337010!A:H,8,FALSE))</f>
        <v>17460</v>
      </c>
      <c r="P266" s="46">
        <f t="shared" ca="1" si="11"/>
        <v>6.3815789473684213E-3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input_337010!A$2</f>
        <v>337010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IFERROR(VLOOKUP(B267,input_337010!L:R,7,FALSE),VLOOKUP(tables_337010!C267,input_337010!A:H,8,FALSE))</f>
        <v>15714</v>
      </c>
      <c r="P267" s="46">
        <f t="shared" ca="1" si="11"/>
        <v>5.7434210526315791E-3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input_337010!A$2</f>
        <v>337010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IFERROR(VLOOKUP(B268,input_337010!L:R,7,FALSE),VLOOKUP(tables_337010!C268,input_337010!A:H,8,FALSE))</f>
        <v>1746</v>
      </c>
      <c r="P268" s="46">
        <f t="shared" ca="1" si="11"/>
        <v>6.3815789473684211E-4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input_337010!A$2</f>
        <v>337010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IFERROR(VLOOKUP(B269,input_337010!L:R,7,FALSE),VLOOKUP(tables_337010!C269,input_337010!A:H,8,FALSE))</f>
        <v>17460</v>
      </c>
      <c r="P269" s="46">
        <f t="shared" ca="1" si="11"/>
        <v>6.3815789473684213E-3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input_337010!A$2</f>
        <v>337010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IFERROR(VLOOKUP(B270,input_337010!L:R,7,FALSE),VLOOKUP(tables_337010!C270,input_337010!A:H,8,FALSE))</f>
        <v>15714</v>
      </c>
      <c r="P270" s="46">
        <f t="shared" ca="1" si="11"/>
        <v>5.7434210526315791E-3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input_337010!A$2</f>
        <v>337010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IFERROR(VLOOKUP(B271,input_337010!L:R,7,FALSE),VLOOKUP(tables_337010!C271,input_337010!A:H,8,FALSE))</f>
        <v>1746</v>
      </c>
      <c r="P271" s="46">
        <f t="shared" ref="P271" ca="1" si="14">O271/SUM(O:O)</f>
        <v>6.3815789473684211E-4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input_337010!A$2</f>
        <v>337010</v>
      </c>
      <c r="B272" s="1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IFERROR(VLOOKUP(B272,input_337010!L:R,7,FALSE),VLOOKUP(tables_337010!C272,input_337010!A:H,8,FALSE))</f>
        <v>2280</v>
      </c>
      <c r="P272" s="46">
        <f t="shared" ref="P272:P277" ca="1" si="17">O272/SUM(O:O)</f>
        <v>8.3333333333333339E-4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input_337010!A$2</f>
        <v>337010</v>
      </c>
      <c r="B273" s="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IFERROR(VLOOKUP(B273,input_337010!L:R,7,FALSE),VLOOKUP(tables_337010!C273,input_337010!A:H,8,FALSE))</f>
        <v>2280</v>
      </c>
      <c r="P273" s="46">
        <f t="shared" ca="1" si="17"/>
        <v>8.3333333333333339E-4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input_337010!A$2</f>
        <v>337010</v>
      </c>
      <c r="B274" s="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IFERROR(VLOOKUP(B274,input_337010!L:R,7,FALSE),VLOOKUP(tables_337010!C274,input_337010!A:H,8,FALSE))</f>
        <v>26610</v>
      </c>
      <c r="P274" s="46">
        <f t="shared" ca="1" si="17"/>
        <v>9.7258771929824555E-3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input_337010!A$2</f>
        <v>337010</v>
      </c>
      <c r="B275" s="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IFERROR(VLOOKUP(B275,input_337010!L:R,7,FALSE),VLOOKUP(tables_337010!C275,input_337010!A:H,8,FALSE))</f>
        <v>8310</v>
      </c>
      <c r="P275" s="46">
        <f t="shared" ca="1" si="17"/>
        <v>3.0372807017543858E-3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input_337010!A$2</f>
        <v>337010</v>
      </c>
      <c r="B276" s="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IFERROR(VLOOKUP(B276,input_337010!L:R,7,FALSE),VLOOKUP(tables_337010!C276,input_337010!A:H,8,FALSE))</f>
        <v>26610</v>
      </c>
      <c r="P276" s="46">
        <f t="shared" ca="1" si="17"/>
        <v>9.7258771929824555E-3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input_337010!A$2</f>
        <v>337010</v>
      </c>
      <c r="B277" s="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IFERROR(VLOOKUP(B277,input_337010!L:R,7,FALSE),VLOOKUP(tables_337010!C277,input_337010!A:H,8,FALSE))</f>
        <v>8310</v>
      </c>
      <c r="P277" s="46">
        <f t="shared" ca="1" si="17"/>
        <v>3.0372807017543858E-3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E6" sqref="E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RIGHT(RIGHT(CELL("filename",A2),LEN(CELL("filename",A2))-FIND("]",CELL("filename",A2))),7)</f>
        <v>7104100</v>
      </c>
      <c r="L2" s="32" t="s">
        <v>1</v>
      </c>
      <c r="M2" s="37" t="s">
        <v>66</v>
      </c>
      <c r="N2" s="32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2" t="s">
        <v>196</v>
      </c>
      <c r="V2" s="54">
        <f>SUMIF(Q:Q,U2,N:N)</f>
        <v>0</v>
      </c>
    </row>
    <row r="3" spans="1:22" x14ac:dyDescent="0.15">
      <c r="H3" s="73" t="s">
        <v>218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VLOOKUP(L3,tables_settle_7104100!B:C,2,FALSE)</f>
        <v>#N/A</v>
      </c>
      <c r="R3" s="62">
        <f t="shared" ref="R3:R20" si="0">N3*A$36</f>
        <v>0</v>
      </c>
      <c r="S3">
        <v>190</v>
      </c>
      <c r="U3" s="32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VLOOKUP(L4,tables_settle_7104100!B:C,2,FALSE)</f>
        <v>#N/A</v>
      </c>
      <c r="R4" s="62">
        <f t="shared" si="0"/>
        <v>0</v>
      </c>
      <c r="S4">
        <v>191</v>
      </c>
      <c r="U4" s="32" t="s">
        <v>99</v>
      </c>
      <c r="V4" s="54">
        <f t="shared" si="1"/>
        <v>0</v>
      </c>
    </row>
    <row r="5" spans="1:22" x14ac:dyDescent="0.15">
      <c r="A5" s="32" t="s">
        <v>69</v>
      </c>
      <c r="B5" s="72">
        <f>1-B6-B7-B8</f>
        <v>0</v>
      </c>
      <c r="D5" t="s">
        <v>207</v>
      </c>
      <c r="E5" s="43">
        <f>(B11-H5)/(F5-I5)</f>
        <v>1.8749999999999999E-3</v>
      </c>
      <c r="F5">
        <f>(COUNTIF(tables_settle_7104100!C:C,input_settle_7104100!A26)+COUNTIF(tables_settle_7104100!C:C,input_settle_7104100!A28)+COUNTIF(tables_settle_7104100!C:C,input_settle_7104100!A29))</f>
        <v>16</v>
      </c>
      <c r="H5" s="84">
        <v>0</v>
      </c>
      <c r="I5" s="31">
        <v>0</v>
      </c>
      <c r="L5" s="1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VLOOKUP(L5,tables_settle_7104100!B:C,2,FALSE)</f>
        <v>#N/A</v>
      </c>
      <c r="R5" s="62">
        <f>N5*A$36</f>
        <v>0</v>
      </c>
      <c r="S5">
        <v>192</v>
      </c>
      <c r="U5" s="32" t="s">
        <v>100</v>
      </c>
      <c r="V5" s="54">
        <f t="shared" si="1"/>
        <v>0</v>
      </c>
    </row>
    <row r="6" spans="1:22" x14ac:dyDescent="0.15">
      <c r="A6" s="32" t="s">
        <v>70</v>
      </c>
      <c r="B6" s="72">
        <v>0</v>
      </c>
      <c r="D6" t="s">
        <v>208</v>
      </c>
      <c r="E6" s="77" t="e">
        <f>(B10-H6)/(F6-I6)</f>
        <v>#DIV/0!</v>
      </c>
      <c r="F6">
        <f>(COUNTIF(tables_settle_7104100!C:C,input_settle_7104100!A18)+COUNTIF(tables_settle_7104100!C:C,input_settle_7104100!A20)+COUNTIF(tables_settle_7104100!C:C,input_settle_7104100!A22))</f>
        <v>0</v>
      </c>
      <c r="H6" s="84">
        <v>0</v>
      </c>
      <c r="I6" s="31">
        <v>0</v>
      </c>
      <c r="L6" s="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VLOOKUP(L6,tables_settle_7104100!B:C,2,FALSE)</f>
        <v>#N/A</v>
      </c>
      <c r="R6" s="62">
        <f t="shared" si="0"/>
        <v>0</v>
      </c>
      <c r="S6">
        <v>596</v>
      </c>
      <c r="U6" s="32" t="s">
        <v>101</v>
      </c>
      <c r="V6" s="54">
        <f t="shared" si="1"/>
        <v>0</v>
      </c>
    </row>
    <row r="7" spans="1:22" x14ac:dyDescent="0.15">
      <c r="A7" s="32" t="s">
        <v>71</v>
      </c>
      <c r="B7" s="72">
        <v>1</v>
      </c>
      <c r="L7" s="1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VLOOKUP(L7,tables_settle_7104100!B:C,2,FALSE)</f>
        <v>#N/A</v>
      </c>
      <c r="R7" s="62">
        <f t="shared" si="0"/>
        <v>0</v>
      </c>
      <c r="S7">
        <v>597</v>
      </c>
      <c r="U7" s="32" t="s">
        <v>202</v>
      </c>
      <c r="V7" s="54">
        <f t="shared" si="1"/>
        <v>0</v>
      </c>
    </row>
    <row r="8" spans="1:22" x14ac:dyDescent="0.15">
      <c r="A8" s="57"/>
      <c r="B8" s="71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VLOOKUP(L8,tables_settle_7104100!B:C,2,FALSE)</f>
        <v>#N/A</v>
      </c>
      <c r="R8" s="62">
        <f t="shared" si="0"/>
        <v>0</v>
      </c>
      <c r="S8">
        <v>598</v>
      </c>
      <c r="U8" s="32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VLOOKUP(L9,tables_settle_7104100!B:C,2,FALSE)</f>
        <v>#N/A</v>
      </c>
      <c r="R9" s="62">
        <f t="shared" si="0"/>
        <v>0</v>
      </c>
      <c r="S9">
        <v>390</v>
      </c>
      <c r="U9" s="32" t="s">
        <v>199</v>
      </c>
      <c r="V9" s="54">
        <f t="shared" si="1"/>
        <v>0</v>
      </c>
    </row>
    <row r="10" spans="1:22" x14ac:dyDescent="0.15">
      <c r="A10" s="32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VLOOKUP(L10,tables_settle_7104100!B:C,2,FALSE)</f>
        <v>#N/A</v>
      </c>
      <c r="R10" s="62">
        <f t="shared" si="0"/>
        <v>0</v>
      </c>
      <c r="S10">
        <v>391</v>
      </c>
      <c r="U10" s="32" t="s">
        <v>200</v>
      </c>
      <c r="V10" s="54">
        <f t="shared" si="1"/>
        <v>0</v>
      </c>
    </row>
    <row r="11" spans="1:22" x14ac:dyDescent="0.15">
      <c r="A11" s="32" t="s">
        <v>57</v>
      </c>
      <c r="B11" s="78">
        <v>0.03</v>
      </c>
      <c r="C11" t="s">
        <v>229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VLOOKUP(L11,tables_settle_7104100!B:C,2,FALSE)</f>
        <v>#N/A</v>
      </c>
      <c r="R11" s="62">
        <f t="shared" si="0"/>
        <v>0</v>
      </c>
      <c r="S11">
        <v>811</v>
      </c>
      <c r="U11" s="32" t="s">
        <v>201</v>
      </c>
      <c r="V11" s="54">
        <f t="shared" si="1"/>
        <v>0</v>
      </c>
    </row>
    <row r="12" spans="1:22" x14ac:dyDescent="0.15">
      <c r="A12" s="32" t="s">
        <v>56</v>
      </c>
      <c r="B12" s="33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VLOOKUP(L12,tables_settle_7104100!B:C,2,FALSE)</f>
        <v>#N/A</v>
      </c>
      <c r="R12" s="62">
        <f t="shared" si="0"/>
        <v>0</v>
      </c>
      <c r="S12">
        <v>496</v>
      </c>
      <c r="U12" s="32" t="s">
        <v>109</v>
      </c>
      <c r="V12" s="54">
        <f t="shared" si="1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VLOOKUP(L13,tables_settle_7104100!B:C,2,FALSE)</f>
        <v>#N/A</v>
      </c>
      <c r="R13" s="62">
        <f t="shared" si="0"/>
        <v>0</v>
      </c>
      <c r="S13">
        <v>497</v>
      </c>
      <c r="U13" s="32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VLOOKUP(L14,tables_settle_7104100!B:C,2,FALSE)</f>
        <v>#N/A</v>
      </c>
      <c r="R14" s="62">
        <f t="shared" si="0"/>
        <v>0</v>
      </c>
      <c r="S14">
        <v>498</v>
      </c>
      <c r="U14" s="32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VLOOKUP(L15,tables_settle_7104100!B:C,2,FALSE)</f>
        <v>#N/A</v>
      </c>
      <c r="R15" s="62">
        <f t="shared" si="0"/>
        <v>0</v>
      </c>
      <c r="S15">
        <v>395</v>
      </c>
      <c r="U15" s="32" t="s">
        <v>204</v>
      </c>
      <c r="V15" s="54">
        <f t="shared" si="1"/>
        <v>0</v>
      </c>
    </row>
    <row r="16" spans="1:22" x14ac:dyDescent="0.15">
      <c r="A16" s="32" t="s">
        <v>61</v>
      </c>
      <c r="B16" s="32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VLOOKUP(L16,tables_settle_7104100!B:C,2,FALSE)</f>
        <v>#N/A</v>
      </c>
      <c r="R16" s="62">
        <f t="shared" si="0"/>
        <v>0</v>
      </c>
      <c r="S16">
        <v>396</v>
      </c>
      <c r="U16" s="32" t="s">
        <v>111</v>
      </c>
      <c r="V16" s="54">
        <f t="shared" si="1"/>
        <v>0</v>
      </c>
    </row>
    <row r="17" spans="1:19" x14ac:dyDescent="0.15">
      <c r="A17" s="32" t="s">
        <v>196</v>
      </c>
      <c r="B17" s="89">
        <v>0</v>
      </c>
      <c r="C17" s="74">
        <f t="shared" ref="C17:C31" si="2">SUMIF(Q:Q,A17,N:N)</f>
        <v>0</v>
      </c>
      <c r="D17" s="75">
        <f t="shared" ref="D17:D32" si="3">B17-C17</f>
        <v>0</v>
      </c>
      <c r="E17">
        <f>COUNTIF(tables_settle_7104100!C:C,input_settle_7104100!A17)-COUNTIF(Q:Q,A17)</f>
        <v>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VLOOKUP(L17,tables_settle_7104100!B:C,2,FALSE)</f>
        <v>#N/A</v>
      </c>
      <c r="R17" s="62">
        <f t="shared" si="0"/>
        <v>0</v>
      </c>
      <c r="S17">
        <v>397</v>
      </c>
    </row>
    <row r="18" spans="1:19" x14ac:dyDescent="0.15">
      <c r="A18" s="32" t="s">
        <v>197</v>
      </c>
      <c r="B18" s="89">
        <v>0</v>
      </c>
      <c r="C18" s="74">
        <f t="shared" si="2"/>
        <v>0</v>
      </c>
      <c r="D18" s="75">
        <f t="shared" si="3"/>
        <v>0</v>
      </c>
      <c r="E18">
        <f>COUNTIF(tables_settle_7104100!C:C,input_settle_7104100!A18)-COUNTIF(Q:Q,A18)</f>
        <v>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VLOOKUP(L18,tables_settle_7104100!B:C,2,FALSE)</f>
        <v>#N/A</v>
      </c>
      <c r="R18" s="62">
        <f t="shared" si="0"/>
        <v>0</v>
      </c>
      <c r="S18">
        <v>324</v>
      </c>
    </row>
    <row r="19" spans="1:19" x14ac:dyDescent="0.15">
      <c r="A19" s="32" t="s">
        <v>99</v>
      </c>
      <c r="B19" s="56">
        <v>0</v>
      </c>
      <c r="C19" s="74">
        <f t="shared" si="2"/>
        <v>0</v>
      </c>
      <c r="D19" s="75">
        <f t="shared" si="3"/>
        <v>0</v>
      </c>
      <c r="E19">
        <f>COUNTIF(tables_settle_7104100!C:C,input_settle_7104100!A19)-COUNTIF(Q:Q,A19)</f>
        <v>0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VLOOKUP(L19,tables_settle_7104100!B:C,2,FALSE)</f>
        <v>#N/A</v>
      </c>
      <c r="R19" s="62">
        <f t="shared" si="0"/>
        <v>0</v>
      </c>
      <c r="S19">
        <v>325</v>
      </c>
    </row>
    <row r="20" spans="1:19" x14ac:dyDescent="0.15">
      <c r="A20" s="32" t="s">
        <v>100</v>
      </c>
      <c r="B20" s="56">
        <v>0</v>
      </c>
      <c r="C20" s="74">
        <f t="shared" si="2"/>
        <v>0</v>
      </c>
      <c r="D20" s="75">
        <f t="shared" si="3"/>
        <v>0</v>
      </c>
      <c r="E20">
        <f>COUNTIF(tables_settle_7104100!C:C,input_settle_7104100!A20)-COUNTIF(Q:Q,A20)</f>
        <v>0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VLOOKUP(L20,tables_settle_7104100!B:C,2,FALSE)</f>
        <v>#N/A</v>
      </c>
      <c r="R20" s="62">
        <f t="shared" si="0"/>
        <v>0</v>
      </c>
      <c r="S20">
        <v>809</v>
      </c>
    </row>
    <row r="21" spans="1:19" x14ac:dyDescent="0.15">
      <c r="A21" s="32" t="s">
        <v>101</v>
      </c>
      <c r="B21" s="90" t="e">
        <v>#DIV/0!</v>
      </c>
      <c r="C21" s="74">
        <f t="shared" si="2"/>
        <v>0</v>
      </c>
      <c r="D21" s="75" t="e">
        <f t="shared" si="3"/>
        <v>#DIV/0!</v>
      </c>
      <c r="E21">
        <f>COUNTIF(tables_settle_7104100!C:C,input_settle_7104100!A21)-COUNTIF(Q:Q,A21)</f>
        <v>0</v>
      </c>
      <c r="F21" s="43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2" t="s">
        <v>202</v>
      </c>
      <c r="B22" s="70">
        <v>0</v>
      </c>
      <c r="C22" s="74">
        <f t="shared" si="2"/>
        <v>0</v>
      </c>
      <c r="D22" s="75">
        <f t="shared" si="3"/>
        <v>0</v>
      </c>
      <c r="E22">
        <f>COUNTIF(tables_settle_7104100!C:C,input_settle_7104100!A22)-COUNTIF(Q:Q,A22)</f>
        <v>0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2" t="s">
        <v>203</v>
      </c>
      <c r="B23" s="91" t="e">
        <f>B7-B26-B28-B29-B21</f>
        <v>#DIV/0!</v>
      </c>
      <c r="C23" s="74">
        <f t="shared" si="2"/>
        <v>0</v>
      </c>
      <c r="D23" s="75" t="e">
        <f t="shared" si="3"/>
        <v>#DIV/0!</v>
      </c>
      <c r="E23">
        <f>COUNTIF(tables_settle_7104100!C:C,input_settle_7104100!A23)-COUNTIF(Q:Q,A23)</f>
        <v>0</v>
      </c>
      <c r="F23" s="43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2" t="s">
        <v>199</v>
      </c>
      <c r="B24" s="42">
        <v>0</v>
      </c>
      <c r="C24" s="74">
        <f t="shared" si="2"/>
        <v>0</v>
      </c>
      <c r="D24" s="75">
        <f t="shared" si="3"/>
        <v>0</v>
      </c>
      <c r="E24">
        <f>COUNTIF(tables_settle_7104100!C:C,input_settle_7104100!A24)-COUNTIF(Q:Q,A24)</f>
        <v>0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2" t="s">
        <v>200</v>
      </c>
      <c r="B25" s="42">
        <v>0</v>
      </c>
      <c r="C25" s="74">
        <f t="shared" si="2"/>
        <v>0</v>
      </c>
      <c r="D25" s="75">
        <f t="shared" si="3"/>
        <v>0</v>
      </c>
      <c r="E25">
        <f>COUNTIF(tables_settle_7104100!C:C,input_settle_7104100!A25)-COUNTIF(Q:Q,A25)</f>
        <v>0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2" t="s">
        <v>201</v>
      </c>
      <c r="B26" s="42">
        <v>7.4999999999999997E-3</v>
      </c>
      <c r="C26" s="74">
        <f t="shared" si="2"/>
        <v>0</v>
      </c>
      <c r="D26" s="75">
        <f t="shared" si="3"/>
        <v>7.4999999999999997E-3</v>
      </c>
      <c r="E26">
        <f>COUNTIF(tables_settle_7104100!C:C,input_settle_7104100!A26)-COUNTIF(Q:Q,A26)</f>
        <v>4</v>
      </c>
      <c r="F26" s="43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2" t="s">
        <v>109</v>
      </c>
      <c r="B27" s="42">
        <v>0</v>
      </c>
      <c r="C27" s="74">
        <f t="shared" si="2"/>
        <v>0</v>
      </c>
      <c r="D27" s="75">
        <f t="shared" si="3"/>
        <v>0</v>
      </c>
      <c r="E27">
        <f>COUNTIF(tables_settle_7104100!C:C,input_settle_7104100!A27)-COUNTIF(Q:Q,A27)</f>
        <v>0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2" t="s">
        <v>110</v>
      </c>
      <c r="B28" s="42">
        <v>5.2499999999999998E-2</v>
      </c>
      <c r="C28" s="74">
        <f t="shared" si="2"/>
        <v>0</v>
      </c>
      <c r="D28" s="75">
        <f t="shared" si="3"/>
        <v>5.2499999999999998E-2</v>
      </c>
      <c r="E28">
        <f>COUNTIF(tables_settle_7104100!C:C,input_settle_7104100!A28)-COUNTIF(Q:Q,A28)</f>
        <v>6</v>
      </c>
      <c r="F28" s="43">
        <f t="shared" si="7"/>
        <v>8.7499999999999991E-3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2" t="s">
        <v>205</v>
      </c>
      <c r="B29" s="42">
        <v>3.7499999999999999E-3</v>
      </c>
      <c r="C29" s="74">
        <f t="shared" si="2"/>
        <v>0</v>
      </c>
      <c r="D29" s="75">
        <f t="shared" si="3"/>
        <v>3.7499999999999999E-3</v>
      </c>
      <c r="E29">
        <f>COUNTIF(tables_settle_7104100!C:C,input_settle_7104100!A29)-COUNTIF(Q:Q,A29)</f>
        <v>6</v>
      </c>
      <c r="F29" s="43">
        <f>IFERROR(B29/E29,0)</f>
        <v>6.2500000000000001E-4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2" t="s">
        <v>204</v>
      </c>
      <c r="B30" s="42">
        <v>0</v>
      </c>
      <c r="C30" s="74">
        <f t="shared" si="2"/>
        <v>0</v>
      </c>
      <c r="D30" s="75">
        <f t="shared" si="3"/>
        <v>0</v>
      </c>
      <c r="E30">
        <f>COUNTIF(tables_settle_7104100!C:C,input_settle_7104100!A30)-COUNTIF(Q:Q,A30)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2" t="s">
        <v>111</v>
      </c>
      <c r="B31" s="42">
        <v>0</v>
      </c>
      <c r="C31" s="74">
        <f t="shared" si="2"/>
        <v>0</v>
      </c>
      <c r="D31" s="75">
        <f t="shared" si="3"/>
        <v>0</v>
      </c>
      <c r="E31">
        <f>COUNTIF(tables_settle_7104100!C:C,input_settle_7104100!A31)-COUNTIF(Q:Q,A31)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 t="e">
        <f>SUM(B17:B31)</f>
        <v>#DIV/0!</v>
      </c>
      <c r="C32" s="41">
        <f>SUM(C19:C31)</f>
        <v>0</v>
      </c>
      <c r="D32" s="42" t="e">
        <f t="shared" si="3"/>
        <v>#DIV/0!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0</v>
      </c>
    </row>
    <row r="38" spans="1:7" x14ac:dyDescent="0.15">
      <c r="A38" s="47" t="s">
        <v>78</v>
      </c>
    </row>
    <row r="39" spans="1:7" x14ac:dyDescent="0.15">
      <c r="A39" s="32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2" t="s">
        <v>106</v>
      </c>
      <c r="B40">
        <f>SUMIF(tables_settle_7104100!C:C,input_settle_7104100!A40,tables_settle_7104100!O:O)</f>
        <v>0</v>
      </c>
      <c r="C40" s="54">
        <f t="shared" ref="C40:C46" si="9">B40/B$47</f>
        <v>0</v>
      </c>
      <c r="E40">
        <v>3</v>
      </c>
      <c r="F40">
        <f>SUMIF(tables_settle_7104100!J:J,input_settle_7104100!E40,tables_settle_7104100!O:O)</f>
        <v>0</v>
      </c>
      <c r="G40" t="e">
        <f>F40/A36</f>
        <v>#DIV/0!</v>
      </c>
    </row>
    <row r="41" spans="1:7" x14ac:dyDescent="0.15">
      <c r="A41" s="32" t="s">
        <v>107</v>
      </c>
      <c r="B41">
        <f>SUMIF(tables_settle_7104100!C:C,input_settle_7104100!A41,tables_settle_7104100!O:O)</f>
        <v>0</v>
      </c>
      <c r="C41" s="54">
        <f t="shared" si="9"/>
        <v>0</v>
      </c>
      <c r="E41">
        <v>4</v>
      </c>
      <c r="F41">
        <f>SUMIF(tables_settle_7104100!J:J,input_settle_7104100!E41,tables_settle_7104100!O:O)</f>
        <v>0</v>
      </c>
      <c r="G41" t="e">
        <f>F41/A36</f>
        <v>#DIV/0!</v>
      </c>
    </row>
    <row r="42" spans="1:7" x14ac:dyDescent="0.15">
      <c r="A42" s="32" t="s">
        <v>112</v>
      </c>
      <c r="B42">
        <f>SUMIF(tables_settle_7104100!C:C,input_settle_7104100!A42,tables_settle_7104100!O:O)</f>
        <v>0</v>
      </c>
      <c r="C42" s="54">
        <f t="shared" si="9"/>
        <v>0</v>
      </c>
      <c r="E42">
        <v>5</v>
      </c>
      <c r="F42">
        <f>SUMIF(tables_settle_7104100!J:J,input_settle_7104100!E42,tables_settle_7104100!O:O)</f>
        <v>160</v>
      </c>
      <c r="G42" t="e">
        <f>F42/A36</f>
        <v>#DIV/0!</v>
      </c>
    </row>
    <row r="43" spans="1:7" x14ac:dyDescent="0.15">
      <c r="A43" s="32" t="s">
        <v>113</v>
      </c>
      <c r="B43">
        <f>SUMIF(tables_settle_7104100!C:C,input_settle_7104100!A43,tables_settle_7104100!O:O)</f>
        <v>0</v>
      </c>
      <c r="C43" s="54">
        <f t="shared" si="9"/>
        <v>0</v>
      </c>
      <c r="F43" s="55"/>
    </row>
    <row r="44" spans="1:7" x14ac:dyDescent="0.15">
      <c r="A44" s="32" t="s">
        <v>108</v>
      </c>
      <c r="B44">
        <f>SUMIF(tables_settle_7104100!C:C,input_settle_7104100!A44,tables_settle_7104100!O:O)</f>
        <v>0</v>
      </c>
      <c r="C44" s="54">
        <f t="shared" si="9"/>
        <v>0</v>
      </c>
      <c r="E44" t="s">
        <v>55</v>
      </c>
      <c r="F44" s="55"/>
    </row>
    <row r="45" spans="1:7" x14ac:dyDescent="0.15">
      <c r="A45" s="32" t="s">
        <v>114</v>
      </c>
      <c r="B45">
        <f>SUMIF(tables_settle_7104100!C:C,input_settle_7104100!A45,tables_settle_7104100!O:O)</f>
        <v>60</v>
      </c>
      <c r="C45" s="54">
        <f t="shared" si="9"/>
        <v>1</v>
      </c>
      <c r="E45" t="s">
        <v>210</v>
      </c>
      <c r="F45" s="55">
        <f>SUMIF(tables_settle_7104100!I:I,input_settle_7104100!E45,tables_settle_7104100!P:P)</f>
        <v>0</v>
      </c>
    </row>
    <row r="46" spans="1:7" x14ac:dyDescent="0.15">
      <c r="A46" s="32" t="s">
        <v>115</v>
      </c>
      <c r="B46">
        <f>SUMIF(tables_settle_7104100!C:C,input_settle_7104100!A46,tables_settle_7104100!O:O)</f>
        <v>0</v>
      </c>
      <c r="C46" s="54">
        <f t="shared" si="9"/>
        <v>0</v>
      </c>
      <c r="E46" t="s">
        <v>211</v>
      </c>
      <c r="F46" s="55">
        <f>SUMIF(tables_settle_7104100!I:I,input_settle_7104100!E46,tables_settle_7104100!P:P)</f>
        <v>0.1875</v>
      </c>
    </row>
    <row r="47" spans="1:7" x14ac:dyDescent="0.15">
      <c r="A47" s="39" t="s">
        <v>60</v>
      </c>
      <c r="B47">
        <f>SUM(B40:B46)</f>
        <v>60</v>
      </c>
      <c r="C47" s="55">
        <f>SUM(C40:C46)</f>
        <v>1</v>
      </c>
      <c r="E47" t="s">
        <v>212</v>
      </c>
      <c r="F47" s="55">
        <f>SUMIF(tables_settle_7104100!I:I,input_settle_7104100!E47,tables_settle_7104100!P:P)</f>
        <v>6.25E-2</v>
      </c>
    </row>
    <row r="48" spans="1:7" x14ac:dyDescent="0.15">
      <c r="E48" t="s">
        <v>213</v>
      </c>
      <c r="F48" s="55">
        <f>SUMIF(tables_settle_7104100!I:I,input_settle_7104100!E48,tables_settle_7104100!P:P)</f>
        <v>0.75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tabSelected="1" zoomScale="75" zoomScaleNormal="75" zoomScalePageLayoutView="75" workbookViewId="0">
      <pane ySplit="1" topLeftCell="A2" activePane="bottomLeft" state="frozen"/>
      <selection activeCell="E6" sqref="E6"/>
      <selection pane="bottomLeft" activeCell="F9" sqref="F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233</v>
      </c>
      <c r="B1" s="15" t="s">
        <v>1</v>
      </c>
      <c r="C1" s="3" t="s">
        <v>31</v>
      </c>
      <c r="D1" s="3" t="s">
        <v>234</v>
      </c>
      <c r="E1" s="3" t="s">
        <v>194</v>
      </c>
      <c r="F1" s="3" t="s">
        <v>195</v>
      </c>
      <c r="G1" s="3" t="s">
        <v>235</v>
      </c>
      <c r="H1" s="3" t="s">
        <v>236</v>
      </c>
      <c r="I1" s="3" t="s">
        <v>237</v>
      </c>
      <c r="J1" s="3" t="s">
        <v>238</v>
      </c>
      <c r="K1" s="3" t="s">
        <v>239</v>
      </c>
      <c r="L1" s="3" t="s">
        <v>240</v>
      </c>
      <c r="M1" s="3" t="s">
        <v>241</v>
      </c>
      <c r="N1" s="3" t="s">
        <v>59</v>
      </c>
      <c r="O1" s="15" t="s">
        <v>242</v>
      </c>
      <c r="P1" s="3" t="s">
        <v>64</v>
      </c>
      <c r="Q1" s="15" t="s">
        <v>243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input_settle_7104100!A$2</f>
        <v>7104100</v>
      </c>
      <c r="B2" s="6">
        <v>168</v>
      </c>
      <c r="C2" s="7" t="str">
        <f t="shared" ref="C2:C9" si="0">D2&amp;J2&amp;E2&amp;F2&amp;G2</f>
        <v>Premium5R6release</v>
      </c>
      <c r="D2" s="7" t="str">
        <f t="shared" ref="D2:D9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 t="shared" ref="P2:P9" si="2">O2/SUM(O:O)</f>
        <v>6.25E-2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input_settle_7104100!A$2</f>
        <v>7104100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si="2"/>
        <v>6.25E-2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input_settle_7104100!A$2</f>
        <v>7104100</v>
      </c>
      <c r="B4" s="6">
        <v>174</v>
      </c>
      <c r="C4" s="7" t="str">
        <f t="shared" si="0"/>
        <v>Premium5R6release</v>
      </c>
      <c r="D4" s="7" t="str">
        <f t="shared" si="1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2"/>
        <v>6.25E-2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input_settle_7104100!A$2</f>
        <v>7104100</v>
      </c>
      <c r="B5" s="5">
        <v>237</v>
      </c>
      <c r="C5" s="7" t="str">
        <f t="shared" si="0"/>
        <v>Premium5R6release</v>
      </c>
      <c r="D5" s="7" t="str">
        <f t="shared" si="1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2"/>
        <v>6.25E-2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input_settle_7104100!A$2</f>
        <v>7104100</v>
      </c>
      <c r="B6" s="60">
        <v>732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10</v>
      </c>
      <c r="P6" s="46">
        <f t="shared" si="2"/>
        <v>6.25E-2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input_settle_7104100!A$2</f>
        <v>7104100</v>
      </c>
      <c r="B7" s="60">
        <v>734</v>
      </c>
      <c r="C7" s="7" t="str">
        <f t="shared" si="0"/>
        <v>PremiumSS5R5only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10</v>
      </c>
      <c r="P7" s="46">
        <f t="shared" si="2"/>
        <v>6.25E-2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input_settle_7104100!A$2</f>
        <v>7104100</v>
      </c>
      <c r="B8" s="60">
        <v>325</v>
      </c>
      <c r="C8" s="7" t="str">
        <f t="shared" si="0"/>
        <v>PremiumSS5</v>
      </c>
      <c r="D8" s="7" t="str">
        <f t="shared" si="1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10</v>
      </c>
      <c r="P8" s="46">
        <f t="shared" si="2"/>
        <v>6.25E-2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input_settle_7104100!A$2</f>
        <v>7104100</v>
      </c>
      <c r="B9" s="60">
        <v>391</v>
      </c>
      <c r="C9" s="7" t="str">
        <f t="shared" si="0"/>
        <v>PremiumSS5</v>
      </c>
      <c r="D9" s="7" t="str">
        <f t="shared" si="1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10</v>
      </c>
      <c r="P9" s="46">
        <f t="shared" si="2"/>
        <v>6.25E-2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input_settle_7104100!A$2</f>
        <v>7104100</v>
      </c>
      <c r="B10" s="60">
        <v>848</v>
      </c>
      <c r="C10" s="7" t="str">
        <f t="shared" ref="C10:C11" si="3">D10&amp;J10&amp;E10&amp;F10&amp;G10</f>
        <v>PremiumSS5R5only</v>
      </c>
      <c r="D10" s="7" t="str">
        <f t="shared" ref="D10:D11" si="4">IF(I10="PremiumSS",I10,IF(I10="PremiumSSS",I10,IF(I10="PremiumW",I10,"Premium")))</f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5">
        <v>10</v>
      </c>
      <c r="P10" s="46">
        <f t="shared" ref="P10:P11" si="5">O10/SUM(O:O)</f>
        <v>6.25E-2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input_settle_7104100!A$2</f>
        <v>7104100</v>
      </c>
      <c r="B11" s="60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10</v>
      </c>
      <c r="P11" s="46">
        <f t="shared" si="5"/>
        <v>6.25E-2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input_settle_7104100!A$2</f>
        <v>7104100</v>
      </c>
      <c r="B12" s="60">
        <v>404</v>
      </c>
      <c r="C12" s="7" t="str">
        <f t="shared" ref="C12:C13" si="6">D12&amp;J12&amp;E12&amp;F12&amp;G12</f>
        <v>PremiumSS5</v>
      </c>
      <c r="D12" s="7" t="str">
        <f t="shared" ref="D12:D13" si="7">IF(I12="PremiumSS",I12,IF(I12="PremiumSSS",I12,IF(I12="PremiumW",I12,"Premium")))</f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5">
        <v>10</v>
      </c>
      <c r="P12" s="46">
        <f t="shared" ref="P12:P13" si="8">O12/SUM(O:O)</f>
        <v>6.25E-2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input_settle_7104100!A$2</f>
        <v>7104100</v>
      </c>
      <c r="B13" s="60">
        <v>399</v>
      </c>
      <c r="C13" s="7" t="str">
        <f t="shared" si="6"/>
        <v>PremiumSS5</v>
      </c>
      <c r="D13" s="7" t="str">
        <f t="shared" si="7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10</v>
      </c>
      <c r="P13" s="46">
        <f t="shared" si="8"/>
        <v>6.25E-2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input_settle_7104100!A$2</f>
        <v>7104100</v>
      </c>
      <c r="B14" s="60">
        <v>866</v>
      </c>
      <c r="C14" s="7" t="str">
        <f t="shared" ref="C14:C15" si="9">D14&amp;J14&amp;E14&amp;F14&amp;G14</f>
        <v>PremiumSS5R5only</v>
      </c>
      <c r="D14" s="7" t="str">
        <f t="shared" ref="D14:D15" si="10">IF(I14="PremiumSS",I14,IF(I14="PremiumSSS",I14,IF(I14="PremiumW",I14,"Premium")))</f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10</v>
      </c>
      <c r="P14" s="46">
        <f t="shared" ref="P14:P15" si="11">O14/SUM(O:O)</f>
        <v>6.25E-2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input_settle_7104100!A$2</f>
        <v>7104100</v>
      </c>
      <c r="B15" s="60">
        <v>868</v>
      </c>
      <c r="C15" s="7" t="str">
        <f t="shared" si="9"/>
        <v>PremiumSS5R5only</v>
      </c>
      <c r="D15" s="7" t="str">
        <f t="shared" si="10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v>10</v>
      </c>
      <c r="P15" s="46">
        <f t="shared" si="11"/>
        <v>6.25E-2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input_settle_7104100!A$2</f>
        <v>7104100</v>
      </c>
      <c r="B16" s="93">
        <v>435</v>
      </c>
      <c r="C16" s="7" t="str">
        <f t="shared" ref="C16:C17" si="12">D16&amp;J16&amp;E16&amp;F16&amp;G16</f>
        <v>PremiumSS5</v>
      </c>
      <c r="D16" s="7" t="str">
        <f t="shared" ref="D16:D17" si="13">IF(I16="PremiumSS",I16,IF(I16="PremiumSSS",I16,IF(I16="PremiumW",I16,"Premium")))</f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10</v>
      </c>
      <c r="P16" s="46">
        <f t="shared" ref="P16:P17" si="14">O16/SUM(O:O)</f>
        <v>6.25E-2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input_settle_7104100!A$2</f>
        <v>7104100</v>
      </c>
      <c r="B17" s="93">
        <v>468</v>
      </c>
      <c r="C17" s="7" t="str">
        <f t="shared" si="12"/>
        <v>PremiumSS5</v>
      </c>
      <c r="D17" s="7" t="str">
        <f t="shared" si="13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10</v>
      </c>
      <c r="P17" s="46">
        <f t="shared" si="14"/>
        <v>6.25E-2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K18" s="1"/>
    </row>
    <row r="19" spans="1:22" ht="21" customHeight="1" x14ac:dyDescent="0.15">
      <c r="K19" s="1"/>
    </row>
    <row r="20" spans="1:22" ht="21" customHeight="1" x14ac:dyDescent="0.15">
      <c r="K20" s="1"/>
    </row>
    <row r="21" spans="1:22" ht="21" customHeight="1" x14ac:dyDescent="0.15">
      <c r="K21" s="1"/>
    </row>
    <row r="22" spans="1:22" ht="21" customHeight="1" x14ac:dyDescent="0.15">
      <c r="K22" s="1"/>
    </row>
    <row r="23" spans="1:22" ht="21" customHeight="1" x14ac:dyDescent="0.15">
      <c r="K23" s="1"/>
    </row>
    <row r="24" spans="1:22" ht="21" customHeight="1" x14ac:dyDescent="0.15">
      <c r="K24" s="1"/>
    </row>
    <row r="25" spans="1:22" ht="21" customHeight="1" x14ac:dyDescent="0.15">
      <c r="K25" s="1"/>
    </row>
    <row r="26" spans="1:22" ht="21" customHeight="1" x14ac:dyDescent="0.15">
      <c r="K26" s="1"/>
    </row>
    <row r="27" spans="1:22" ht="21" customHeight="1" x14ac:dyDescent="0.15">
      <c r="K27" s="1"/>
    </row>
    <row r="28" spans="1:22" ht="21" customHeight="1" x14ac:dyDescent="0.15">
      <c r="K28" s="1"/>
    </row>
    <row r="29" spans="1:22" ht="21" customHeight="1" x14ac:dyDescent="0.15">
      <c r="K29" s="1"/>
    </row>
    <row r="30" spans="1:22" ht="21" customHeight="1" x14ac:dyDescent="0.15">
      <c r="K30" s="1"/>
    </row>
    <row r="31" spans="1:22" ht="21" customHeight="1" x14ac:dyDescent="0.15">
      <c r="K31" s="1"/>
    </row>
    <row r="32" spans="1:22" ht="21" customHeight="1" x14ac:dyDescent="0.15">
      <c r="K32" s="1"/>
    </row>
    <row r="33" spans="11:11" ht="21" customHeight="1" x14ac:dyDescent="0.15">
      <c r="K33" s="1"/>
    </row>
    <row r="34" spans="11:11" ht="21" customHeight="1" x14ac:dyDescent="0.15">
      <c r="K34" s="1"/>
    </row>
    <row r="35" spans="11:11" ht="21" customHeight="1" x14ac:dyDescent="0.15">
      <c r="K35" s="1"/>
    </row>
    <row r="36" spans="11:11" ht="21" customHeight="1" x14ac:dyDescent="0.15">
      <c r="K36" s="1"/>
    </row>
    <row r="37" spans="11:11" ht="21" customHeight="1" x14ac:dyDescent="0.15">
      <c r="K37" s="1"/>
    </row>
    <row r="38" spans="11:11" ht="21" customHeight="1" x14ac:dyDescent="0.15">
      <c r="K38" s="1"/>
    </row>
    <row r="39" spans="11:11" ht="21" customHeight="1" x14ac:dyDescent="0.15">
      <c r="K39" s="1"/>
    </row>
    <row r="40" spans="11:11" ht="21" customHeight="1" x14ac:dyDescent="0.15">
      <c r="K40" s="1"/>
    </row>
    <row r="41" spans="11:11" ht="21" customHeight="1" x14ac:dyDescent="0.15">
      <c r="K41" s="1"/>
    </row>
    <row r="42" spans="11:11" ht="21" customHeight="1" x14ac:dyDescent="0.15">
      <c r="K42" s="1"/>
    </row>
    <row r="43" spans="11:11" ht="21" customHeight="1" x14ac:dyDescent="0.15">
      <c r="K43" s="1"/>
    </row>
    <row r="44" spans="11:11" ht="21" customHeight="1" x14ac:dyDescent="0.15">
      <c r="K44" s="1"/>
    </row>
    <row r="45" spans="11:11" ht="21" customHeight="1" x14ac:dyDescent="0.15">
      <c r="K45" s="1"/>
    </row>
    <row r="46" spans="11:11" ht="21" customHeight="1" x14ac:dyDescent="0.15">
      <c r="K46" s="1"/>
    </row>
    <row r="47" spans="11:11" ht="21" customHeight="1" x14ac:dyDescent="0.15">
      <c r="K47" s="1"/>
    </row>
    <row r="48" spans="11:11" ht="21" customHeight="1" x14ac:dyDescent="0.15">
      <c r="K48" s="1"/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F14" sqref="F14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220</v>
      </c>
      <c r="B2" s="80">
        <v>33501</v>
      </c>
      <c r="C2" s="80" t="s">
        <v>223</v>
      </c>
      <c r="D2" s="80">
        <v>500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221</v>
      </c>
      <c r="O2" s="80" t="s">
        <v>226</v>
      </c>
      <c r="P2" s="80" t="s">
        <v>222</v>
      </c>
      <c r="Q2" s="81" t="s">
        <v>224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2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2">
        <v>169</v>
      </c>
      <c r="B6" s="37" t="str">
        <f>VLOOKUP(A6,[1]characters!$A:$C,3,FALSE)</f>
        <v>オセ</v>
      </c>
    </row>
    <row r="7" spans="1:2" x14ac:dyDescent="0.15">
      <c r="A7" s="32">
        <v>170</v>
      </c>
      <c r="B7" s="37" t="str">
        <f>VLOOKUP(A7,[1]characters!$A:$C,3,FALSE)</f>
        <v>識徒 オセ</v>
      </c>
    </row>
    <row r="8" spans="1:2" x14ac:dyDescent="0.15">
      <c r="A8" s="32">
        <v>171</v>
      </c>
      <c r="B8" s="37" t="str">
        <f>VLOOKUP(A8,[1]characters!$A:$C,3,FALSE)</f>
        <v>精解の預知者 オセ</v>
      </c>
    </row>
    <row r="9" spans="1:2" x14ac:dyDescent="0.15">
      <c r="A9" s="32">
        <v>172</v>
      </c>
      <c r="B9" s="37" t="str">
        <f>VLOOKUP(A9,[1]characters!$A:$C,3,FALSE)</f>
        <v>フォルネウス</v>
      </c>
    </row>
    <row r="10" spans="1:2" x14ac:dyDescent="0.15">
      <c r="A10" s="32">
        <v>173</v>
      </c>
      <c r="B10" s="37" t="str">
        <f>VLOOKUP(A10,[1]characters!$A:$C,3,FALSE)</f>
        <v>公爵 フォルネウス</v>
      </c>
    </row>
    <row r="11" spans="1:2" x14ac:dyDescent="0.15">
      <c r="A11" s="32">
        <v>174</v>
      </c>
      <c r="B11" s="37" t="str">
        <f>VLOOKUP(A11,[1]characters!$A:$C,3,FALSE)</f>
        <v>偽愛の大公爵 フォルネウス</v>
      </c>
    </row>
    <row r="12" spans="1:2" x14ac:dyDescent="0.15">
      <c r="A12" s="32">
        <v>235</v>
      </c>
      <c r="B12" s="37" t="str">
        <f>VLOOKUP(A12,[1]characters!$A:$C,3,FALSE)</f>
        <v>イザナミ</v>
      </c>
    </row>
    <row r="13" spans="1:2" x14ac:dyDescent="0.15">
      <c r="A13" s="32">
        <v>236</v>
      </c>
      <c r="B13" s="37" t="str">
        <f>VLOOKUP(A13,[1]characters!$A:$C,3,FALSE)</f>
        <v>神産 イザナミ</v>
      </c>
    </row>
    <row r="14" spans="1:2" x14ac:dyDescent="0.15">
      <c r="A14" s="32">
        <v>237</v>
      </c>
      <c r="B14" s="37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input_337010</vt:lpstr>
      <vt:lpstr>tables_337010</vt:lpstr>
      <vt:lpstr>input_settle_7104100</vt:lpstr>
      <vt:lpstr>tables_settle_7104100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2016-05-24T08:34:52Z</dcterms:modified>
</cp:coreProperties>
</file>