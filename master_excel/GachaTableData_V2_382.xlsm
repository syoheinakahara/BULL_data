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2"/>
  </bookViews>
  <sheets>
    <sheet name="確率の考え方" sheetId="110" r:id="rId1"/>
    <sheet name="Sheet1" sheetId="107" r:id="rId2"/>
    <sheet name="output" sheetId="103" r:id="rId3"/>
    <sheet name="input_382010" sheetId="159" r:id="rId4"/>
    <sheet name="tables_382010" sheetId="160" r:id="rId5"/>
    <sheet name="input_382100" sheetId="153" r:id="rId6"/>
    <sheet name="tables_382100" sheetId="154" r:id="rId7"/>
    <sheet name="tables_settle_378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tables_382010!$A$1:$V$294</definedName>
    <definedName name="_xlnm._FilterDatabase" localSheetId="6" hidden="1">tables_382100!$A$1:$V$294</definedName>
    <definedName name="_xlnm._FilterDatabase" localSheetId="7" hidden="1">tables_settle_378100!$A$1:$V$109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153" l="1"/>
  <c r="Q4" i="153"/>
  <c r="Q5" i="153"/>
  <c r="Q6" i="153"/>
  <c r="Q7" i="153"/>
  <c r="Q8" i="153"/>
  <c r="Q9" i="153"/>
  <c r="Q10" i="153"/>
  <c r="Q11" i="153"/>
  <c r="Q12" i="153"/>
  <c r="Q13" i="153"/>
  <c r="Q14" i="153"/>
  <c r="E19" i="153"/>
  <c r="E6" i="153"/>
  <c r="B19" i="153"/>
  <c r="E24" i="153"/>
  <c r="B24" i="153"/>
  <c r="B17" i="153"/>
  <c r="E18" i="153"/>
  <c r="B18" i="153"/>
  <c r="E23" i="153"/>
  <c r="B23" i="153"/>
  <c r="E26" i="153"/>
  <c r="B26" i="153"/>
  <c r="E28" i="153"/>
  <c r="B28" i="153"/>
  <c r="E29" i="153"/>
  <c r="B29" i="153"/>
  <c r="B21" i="153"/>
  <c r="E20" i="153"/>
  <c r="B20" i="153"/>
  <c r="E22" i="153"/>
  <c r="B22" i="153"/>
  <c r="E25" i="153"/>
  <c r="B25" i="153"/>
  <c r="E27" i="153"/>
  <c r="B27" i="153"/>
  <c r="B17" i="159"/>
  <c r="E6" i="159"/>
  <c r="B19" i="159"/>
  <c r="B24" i="159"/>
  <c r="F6" i="159"/>
  <c r="A2" i="153"/>
  <c r="A295" i="154"/>
  <c r="I295" i="154"/>
  <c r="D295" i="154"/>
  <c r="J295" i="154"/>
  <c r="E295" i="154"/>
  <c r="F295" i="154"/>
  <c r="C295" i="154"/>
  <c r="H295" i="154"/>
  <c r="K295" i="154"/>
  <c r="L295" i="154"/>
  <c r="M295" i="154"/>
  <c r="N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F5" i="153"/>
  <c r="F6" i="153"/>
  <c r="A36" i="153"/>
  <c r="E5" i="153"/>
  <c r="Q15" i="153"/>
  <c r="Q16" i="153"/>
  <c r="Q17" i="153"/>
  <c r="Q18" i="153"/>
  <c r="Q19" i="153"/>
  <c r="Q20" i="153"/>
  <c r="G29" i="153"/>
  <c r="H29" i="153"/>
  <c r="O295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R3" i="153"/>
  <c r="O42" i="154"/>
  <c r="G25" i="153"/>
  <c r="H25" i="153"/>
  <c r="R4" i="153"/>
  <c r="O43" i="154"/>
  <c r="G26" i="153"/>
  <c r="H26" i="153"/>
  <c r="R5" i="153"/>
  <c r="O44" i="154"/>
  <c r="R6" i="153"/>
  <c r="O45" i="154"/>
  <c r="R7" i="153"/>
  <c r="O46" i="154"/>
  <c r="R8" i="153"/>
  <c r="O47" i="154"/>
  <c r="R9" i="153"/>
  <c r="O48" i="154"/>
  <c r="R10" i="153"/>
  <c r="O49" i="154"/>
  <c r="R11" i="153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R12" i="153"/>
  <c r="O111" i="154"/>
  <c r="R13" i="153"/>
  <c r="O112" i="154"/>
  <c r="R14" i="153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6" i="154"/>
  <c r="O297" i="154"/>
  <c r="O298" i="154"/>
  <c r="O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P2" i="154"/>
  <c r="B10" i="153"/>
  <c r="A2" i="159"/>
  <c r="I3" i="160"/>
  <c r="D3" i="160"/>
  <c r="J3" i="160"/>
  <c r="E3" i="160"/>
  <c r="C3" i="160"/>
  <c r="I2" i="160"/>
  <c r="D2" i="160"/>
  <c r="J2" i="160"/>
  <c r="E2" i="160"/>
  <c r="C2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F5" i="159"/>
  <c r="A3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8" i="159"/>
  <c r="E19" i="159"/>
  <c r="E24" i="159"/>
  <c r="B18" i="159"/>
  <c r="G18" i="159"/>
  <c r="H18" i="159"/>
  <c r="O3" i="160"/>
  <c r="G17" i="159"/>
  <c r="E17" i="159"/>
  <c r="H17" i="159"/>
  <c r="O2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R3" i="159"/>
  <c r="O42" i="160"/>
  <c r="E25" i="159"/>
  <c r="B25" i="159"/>
  <c r="G25" i="159"/>
  <c r="H25" i="159"/>
  <c r="R4" i="159"/>
  <c r="O43" i="160"/>
  <c r="E26" i="159"/>
  <c r="B26" i="159"/>
  <c r="G26" i="159"/>
  <c r="H26" i="159"/>
  <c r="R5" i="159"/>
  <c r="O44" i="160"/>
  <c r="R6" i="159"/>
  <c r="O45" i="160"/>
  <c r="R7" i="159"/>
  <c r="O46" i="160"/>
  <c r="R8" i="159"/>
  <c r="O47" i="160"/>
  <c r="R9" i="159"/>
  <c r="O48" i="160"/>
  <c r="R10" i="159"/>
  <c r="O49" i="160"/>
  <c r="R11" i="159"/>
  <c r="O50" i="160"/>
  <c r="G19" i="159"/>
  <c r="H19" i="159"/>
  <c r="O51" i="160"/>
  <c r="E20" i="159"/>
  <c r="E23" i="159"/>
  <c r="B23" i="159"/>
  <c r="E5" i="159"/>
  <c r="E28" i="159"/>
  <c r="B28" i="159"/>
  <c r="E29" i="159"/>
  <c r="B29" i="159"/>
  <c r="B21" i="159"/>
  <c r="B20" i="159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R12" i="159"/>
  <c r="O111" i="160"/>
  <c r="R13" i="159"/>
  <c r="O112" i="160"/>
  <c r="R14" i="159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B22" i="159"/>
  <c r="G22" i="159"/>
  <c r="H22" i="159"/>
  <c r="O256" i="160"/>
  <c r="G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2" i="160"/>
  <c r="A295" i="160"/>
  <c r="F295" i="160"/>
  <c r="H295" i="160"/>
  <c r="K295" i="160"/>
  <c r="L295" i="160"/>
  <c r="M295" i="160"/>
  <c r="N295" i="160"/>
  <c r="F296" i="160"/>
  <c r="F297" i="160"/>
  <c r="F298" i="160"/>
  <c r="F299" i="160"/>
  <c r="A296" i="160"/>
  <c r="H296" i="160"/>
  <c r="K296" i="160"/>
  <c r="L296" i="160"/>
  <c r="M296" i="160"/>
  <c r="N296" i="160"/>
  <c r="A297" i="160"/>
  <c r="H297" i="160"/>
  <c r="K297" i="160"/>
  <c r="L297" i="160"/>
  <c r="M297" i="160"/>
  <c r="N297" i="160"/>
  <c r="A298" i="160"/>
  <c r="H298" i="160"/>
  <c r="K298" i="160"/>
  <c r="L298" i="160"/>
  <c r="M298" i="160"/>
  <c r="N298" i="160"/>
  <c r="A299" i="160"/>
  <c r="H299" i="160"/>
  <c r="K299" i="160"/>
  <c r="L299" i="160"/>
  <c r="M299" i="160"/>
  <c r="N299" i="160"/>
  <c r="B10" i="159"/>
  <c r="B32" i="159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E31" i="159"/>
  <c r="G31" i="159"/>
  <c r="H31" i="159"/>
  <c r="E30" i="159"/>
  <c r="G30" i="159"/>
  <c r="H30" i="159"/>
  <c r="N294" i="160"/>
  <c r="M294" i="160"/>
  <c r="L294" i="160"/>
  <c r="K294" i="160"/>
  <c r="H294" i="160"/>
  <c r="A294" i="160"/>
  <c r="N293" i="160"/>
  <c r="M293" i="160"/>
  <c r="L293" i="160"/>
  <c r="K293" i="160"/>
  <c r="H293" i="160"/>
  <c r="A293" i="160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P14" i="159"/>
  <c r="O14" i="159"/>
  <c r="M14" i="159"/>
  <c r="V13" i="159"/>
  <c r="P13" i="159"/>
  <c r="O13" i="159"/>
  <c r="M13" i="159"/>
  <c r="V12" i="159"/>
  <c r="P12" i="159"/>
  <c r="O12" i="159"/>
  <c r="M12" i="159"/>
  <c r="V11" i="159"/>
  <c r="P11" i="159"/>
  <c r="O11" i="159"/>
  <c r="M11" i="159"/>
  <c r="V10" i="159"/>
  <c r="P10" i="159"/>
  <c r="O10" i="159"/>
  <c r="M10" i="159"/>
  <c r="V9" i="159"/>
  <c r="P9" i="159"/>
  <c r="O9" i="159"/>
  <c r="M9" i="159"/>
  <c r="V8" i="159"/>
  <c r="P8" i="159"/>
  <c r="O8" i="159"/>
  <c r="M8" i="159"/>
  <c r="V7" i="159"/>
  <c r="P7" i="159"/>
  <c r="O7" i="159"/>
  <c r="M7" i="159"/>
  <c r="V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O107" i="156"/>
  <c r="O108" i="156"/>
  <c r="O109" i="156"/>
  <c r="O106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I98" i="156"/>
  <c r="D98" i="156"/>
  <c r="I99" i="156"/>
  <c r="D99" i="156"/>
  <c r="I100" i="156"/>
  <c r="D100" i="156"/>
  <c r="I101" i="156"/>
  <c r="D101" i="156"/>
  <c r="I102" i="156"/>
  <c r="D102" i="156"/>
  <c r="I103" i="156"/>
  <c r="D103" i="156"/>
  <c r="I104" i="156"/>
  <c r="D104" i="156"/>
  <c r="I105" i="156"/>
  <c r="D105" i="156"/>
  <c r="I106" i="156"/>
  <c r="D106" i="156"/>
  <c r="I107" i="156"/>
  <c r="D107" i="156"/>
  <c r="I108" i="156"/>
  <c r="D108" i="156"/>
  <c r="I109" i="156"/>
  <c r="D109" i="156"/>
  <c r="O2" i="156"/>
  <c r="O3" i="156"/>
  <c r="O4" i="156"/>
  <c r="O5" i="156"/>
  <c r="O6" i="156"/>
  <c r="O7" i="156"/>
  <c r="O8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J7" i="156"/>
  <c r="E7" i="156"/>
  <c r="F7" i="156"/>
  <c r="C7" i="156"/>
  <c r="H7" i="156"/>
  <c r="K7" i="156"/>
  <c r="L7" i="156"/>
  <c r="M7" i="156"/>
  <c r="N7" i="156"/>
  <c r="P7" i="156"/>
  <c r="J8" i="156"/>
  <c r="E8" i="156"/>
  <c r="F8" i="156"/>
  <c r="C8" i="156"/>
  <c r="H8" i="156"/>
  <c r="K8" i="156"/>
  <c r="L8" i="156"/>
  <c r="M8" i="156"/>
  <c r="N8" i="156"/>
  <c r="P8" i="156"/>
  <c r="J9" i="156"/>
  <c r="E9" i="156"/>
  <c r="F9" i="156"/>
  <c r="C9" i="156"/>
  <c r="H9" i="156"/>
  <c r="K9" i="156"/>
  <c r="L9" i="156"/>
  <c r="M9" i="156"/>
  <c r="N9" i="156"/>
  <c r="P9" i="156"/>
  <c r="J10" i="156"/>
  <c r="E10" i="156"/>
  <c r="F10" i="156"/>
  <c r="C10" i="156"/>
  <c r="H10" i="156"/>
  <c r="K10" i="156"/>
  <c r="L10" i="156"/>
  <c r="M10" i="156"/>
  <c r="N10" i="156"/>
  <c r="P10" i="156"/>
  <c r="J11" i="156"/>
  <c r="E11" i="156"/>
  <c r="F11" i="156"/>
  <c r="C11" i="156"/>
  <c r="H11" i="156"/>
  <c r="K11" i="156"/>
  <c r="L11" i="156"/>
  <c r="M11" i="156"/>
  <c r="N11" i="156"/>
  <c r="P11" i="156"/>
  <c r="J12" i="156"/>
  <c r="E12" i="156"/>
  <c r="F12" i="156"/>
  <c r="C12" i="156"/>
  <c r="H12" i="156"/>
  <c r="K12" i="156"/>
  <c r="L12" i="156"/>
  <c r="M12" i="156"/>
  <c r="N12" i="156"/>
  <c r="P12" i="156"/>
  <c r="J13" i="156"/>
  <c r="E13" i="156"/>
  <c r="F13" i="156"/>
  <c r="C13" i="156"/>
  <c r="H13" i="156"/>
  <c r="K13" i="156"/>
  <c r="L13" i="156"/>
  <c r="M13" i="156"/>
  <c r="N13" i="156"/>
  <c r="P13" i="156"/>
  <c r="J14" i="156"/>
  <c r="E14" i="156"/>
  <c r="F14" i="156"/>
  <c r="C14" i="156"/>
  <c r="H14" i="156"/>
  <c r="K14" i="156"/>
  <c r="L14" i="156"/>
  <c r="M14" i="156"/>
  <c r="N14" i="156"/>
  <c r="P14" i="156"/>
  <c r="J15" i="156"/>
  <c r="E15" i="156"/>
  <c r="F15" i="156"/>
  <c r="C15" i="156"/>
  <c r="H15" i="156"/>
  <c r="K15" i="156"/>
  <c r="L15" i="156"/>
  <c r="M15" i="156"/>
  <c r="N15" i="156"/>
  <c r="P15" i="156"/>
  <c r="J16" i="156"/>
  <c r="E16" i="156"/>
  <c r="F16" i="156"/>
  <c r="C16" i="156"/>
  <c r="H16" i="156"/>
  <c r="K16" i="156"/>
  <c r="L16" i="156"/>
  <c r="M16" i="156"/>
  <c r="N16" i="156"/>
  <c r="P16" i="156"/>
  <c r="J17" i="156"/>
  <c r="E17" i="156"/>
  <c r="F17" i="156"/>
  <c r="C17" i="156"/>
  <c r="H17" i="156"/>
  <c r="K17" i="156"/>
  <c r="L17" i="156"/>
  <c r="M17" i="156"/>
  <c r="N17" i="156"/>
  <c r="P17" i="156"/>
  <c r="J18" i="156"/>
  <c r="E18" i="156"/>
  <c r="F18" i="156"/>
  <c r="C18" i="156"/>
  <c r="H18" i="156"/>
  <c r="K18" i="156"/>
  <c r="L18" i="156"/>
  <c r="M18" i="156"/>
  <c r="N18" i="156"/>
  <c r="P18" i="156"/>
  <c r="J19" i="156"/>
  <c r="E19" i="156"/>
  <c r="F19" i="156"/>
  <c r="C19" i="156"/>
  <c r="H19" i="156"/>
  <c r="K19" i="156"/>
  <c r="L19" i="156"/>
  <c r="M19" i="156"/>
  <c r="N19" i="156"/>
  <c r="P19" i="156"/>
  <c r="J20" i="156"/>
  <c r="E20" i="156"/>
  <c r="F20" i="156"/>
  <c r="C20" i="156"/>
  <c r="H20" i="156"/>
  <c r="K20" i="156"/>
  <c r="L20" i="156"/>
  <c r="M20" i="156"/>
  <c r="N20" i="156"/>
  <c r="P20" i="156"/>
  <c r="J21" i="156"/>
  <c r="E21" i="156"/>
  <c r="F21" i="156"/>
  <c r="C21" i="156"/>
  <c r="H21" i="156"/>
  <c r="K21" i="156"/>
  <c r="L21" i="156"/>
  <c r="M21" i="156"/>
  <c r="N21" i="156"/>
  <c r="P21" i="156"/>
  <c r="J22" i="156"/>
  <c r="E22" i="156"/>
  <c r="F22" i="156"/>
  <c r="C22" i="156"/>
  <c r="H22" i="156"/>
  <c r="K22" i="156"/>
  <c r="L22" i="156"/>
  <c r="M22" i="156"/>
  <c r="N22" i="156"/>
  <c r="P22" i="156"/>
  <c r="J23" i="156"/>
  <c r="E23" i="156"/>
  <c r="F23" i="156"/>
  <c r="C23" i="156"/>
  <c r="H23" i="156"/>
  <c r="K23" i="156"/>
  <c r="L23" i="156"/>
  <c r="M23" i="156"/>
  <c r="N23" i="156"/>
  <c r="P23" i="156"/>
  <c r="J24" i="156"/>
  <c r="E24" i="156"/>
  <c r="F24" i="156"/>
  <c r="C24" i="156"/>
  <c r="H24" i="156"/>
  <c r="K24" i="156"/>
  <c r="L24" i="156"/>
  <c r="M24" i="156"/>
  <c r="N24" i="156"/>
  <c r="P24" i="156"/>
  <c r="J25" i="156"/>
  <c r="E25" i="156"/>
  <c r="F25" i="156"/>
  <c r="C25" i="156"/>
  <c r="H25" i="156"/>
  <c r="K25" i="156"/>
  <c r="L25" i="156"/>
  <c r="M25" i="156"/>
  <c r="N25" i="156"/>
  <c r="P25" i="156"/>
  <c r="J26" i="156"/>
  <c r="E26" i="156"/>
  <c r="F26" i="156"/>
  <c r="C26" i="156"/>
  <c r="H26" i="156"/>
  <c r="K26" i="156"/>
  <c r="L26" i="156"/>
  <c r="M26" i="156"/>
  <c r="N26" i="156"/>
  <c r="P26" i="156"/>
  <c r="J27" i="156"/>
  <c r="E27" i="156"/>
  <c r="F27" i="156"/>
  <c r="C27" i="156"/>
  <c r="H27" i="156"/>
  <c r="K27" i="156"/>
  <c r="L27" i="156"/>
  <c r="M27" i="156"/>
  <c r="N27" i="156"/>
  <c r="P27" i="156"/>
  <c r="J28" i="156"/>
  <c r="E28" i="156"/>
  <c r="F28" i="156"/>
  <c r="C28" i="156"/>
  <c r="H28" i="156"/>
  <c r="K28" i="156"/>
  <c r="L28" i="156"/>
  <c r="M28" i="156"/>
  <c r="N28" i="156"/>
  <c r="P28" i="156"/>
  <c r="J29" i="156"/>
  <c r="E29" i="156"/>
  <c r="F29" i="156"/>
  <c r="C29" i="156"/>
  <c r="H29" i="156"/>
  <c r="K29" i="156"/>
  <c r="L29" i="156"/>
  <c r="M29" i="156"/>
  <c r="N29" i="156"/>
  <c r="P29" i="156"/>
  <c r="J30" i="156"/>
  <c r="E30" i="156"/>
  <c r="F30" i="156"/>
  <c r="C30" i="156"/>
  <c r="H30" i="156"/>
  <c r="K30" i="156"/>
  <c r="L30" i="156"/>
  <c r="M30" i="156"/>
  <c r="N30" i="156"/>
  <c r="P30" i="156"/>
  <c r="J31" i="156"/>
  <c r="E31" i="156"/>
  <c r="F31" i="156"/>
  <c r="C31" i="156"/>
  <c r="H31" i="156"/>
  <c r="K31" i="156"/>
  <c r="L31" i="156"/>
  <c r="M31" i="156"/>
  <c r="N31" i="156"/>
  <c r="P31" i="156"/>
  <c r="J32" i="156"/>
  <c r="E32" i="156"/>
  <c r="F32" i="156"/>
  <c r="C32" i="156"/>
  <c r="H32" i="156"/>
  <c r="K32" i="156"/>
  <c r="L32" i="156"/>
  <c r="M32" i="156"/>
  <c r="N32" i="156"/>
  <c r="P32" i="156"/>
  <c r="J33" i="156"/>
  <c r="E33" i="156"/>
  <c r="F33" i="156"/>
  <c r="C33" i="156"/>
  <c r="H33" i="156"/>
  <c r="K33" i="156"/>
  <c r="L33" i="156"/>
  <c r="M33" i="156"/>
  <c r="N33" i="156"/>
  <c r="P33" i="156"/>
  <c r="J34" i="156"/>
  <c r="E34" i="156"/>
  <c r="F34" i="156"/>
  <c r="C34" i="156"/>
  <c r="H34" i="156"/>
  <c r="K34" i="156"/>
  <c r="L34" i="156"/>
  <c r="M34" i="156"/>
  <c r="N34" i="156"/>
  <c r="P34" i="156"/>
  <c r="J35" i="156"/>
  <c r="E35" i="156"/>
  <c r="F35" i="156"/>
  <c r="C35" i="156"/>
  <c r="H35" i="156"/>
  <c r="K35" i="156"/>
  <c r="L35" i="156"/>
  <c r="M35" i="156"/>
  <c r="N35" i="156"/>
  <c r="P35" i="156"/>
  <c r="J36" i="156"/>
  <c r="E36" i="156"/>
  <c r="F36" i="156"/>
  <c r="C36" i="156"/>
  <c r="H36" i="156"/>
  <c r="K36" i="156"/>
  <c r="L36" i="156"/>
  <c r="M36" i="156"/>
  <c r="N36" i="156"/>
  <c r="P36" i="156"/>
  <c r="J37" i="156"/>
  <c r="E37" i="156"/>
  <c r="F37" i="156"/>
  <c r="C37" i="156"/>
  <c r="H37" i="156"/>
  <c r="K37" i="156"/>
  <c r="L37" i="156"/>
  <c r="M37" i="156"/>
  <c r="N37" i="156"/>
  <c r="P37" i="156"/>
  <c r="J38" i="156"/>
  <c r="E38" i="156"/>
  <c r="F38" i="156"/>
  <c r="C38" i="156"/>
  <c r="H38" i="156"/>
  <c r="K38" i="156"/>
  <c r="L38" i="156"/>
  <c r="M38" i="156"/>
  <c r="N38" i="156"/>
  <c r="P38" i="156"/>
  <c r="J39" i="156"/>
  <c r="E39" i="156"/>
  <c r="F39" i="156"/>
  <c r="C39" i="156"/>
  <c r="H39" i="156"/>
  <c r="K39" i="156"/>
  <c r="L39" i="156"/>
  <c r="M39" i="156"/>
  <c r="N39" i="156"/>
  <c r="P39" i="156"/>
  <c r="J40" i="156"/>
  <c r="E40" i="156"/>
  <c r="F40" i="156"/>
  <c r="C40" i="156"/>
  <c r="H40" i="156"/>
  <c r="K40" i="156"/>
  <c r="L40" i="156"/>
  <c r="M40" i="156"/>
  <c r="N40" i="156"/>
  <c r="P40" i="156"/>
  <c r="J41" i="156"/>
  <c r="E41" i="156"/>
  <c r="F41" i="156"/>
  <c r="C41" i="156"/>
  <c r="H41" i="156"/>
  <c r="K41" i="156"/>
  <c r="L41" i="156"/>
  <c r="M41" i="156"/>
  <c r="N41" i="156"/>
  <c r="P41" i="156"/>
  <c r="J42" i="156"/>
  <c r="E42" i="156"/>
  <c r="F42" i="156"/>
  <c r="C42" i="156"/>
  <c r="H42" i="156"/>
  <c r="K42" i="156"/>
  <c r="L42" i="156"/>
  <c r="M42" i="156"/>
  <c r="N42" i="156"/>
  <c r="P42" i="156"/>
  <c r="J43" i="156"/>
  <c r="E43" i="156"/>
  <c r="F43" i="156"/>
  <c r="C43" i="156"/>
  <c r="H43" i="156"/>
  <c r="K43" i="156"/>
  <c r="L43" i="156"/>
  <c r="M43" i="156"/>
  <c r="N43" i="156"/>
  <c r="P43" i="156"/>
  <c r="J44" i="156"/>
  <c r="E44" i="156"/>
  <c r="F44" i="156"/>
  <c r="C44" i="156"/>
  <c r="H44" i="156"/>
  <c r="K44" i="156"/>
  <c r="L44" i="156"/>
  <c r="M44" i="156"/>
  <c r="N44" i="156"/>
  <c r="P44" i="156"/>
  <c r="J45" i="156"/>
  <c r="E45" i="156"/>
  <c r="F45" i="156"/>
  <c r="C45" i="156"/>
  <c r="H45" i="156"/>
  <c r="K45" i="156"/>
  <c r="L45" i="156"/>
  <c r="M45" i="156"/>
  <c r="N45" i="156"/>
  <c r="P45" i="156"/>
  <c r="J46" i="156"/>
  <c r="E46" i="156"/>
  <c r="F46" i="156"/>
  <c r="C46" i="156"/>
  <c r="H46" i="156"/>
  <c r="K46" i="156"/>
  <c r="L46" i="156"/>
  <c r="M46" i="156"/>
  <c r="N46" i="156"/>
  <c r="P46" i="156"/>
  <c r="J47" i="156"/>
  <c r="E47" i="156"/>
  <c r="F47" i="156"/>
  <c r="C47" i="156"/>
  <c r="H47" i="156"/>
  <c r="K47" i="156"/>
  <c r="L47" i="156"/>
  <c r="M47" i="156"/>
  <c r="N47" i="156"/>
  <c r="P47" i="156"/>
  <c r="J48" i="156"/>
  <c r="E48" i="156"/>
  <c r="F48" i="156"/>
  <c r="C48" i="156"/>
  <c r="H48" i="156"/>
  <c r="K48" i="156"/>
  <c r="L48" i="156"/>
  <c r="M48" i="156"/>
  <c r="N48" i="156"/>
  <c r="P48" i="156"/>
  <c r="J49" i="156"/>
  <c r="E49" i="156"/>
  <c r="F49" i="156"/>
  <c r="C49" i="156"/>
  <c r="H49" i="156"/>
  <c r="K49" i="156"/>
  <c r="L49" i="156"/>
  <c r="M49" i="156"/>
  <c r="N49" i="156"/>
  <c r="P49" i="156"/>
  <c r="J50" i="156"/>
  <c r="E50" i="156"/>
  <c r="F50" i="156"/>
  <c r="C50" i="156"/>
  <c r="H50" i="156"/>
  <c r="K50" i="156"/>
  <c r="L50" i="156"/>
  <c r="M50" i="156"/>
  <c r="N50" i="156"/>
  <c r="P50" i="156"/>
  <c r="J51" i="156"/>
  <c r="E51" i="156"/>
  <c r="F51" i="156"/>
  <c r="C51" i="156"/>
  <c r="H51" i="156"/>
  <c r="K51" i="156"/>
  <c r="L51" i="156"/>
  <c r="M51" i="156"/>
  <c r="N51" i="156"/>
  <c r="P51" i="156"/>
  <c r="J52" i="156"/>
  <c r="E52" i="156"/>
  <c r="F52" i="156"/>
  <c r="C52" i="156"/>
  <c r="H52" i="156"/>
  <c r="K52" i="156"/>
  <c r="L52" i="156"/>
  <c r="M52" i="156"/>
  <c r="N52" i="156"/>
  <c r="P52" i="156"/>
  <c r="J53" i="156"/>
  <c r="E53" i="156"/>
  <c r="F53" i="156"/>
  <c r="C53" i="156"/>
  <c r="H53" i="156"/>
  <c r="K53" i="156"/>
  <c r="L53" i="156"/>
  <c r="M53" i="156"/>
  <c r="N53" i="156"/>
  <c r="P53" i="156"/>
  <c r="J54" i="156"/>
  <c r="E54" i="156"/>
  <c r="F54" i="156"/>
  <c r="C54" i="156"/>
  <c r="H54" i="156"/>
  <c r="K54" i="156"/>
  <c r="L54" i="156"/>
  <c r="M54" i="156"/>
  <c r="N54" i="156"/>
  <c r="P54" i="156"/>
  <c r="J55" i="156"/>
  <c r="E55" i="156"/>
  <c r="F55" i="156"/>
  <c r="C55" i="156"/>
  <c r="H55" i="156"/>
  <c r="K55" i="156"/>
  <c r="L55" i="156"/>
  <c r="M55" i="156"/>
  <c r="N55" i="156"/>
  <c r="P55" i="156"/>
  <c r="J56" i="156"/>
  <c r="E56" i="156"/>
  <c r="F56" i="156"/>
  <c r="C56" i="156"/>
  <c r="H56" i="156"/>
  <c r="K56" i="156"/>
  <c r="L56" i="156"/>
  <c r="M56" i="156"/>
  <c r="N56" i="156"/>
  <c r="P56" i="156"/>
  <c r="J57" i="156"/>
  <c r="E57" i="156"/>
  <c r="F57" i="156"/>
  <c r="C57" i="156"/>
  <c r="H57" i="156"/>
  <c r="K57" i="156"/>
  <c r="L57" i="156"/>
  <c r="M57" i="156"/>
  <c r="N57" i="156"/>
  <c r="P57" i="156"/>
  <c r="J58" i="156"/>
  <c r="E58" i="156"/>
  <c r="F58" i="156"/>
  <c r="C58" i="156"/>
  <c r="H58" i="156"/>
  <c r="K58" i="156"/>
  <c r="L58" i="156"/>
  <c r="M58" i="156"/>
  <c r="N58" i="156"/>
  <c r="P58" i="156"/>
  <c r="J59" i="156"/>
  <c r="E59" i="156"/>
  <c r="F59" i="156"/>
  <c r="C59" i="156"/>
  <c r="H59" i="156"/>
  <c r="K59" i="156"/>
  <c r="L59" i="156"/>
  <c r="M59" i="156"/>
  <c r="N59" i="156"/>
  <c r="P59" i="156"/>
  <c r="J60" i="156"/>
  <c r="E60" i="156"/>
  <c r="F60" i="156"/>
  <c r="C60" i="156"/>
  <c r="H60" i="156"/>
  <c r="K60" i="156"/>
  <c r="L60" i="156"/>
  <c r="M60" i="156"/>
  <c r="N60" i="156"/>
  <c r="P60" i="156"/>
  <c r="J61" i="156"/>
  <c r="E61" i="156"/>
  <c r="F61" i="156"/>
  <c r="C61" i="156"/>
  <c r="H61" i="156"/>
  <c r="K61" i="156"/>
  <c r="L61" i="156"/>
  <c r="M61" i="156"/>
  <c r="N61" i="156"/>
  <c r="P61" i="156"/>
  <c r="J62" i="156"/>
  <c r="E62" i="156"/>
  <c r="F62" i="156"/>
  <c r="C62" i="156"/>
  <c r="H62" i="156"/>
  <c r="K62" i="156"/>
  <c r="L62" i="156"/>
  <c r="M62" i="156"/>
  <c r="N62" i="156"/>
  <c r="P62" i="156"/>
  <c r="J63" i="156"/>
  <c r="E63" i="156"/>
  <c r="F63" i="156"/>
  <c r="C63" i="156"/>
  <c r="H63" i="156"/>
  <c r="K63" i="156"/>
  <c r="L63" i="156"/>
  <c r="M63" i="156"/>
  <c r="N63" i="156"/>
  <c r="P63" i="156"/>
  <c r="J64" i="156"/>
  <c r="E64" i="156"/>
  <c r="F64" i="156"/>
  <c r="C64" i="156"/>
  <c r="H64" i="156"/>
  <c r="K64" i="156"/>
  <c r="L64" i="156"/>
  <c r="M64" i="156"/>
  <c r="N64" i="156"/>
  <c r="P64" i="156"/>
  <c r="J65" i="156"/>
  <c r="E65" i="156"/>
  <c r="F65" i="156"/>
  <c r="C65" i="156"/>
  <c r="H65" i="156"/>
  <c r="K65" i="156"/>
  <c r="L65" i="156"/>
  <c r="M65" i="156"/>
  <c r="N65" i="156"/>
  <c r="P65" i="156"/>
  <c r="J66" i="156"/>
  <c r="E66" i="156"/>
  <c r="F66" i="156"/>
  <c r="C66" i="156"/>
  <c r="H66" i="156"/>
  <c r="K66" i="156"/>
  <c r="L66" i="156"/>
  <c r="M66" i="156"/>
  <c r="N66" i="156"/>
  <c r="P66" i="156"/>
  <c r="J67" i="156"/>
  <c r="E67" i="156"/>
  <c r="F67" i="156"/>
  <c r="C67" i="156"/>
  <c r="H67" i="156"/>
  <c r="K67" i="156"/>
  <c r="L67" i="156"/>
  <c r="M67" i="156"/>
  <c r="N67" i="156"/>
  <c r="P67" i="156"/>
  <c r="J68" i="156"/>
  <c r="E68" i="156"/>
  <c r="F68" i="156"/>
  <c r="C68" i="156"/>
  <c r="H68" i="156"/>
  <c r="K68" i="156"/>
  <c r="L68" i="156"/>
  <c r="M68" i="156"/>
  <c r="N68" i="156"/>
  <c r="P68" i="156"/>
  <c r="J69" i="156"/>
  <c r="E69" i="156"/>
  <c r="F69" i="156"/>
  <c r="C69" i="156"/>
  <c r="H69" i="156"/>
  <c r="K69" i="156"/>
  <c r="L69" i="156"/>
  <c r="M69" i="156"/>
  <c r="N69" i="156"/>
  <c r="P69" i="156"/>
  <c r="J70" i="156"/>
  <c r="E70" i="156"/>
  <c r="F70" i="156"/>
  <c r="C70" i="156"/>
  <c r="H70" i="156"/>
  <c r="K70" i="156"/>
  <c r="L70" i="156"/>
  <c r="M70" i="156"/>
  <c r="N70" i="156"/>
  <c r="P70" i="156"/>
  <c r="J71" i="156"/>
  <c r="E71" i="156"/>
  <c r="F71" i="156"/>
  <c r="C71" i="156"/>
  <c r="H71" i="156"/>
  <c r="K71" i="156"/>
  <c r="L71" i="156"/>
  <c r="M71" i="156"/>
  <c r="N71" i="156"/>
  <c r="P71" i="156"/>
  <c r="J72" i="156"/>
  <c r="E72" i="156"/>
  <c r="F72" i="156"/>
  <c r="C72" i="156"/>
  <c r="H72" i="156"/>
  <c r="K72" i="156"/>
  <c r="L72" i="156"/>
  <c r="M72" i="156"/>
  <c r="N72" i="156"/>
  <c r="P72" i="156"/>
  <c r="J73" i="156"/>
  <c r="E73" i="156"/>
  <c r="F73" i="156"/>
  <c r="C73" i="156"/>
  <c r="H73" i="156"/>
  <c r="K73" i="156"/>
  <c r="L73" i="156"/>
  <c r="M73" i="156"/>
  <c r="N73" i="156"/>
  <c r="P73" i="156"/>
  <c r="J74" i="156"/>
  <c r="E74" i="156"/>
  <c r="F74" i="156"/>
  <c r="C74" i="156"/>
  <c r="H74" i="156"/>
  <c r="K74" i="156"/>
  <c r="L74" i="156"/>
  <c r="M74" i="156"/>
  <c r="N74" i="156"/>
  <c r="P74" i="156"/>
  <c r="J75" i="156"/>
  <c r="E75" i="156"/>
  <c r="F75" i="156"/>
  <c r="C75" i="156"/>
  <c r="H75" i="156"/>
  <c r="K75" i="156"/>
  <c r="L75" i="156"/>
  <c r="M75" i="156"/>
  <c r="N75" i="156"/>
  <c r="P75" i="156"/>
  <c r="J76" i="156"/>
  <c r="E76" i="156"/>
  <c r="F76" i="156"/>
  <c r="C76" i="156"/>
  <c r="H76" i="156"/>
  <c r="K76" i="156"/>
  <c r="L76" i="156"/>
  <c r="M76" i="156"/>
  <c r="N76" i="156"/>
  <c r="P76" i="156"/>
  <c r="J77" i="156"/>
  <c r="E77" i="156"/>
  <c r="F77" i="156"/>
  <c r="C77" i="156"/>
  <c r="H77" i="156"/>
  <c r="K77" i="156"/>
  <c r="L77" i="156"/>
  <c r="M77" i="156"/>
  <c r="N77" i="156"/>
  <c r="P77" i="156"/>
  <c r="J78" i="156"/>
  <c r="E78" i="156"/>
  <c r="F78" i="156"/>
  <c r="C78" i="156"/>
  <c r="H78" i="156"/>
  <c r="K78" i="156"/>
  <c r="L78" i="156"/>
  <c r="M78" i="156"/>
  <c r="N78" i="156"/>
  <c r="P78" i="156"/>
  <c r="J79" i="156"/>
  <c r="E79" i="156"/>
  <c r="F79" i="156"/>
  <c r="C79" i="156"/>
  <c r="H79" i="156"/>
  <c r="K79" i="156"/>
  <c r="L79" i="156"/>
  <c r="M79" i="156"/>
  <c r="N79" i="156"/>
  <c r="P79" i="156"/>
  <c r="J80" i="156"/>
  <c r="E80" i="156"/>
  <c r="F80" i="156"/>
  <c r="C80" i="156"/>
  <c r="H80" i="156"/>
  <c r="K80" i="156"/>
  <c r="L80" i="156"/>
  <c r="M80" i="156"/>
  <c r="N80" i="156"/>
  <c r="P80" i="156"/>
  <c r="J81" i="156"/>
  <c r="E81" i="156"/>
  <c r="F81" i="156"/>
  <c r="C81" i="156"/>
  <c r="H81" i="156"/>
  <c r="K81" i="156"/>
  <c r="L81" i="156"/>
  <c r="M81" i="156"/>
  <c r="N81" i="156"/>
  <c r="P81" i="156"/>
  <c r="J82" i="156"/>
  <c r="E82" i="156"/>
  <c r="F82" i="156"/>
  <c r="C82" i="156"/>
  <c r="H82" i="156"/>
  <c r="K82" i="156"/>
  <c r="L82" i="156"/>
  <c r="M82" i="156"/>
  <c r="N82" i="156"/>
  <c r="P82" i="156"/>
  <c r="J83" i="156"/>
  <c r="E83" i="156"/>
  <c r="F83" i="156"/>
  <c r="C83" i="156"/>
  <c r="H83" i="156"/>
  <c r="K83" i="156"/>
  <c r="L83" i="156"/>
  <c r="M83" i="156"/>
  <c r="N83" i="156"/>
  <c r="P83" i="156"/>
  <c r="J84" i="156"/>
  <c r="E84" i="156"/>
  <c r="F84" i="156"/>
  <c r="C84" i="156"/>
  <c r="H84" i="156"/>
  <c r="K84" i="156"/>
  <c r="L84" i="156"/>
  <c r="M84" i="156"/>
  <c r="N84" i="156"/>
  <c r="P84" i="156"/>
  <c r="J85" i="156"/>
  <c r="E85" i="156"/>
  <c r="F85" i="156"/>
  <c r="C85" i="156"/>
  <c r="H85" i="156"/>
  <c r="K85" i="156"/>
  <c r="L85" i="156"/>
  <c r="M85" i="156"/>
  <c r="N85" i="156"/>
  <c r="P85" i="156"/>
  <c r="J86" i="156"/>
  <c r="E86" i="156"/>
  <c r="F86" i="156"/>
  <c r="C86" i="156"/>
  <c r="H86" i="156"/>
  <c r="K86" i="156"/>
  <c r="L86" i="156"/>
  <c r="M86" i="156"/>
  <c r="N86" i="156"/>
  <c r="P86" i="156"/>
  <c r="J87" i="156"/>
  <c r="E87" i="156"/>
  <c r="F87" i="156"/>
  <c r="C87" i="156"/>
  <c r="H87" i="156"/>
  <c r="K87" i="156"/>
  <c r="L87" i="156"/>
  <c r="M87" i="156"/>
  <c r="N87" i="156"/>
  <c r="P87" i="156"/>
  <c r="J88" i="156"/>
  <c r="E88" i="156"/>
  <c r="F88" i="156"/>
  <c r="C88" i="156"/>
  <c r="H88" i="156"/>
  <c r="K88" i="156"/>
  <c r="L88" i="156"/>
  <c r="M88" i="156"/>
  <c r="N88" i="156"/>
  <c r="P88" i="156"/>
  <c r="J89" i="156"/>
  <c r="E89" i="156"/>
  <c r="F89" i="156"/>
  <c r="C89" i="156"/>
  <c r="H89" i="156"/>
  <c r="K89" i="156"/>
  <c r="L89" i="156"/>
  <c r="M89" i="156"/>
  <c r="N89" i="156"/>
  <c r="P89" i="156"/>
  <c r="J90" i="156"/>
  <c r="E90" i="156"/>
  <c r="F90" i="156"/>
  <c r="C90" i="156"/>
  <c r="H90" i="156"/>
  <c r="K90" i="156"/>
  <c r="L90" i="156"/>
  <c r="M90" i="156"/>
  <c r="N90" i="156"/>
  <c r="P90" i="156"/>
  <c r="J91" i="156"/>
  <c r="E91" i="156"/>
  <c r="F91" i="156"/>
  <c r="C91" i="156"/>
  <c r="H91" i="156"/>
  <c r="K91" i="156"/>
  <c r="L91" i="156"/>
  <c r="M91" i="156"/>
  <c r="N91" i="156"/>
  <c r="P91" i="156"/>
  <c r="J92" i="156"/>
  <c r="E92" i="156"/>
  <c r="F92" i="156"/>
  <c r="C92" i="156"/>
  <c r="H92" i="156"/>
  <c r="K92" i="156"/>
  <c r="L92" i="156"/>
  <c r="M92" i="156"/>
  <c r="N92" i="156"/>
  <c r="P92" i="156"/>
  <c r="J93" i="156"/>
  <c r="E93" i="156"/>
  <c r="F93" i="156"/>
  <c r="C93" i="156"/>
  <c r="H93" i="156"/>
  <c r="K93" i="156"/>
  <c r="L93" i="156"/>
  <c r="M93" i="156"/>
  <c r="N93" i="156"/>
  <c r="P93" i="156"/>
  <c r="J94" i="156"/>
  <c r="E94" i="156"/>
  <c r="F94" i="156"/>
  <c r="C94" i="156"/>
  <c r="H94" i="156"/>
  <c r="K94" i="156"/>
  <c r="L94" i="156"/>
  <c r="M94" i="156"/>
  <c r="N94" i="156"/>
  <c r="P94" i="156"/>
  <c r="J95" i="156"/>
  <c r="E95" i="156"/>
  <c r="F95" i="156"/>
  <c r="C95" i="156"/>
  <c r="H95" i="156"/>
  <c r="K95" i="156"/>
  <c r="L95" i="156"/>
  <c r="M95" i="156"/>
  <c r="N95" i="156"/>
  <c r="P95" i="156"/>
  <c r="J96" i="156"/>
  <c r="E96" i="156"/>
  <c r="F96" i="156"/>
  <c r="C96" i="156"/>
  <c r="H96" i="156"/>
  <c r="K96" i="156"/>
  <c r="L96" i="156"/>
  <c r="M96" i="156"/>
  <c r="N96" i="156"/>
  <c r="P96" i="156"/>
  <c r="J97" i="156"/>
  <c r="E97" i="156"/>
  <c r="F97" i="156"/>
  <c r="C97" i="156"/>
  <c r="H97" i="156"/>
  <c r="K97" i="156"/>
  <c r="L97" i="156"/>
  <c r="M97" i="156"/>
  <c r="N97" i="156"/>
  <c r="P97" i="156"/>
  <c r="J98" i="156"/>
  <c r="E98" i="156"/>
  <c r="F98" i="156"/>
  <c r="C98" i="156"/>
  <c r="H98" i="156"/>
  <c r="K98" i="156"/>
  <c r="L98" i="156"/>
  <c r="M98" i="156"/>
  <c r="N98" i="156"/>
  <c r="P98" i="156"/>
  <c r="J99" i="156"/>
  <c r="E99" i="156"/>
  <c r="F99" i="156"/>
  <c r="C99" i="156"/>
  <c r="H99" i="156"/>
  <c r="K99" i="156"/>
  <c r="L99" i="156"/>
  <c r="M99" i="156"/>
  <c r="N99" i="156"/>
  <c r="P99" i="156"/>
  <c r="J100" i="156"/>
  <c r="E100" i="156"/>
  <c r="F100" i="156"/>
  <c r="C100" i="156"/>
  <c r="H100" i="156"/>
  <c r="K100" i="156"/>
  <c r="L100" i="156"/>
  <c r="M100" i="156"/>
  <c r="N100" i="156"/>
  <c r="P100" i="156"/>
  <c r="J101" i="156"/>
  <c r="E101" i="156"/>
  <c r="F101" i="156"/>
  <c r="C101" i="156"/>
  <c r="H101" i="156"/>
  <c r="K101" i="156"/>
  <c r="L101" i="156"/>
  <c r="M101" i="156"/>
  <c r="N101" i="156"/>
  <c r="P101" i="156"/>
  <c r="J102" i="156"/>
  <c r="E102" i="156"/>
  <c r="F102" i="156"/>
  <c r="C102" i="156"/>
  <c r="H102" i="156"/>
  <c r="K102" i="156"/>
  <c r="L102" i="156"/>
  <c r="M102" i="156"/>
  <c r="N102" i="156"/>
  <c r="P102" i="156"/>
  <c r="J103" i="156"/>
  <c r="E103" i="156"/>
  <c r="F103" i="156"/>
  <c r="C103" i="156"/>
  <c r="H103" i="156"/>
  <c r="K103" i="156"/>
  <c r="L103" i="156"/>
  <c r="M103" i="156"/>
  <c r="N103" i="156"/>
  <c r="P103" i="156"/>
  <c r="J104" i="156"/>
  <c r="E104" i="156"/>
  <c r="F104" i="156"/>
  <c r="C104" i="156"/>
  <c r="H104" i="156"/>
  <c r="K104" i="156"/>
  <c r="L104" i="156"/>
  <c r="M104" i="156"/>
  <c r="N104" i="156"/>
  <c r="P104" i="156"/>
  <c r="J105" i="156"/>
  <c r="E105" i="156"/>
  <c r="F105" i="156"/>
  <c r="C105" i="156"/>
  <c r="H105" i="156"/>
  <c r="K105" i="156"/>
  <c r="L105" i="156"/>
  <c r="M105" i="156"/>
  <c r="N105" i="156"/>
  <c r="P105" i="156"/>
  <c r="J106" i="156"/>
  <c r="E106" i="156"/>
  <c r="F106" i="156"/>
  <c r="C106" i="156"/>
  <c r="H106" i="156"/>
  <c r="K106" i="156"/>
  <c r="L106" i="156"/>
  <c r="M106" i="156"/>
  <c r="N106" i="156"/>
  <c r="P106" i="156"/>
  <c r="J107" i="156"/>
  <c r="E107" i="156"/>
  <c r="F107" i="156"/>
  <c r="C107" i="156"/>
  <c r="H107" i="156"/>
  <c r="K107" i="156"/>
  <c r="L107" i="156"/>
  <c r="M107" i="156"/>
  <c r="N107" i="156"/>
  <c r="P107" i="156"/>
  <c r="J108" i="156"/>
  <c r="E108" i="156"/>
  <c r="F108" i="156"/>
  <c r="C108" i="156"/>
  <c r="H108" i="156"/>
  <c r="K108" i="156"/>
  <c r="L108" i="156"/>
  <c r="M108" i="156"/>
  <c r="N108" i="156"/>
  <c r="P108" i="156"/>
  <c r="J109" i="156"/>
  <c r="E109" i="156"/>
  <c r="F109" i="156"/>
  <c r="C109" i="156"/>
  <c r="H109" i="156"/>
  <c r="K109" i="156"/>
  <c r="L109" i="156"/>
  <c r="M109" i="156"/>
  <c r="N109" i="156"/>
  <c r="P109" i="156"/>
  <c r="G30" i="153"/>
  <c r="E30" i="153"/>
  <c r="H30" i="153"/>
  <c r="G31" i="153"/>
  <c r="E31" i="153"/>
  <c r="H31" i="153"/>
  <c r="A290" i="154"/>
  <c r="H290" i="154"/>
  <c r="K290" i="154"/>
  <c r="L290" i="154"/>
  <c r="M290" i="154"/>
  <c r="N290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F2" i="156"/>
  <c r="F3" i="156"/>
  <c r="F4" i="156"/>
  <c r="F5" i="156"/>
  <c r="F6" i="156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<sst xmlns="http://schemas.openxmlformats.org/spreadsheetml/2006/main" count="636" uniqueCount="256">
  <si>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</si>
  <si>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</si>
  <si>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</si>
  <si>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</si>
  <si>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</si>
  <si>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</si>
  <si>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</si>
  <si>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</si>
  <si>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</si>
  <si>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</si>
  <si>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</si>
  <si>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</si>
  <si>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</si>
  <si>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</si>
  <si>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</si>
  <si>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</si>
  <si>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</si>
  <si>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</si>
  <si>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</si>
  <si>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</si>
  <si>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</si>
  <si>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</si>
  <si>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</si>
  <si>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</si>
  <si>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</si>
  <si>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</si>
  <si>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</si>
  <si>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</si>
  <si>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</si>
  <si>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</si>
  <si>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</si>
  <si>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</si>
  <si>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</si>
  <si>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</si>
  <si>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</si>
  <si>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</si>
  <si>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</si>
  <si>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</si>
  <si>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</si>
  <si>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</si>
  <si>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</si>
  <si>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</si>
  <si>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</si>
  <si>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</si>
  <si>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</si>
  <si>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</si>
  <si>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</si>
  <si>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</si>
  <si>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</si>
  <si>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</si>
  <si>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</si>
  <si>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</si>
  <si>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</si>
  <si>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</si>
  <si>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</si>
  <si>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</si>
  <si>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</si>
  <si>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</si>
  <si>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</si>
  <si>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</si>
  <si>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</si>
  <si>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</si>
  <si>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</si>
  <si>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</si>
  <si>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</si>
  <si>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</si>
  <si>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</si>
  <si>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</si>
  <si>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</si>
  <si>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</si>
  <si>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</si>
  <si>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</si>
  <si>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</si>
  <si>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</si>
  <si>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</si>
  <si>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</si>
  <si>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</si>
  <si>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</si>
  <si>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</si>
  <si>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</si>
  <si>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</si>
  <si>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</si>
  <si>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</si>
  <si>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</si>
  <si>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</si>
  <si>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</si>
  <si>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</si>
  <si>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</si>
  <si>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</si>
  <si>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</si>
  <si>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</si>
  <si>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</si>
  <si>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</si>
  <si>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</si>
  <si>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</si>
  <si>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</si>
  <si>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</si>
  <si>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</si>
  <si>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</si>
  <si>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</si>
  <si>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</si>
  <si>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</si>
  <si>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</si>
  <si>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</si>
  <si>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</si>
  <si>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</si>
  <si>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</si>
  <si>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</si>
  <si>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</si>
  <si>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</si>
  <si>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</si>
  <si>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</si>
  <si>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</si>
  <si>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</si>
  <si>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</si>
  <si>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</si>
  <si>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</si>
  <si>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</si>
  <si>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</si>
  <si>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</si>
  <si>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</si>
  <si>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</si>
  <si>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B</t>
    <phoneticPr fontId="54"/>
  </si>
  <si>
    <t>D</t>
    <phoneticPr fontId="54"/>
  </si>
  <si>
    <t>F</t>
    <phoneticPr fontId="54"/>
  </si>
  <si>
    <t>E</t>
    <phoneticPr fontId="54"/>
  </si>
  <si>
    <t>G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</si>
  <si>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</si>
  <si>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</si>
  <si>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</si>
  <si>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</si>
  <si>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</si>
  <si>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</si>
  <si>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</si>
  <si>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</si>
  <si>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</si>
  <si>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</si>
  <si>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</si>
  <si>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X*{SS}*R5率</t>
    <rPh sb="9" eb="10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</si>
  <si>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</si>
  <si>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=</t>
    <phoneticPr fontId="54"/>
  </si>
  <si>
    <t>①</t>
    <phoneticPr fontId="54"/>
  </si>
  <si>
    <t>B + D + F</t>
    <phoneticPr fontId="54"/>
  </si>
  <si>
    <t>②</t>
    <phoneticPr fontId="54"/>
  </si>
  <si>
    <t>③</t>
    <phoneticPr fontId="54"/>
  </si>
  <si>
    <t>A+B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</si>
  <si>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</si>
  <si>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</si>
  <si>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</si>
  <si>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</si>
  <si>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</si>
  <si>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</si>
  <si>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</si>
  <si>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</si>
  <si>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</si>
  <si>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</si>
  <si>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</si>
  <si>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</si>
  <si>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</si>
  <si>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</si>
  <si>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</si>
  <si>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</si>
  <si>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Y*{W}-A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</si>
  <si>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</si>
  <si>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</si>
  <si>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</si>
  <si>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</si>
  <si>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</si>
  <si>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</si>
  <si>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</si>
  <si>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</si>
  <si>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</si>
  <si>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</si>
  <si>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</si>
  <si>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</si>
  <si>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</si>
  <si>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</si>
  <si>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</si>
  <si>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</si>
  <si>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</si>
  <si>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</si>
  <si>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</si>
  <si>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</si>
  <si>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</si>
  <si>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</si>
  <si>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</si>
  <si>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</si>
  <si>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</si>
  <si>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</si>
  <si>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</si>
  <si>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</si>
  <si>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</si>
  <si>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</si>
  <si>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</si>
  <si>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</si>
  <si>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</si>
  <si>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</si>
  <si>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</si>
  <si>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</si>
  <si>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</si>
  <si>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</si>
  <si>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</si>
  <si>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</si>
  <si>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</si>
  <si>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K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</si>
  <si>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</si>
  <si>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</si>
  <si>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</si>
  <si>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</si>
  <si>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</si>
  <si>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</si>
  <si>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</si>
  <si>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</si>
  <si>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</si>
  <si>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</si>
  <si>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</si>
  <si>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</si>
  <si>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</si>
  <si>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</si>
  <si>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</si>
  <si>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</si>
  <si>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</si>
  <si>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</si>
  <si>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</si>
  <si>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</si>
  <si>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</si>
  <si>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</si>
  <si>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フェス確率</t>
    <phoneticPr fontId="21"/>
  </si>
  <si>
    <t>old</t>
    <phoneticPr fontId="21"/>
  </si>
  <si>
    <t>tables_settle_378100</t>
    <phoneticPr fontId="21"/>
  </si>
  <si>
    <t>R3率</t>
    <phoneticPr fontId="54"/>
  </si>
  <si>
    <t>Y*{W}</t>
    <phoneticPr fontId="54"/>
  </si>
  <si>
    <t>→</t>
    <phoneticPr fontId="54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</si>
  <si>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54"/>
  </si>
  <si>
    <t>H</t>
    <phoneticPr fontId="54"/>
  </si>
  <si>
    <t>I</t>
    <phoneticPr fontId="54"/>
  </si>
  <si>
    <t>J</t>
    <phoneticPr fontId="54"/>
  </si>
  <si>
    <t>A + C</t>
    <phoneticPr fontId="54"/>
  </si>
  <si>
    <t>R4率-H</t>
    <phoneticPr fontId="54"/>
  </si>
  <si>
    <t>J</t>
    <phoneticPr fontId="54"/>
  </si>
  <si>
    <t>H</t>
    <phoneticPr fontId="54"/>
  </si>
  <si>
    <t>I</t>
    <phoneticPr fontId="54"/>
  </si>
  <si>
    <t>E+G</t>
    <phoneticPr fontId="54"/>
  </si>
  <si>
    <t>R5率-I-J</t>
    <phoneticPr fontId="54"/>
  </si>
  <si>
    <t>⑦</t>
    <phoneticPr fontId="54"/>
  </si>
  <si>
    <t>A+B+C+D+E+F+G</t>
    <phoneticPr fontId="54"/>
  </si>
  <si>
    <t>50%-C</t>
    <phoneticPr fontId="54"/>
  </si>
  <si>
    <t>=</t>
    <phoneticPr fontId="21"/>
  </si>
  <si>
    <t>Y*{W}*R3率</t>
    <phoneticPr fontId="21"/>
  </si>
  <si>
    <t>5%-E-I-J</t>
    <phoneticPr fontId="54"/>
  </si>
  <si>
    <t>←R6releaseを取り除いた場合の計算</t>
    <phoneticPr fontId="21"/>
  </si>
  <si>
    <t>378100</t>
    <phoneticPr fontId="21"/>
  </si>
  <si>
    <t>tables_382100</t>
    <phoneticPr fontId="21"/>
  </si>
  <si>
    <t>tables_382010</t>
    <phoneticPr fontId="21"/>
  </si>
  <si>
    <t>skip</t>
    <phoneticPr fontId="21"/>
  </si>
  <si>
    <t>old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</si>
</sst>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16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9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3" fillId="0" borderId="0" xfId="3662" applyFont="1"/>
    <xf numFmtId="9" fontId="6" fillId="0" borderId="0" xfId="3662" applyNumberFormat="1" applyFont="1"/>
    <xf numFmtId="0" fontId="8" fillId="0" borderId="17" xfId="3662" applyBorder="1"/>
    <xf numFmtId="0" fontId="8" fillId="0" borderId="18" xfId="3662" applyBorder="1"/>
    <xf numFmtId="0" fontId="8" fillId="0" borderId="19" xfId="3662" applyBorder="1"/>
    <xf numFmtId="0" fontId="8" fillId="0" borderId="20" xfId="3662" applyBorder="1"/>
    <xf numFmtId="0" fontId="8" fillId="0" borderId="0" xfId="3662" applyBorder="1"/>
    <xf numFmtId="0" fontId="8" fillId="0" borderId="21" xfId="3662" applyBorder="1"/>
    <xf numFmtId="0" fontId="8" fillId="4" borderId="0" xfId="3662" applyFill="1" applyBorder="1"/>
    <xf numFmtId="9" fontId="8" fillId="0" borderId="0" xfId="3662" applyNumberFormat="1" applyBorder="1"/>
    <xf numFmtId="0" fontId="3" fillId="4" borderId="0" xfId="3662" applyFont="1" applyFill="1" applyBorder="1"/>
    <xf numFmtId="0" fontId="8" fillId="0" borderId="0" xfId="3662" applyFill="1" applyBorder="1"/>
    <xf numFmtId="9" fontId="3" fillId="0" borderId="0" xfId="3662" applyNumberFormat="1" applyFont="1" applyBorder="1"/>
    <xf numFmtId="9" fontId="8" fillId="0" borderId="0" xfId="3662" applyNumberFormat="1" applyBorder="1" applyAlignment="1"/>
    <xf numFmtId="9" fontId="8" fillId="0" borderId="21" xfId="3662" applyNumberFormat="1" applyBorder="1"/>
    <xf numFmtId="0" fontId="3" fillId="0" borderId="20" xfId="3662" applyFont="1" applyBorder="1"/>
    <xf numFmtId="0" fontId="3" fillId="0" borderId="0" xfId="3662" applyFont="1" applyBorder="1"/>
    <xf numFmtId="0" fontId="3" fillId="0" borderId="0" xfId="3662" quotePrefix="1" applyFont="1" applyBorder="1"/>
    <xf numFmtId="0" fontId="3" fillId="0" borderId="22" xfId="3662" applyFont="1" applyBorder="1"/>
    <xf numFmtId="9" fontId="8" fillId="0" borderId="23" xfId="3662" applyNumberFormat="1" applyBorder="1"/>
    <xf numFmtId="0" fontId="8" fillId="0" borderId="23" xfId="3662" applyBorder="1"/>
    <xf numFmtId="0" fontId="8" fillId="0" borderId="24" xfId="3662" applyBorder="1"/>
    <xf numFmtId="176" fontId="0" fillId="0" borderId="0" xfId="3575" applyNumberFormat="1" applyFont="1"/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93" t="s">
        <v>111</v>
      </c>
      <c r="B1" s="94" t="s">
        <v>112</v>
      </c>
      <c r="C1" s="94"/>
      <c r="D1" s="94"/>
      <c r="E1" s="94"/>
      <c r="F1" s="94"/>
      <c r="G1" s="94"/>
      <c r="H1" s="95"/>
    </row>
    <row r="2" spans="1:13" x14ac:dyDescent="0.15">
      <c r="A2" s="96" t="s">
        <v>113</v>
      </c>
      <c r="B2" s="97" t="s">
        <v>114</v>
      </c>
      <c r="C2" s="97" t="s">
        <v>115</v>
      </c>
      <c r="D2" s="97" t="s">
        <v>116</v>
      </c>
      <c r="E2" s="97" t="s">
        <v>117</v>
      </c>
      <c r="F2" s="97" t="s">
        <v>118</v>
      </c>
      <c r="G2" s="97" t="s">
        <v>119</v>
      </c>
      <c r="H2" s="98"/>
    </row>
    <row r="3" spans="1:13" x14ac:dyDescent="0.15">
      <c r="A3" s="96">
        <v>3</v>
      </c>
      <c r="B3" s="99" t="s">
        <v>120</v>
      </c>
      <c r="C3" s="99" t="s">
        <v>121</v>
      </c>
      <c r="D3" s="97">
        <v>0</v>
      </c>
      <c r="E3" s="97">
        <v>0</v>
      </c>
      <c r="F3" s="97">
        <v>0</v>
      </c>
      <c r="G3" s="100">
        <v>0.5</v>
      </c>
      <c r="H3" s="98"/>
    </row>
    <row r="4" spans="1:13" x14ac:dyDescent="0.15">
      <c r="A4" s="96">
        <v>4</v>
      </c>
      <c r="B4" s="99" t="s">
        <v>122</v>
      </c>
      <c r="C4" s="99" t="s">
        <v>123</v>
      </c>
      <c r="D4" s="99" t="s">
        <v>124</v>
      </c>
      <c r="E4" s="101" t="s">
        <v>234</v>
      </c>
      <c r="F4" s="97">
        <v>0</v>
      </c>
      <c r="G4" s="100">
        <v>0.45</v>
      </c>
      <c r="H4" s="98"/>
      <c r="I4" s="91" t="s">
        <v>250</v>
      </c>
    </row>
    <row r="5" spans="1:13" x14ac:dyDescent="0.15">
      <c r="A5" s="96">
        <v>5</v>
      </c>
      <c r="B5" s="102">
        <v>0</v>
      </c>
      <c r="C5" s="99" t="s">
        <v>125</v>
      </c>
      <c r="D5" s="99" t="s">
        <v>126</v>
      </c>
      <c r="E5" s="101" t="s">
        <v>235</v>
      </c>
      <c r="F5" s="101" t="s">
        <v>236</v>
      </c>
      <c r="G5" s="100">
        <v>0.05</v>
      </c>
      <c r="H5" s="98"/>
    </row>
    <row r="6" spans="1:13" x14ac:dyDescent="0.15">
      <c r="A6" s="96"/>
      <c r="B6" s="100" t="s">
        <v>127</v>
      </c>
      <c r="C6" s="100" t="s">
        <v>127</v>
      </c>
      <c r="D6" s="103" t="s">
        <v>232</v>
      </c>
      <c r="E6" s="100" t="s">
        <v>127</v>
      </c>
      <c r="F6" s="104" t="s">
        <v>129</v>
      </c>
      <c r="G6" s="100">
        <v>1</v>
      </c>
      <c r="H6" s="98"/>
    </row>
    <row r="7" spans="1:13" x14ac:dyDescent="0.15">
      <c r="A7" s="96"/>
      <c r="B7" s="100"/>
      <c r="C7" s="100"/>
      <c r="D7" s="100"/>
      <c r="E7" s="100"/>
      <c r="F7" s="100"/>
      <c r="G7" s="104"/>
      <c r="H7" s="105"/>
    </row>
    <row r="8" spans="1:13" x14ac:dyDescent="0.15">
      <c r="A8" s="96" t="s">
        <v>130</v>
      </c>
      <c r="B8" s="100"/>
      <c r="C8" s="100"/>
      <c r="D8" s="100"/>
      <c r="E8" s="100"/>
      <c r="F8" s="100"/>
      <c r="G8" s="104"/>
      <c r="H8" s="105"/>
    </row>
    <row r="9" spans="1:13" x14ac:dyDescent="0.15">
      <c r="A9" s="96" t="s">
        <v>131</v>
      </c>
      <c r="B9" s="100"/>
      <c r="C9" s="100"/>
      <c r="D9" s="100"/>
      <c r="E9" s="100"/>
      <c r="F9" s="100"/>
      <c r="G9" s="104"/>
      <c r="H9" s="105"/>
    </row>
    <row r="10" spans="1:13" x14ac:dyDescent="0.15">
      <c r="A10" s="96" t="s">
        <v>132</v>
      </c>
      <c r="B10" s="100"/>
      <c r="C10" s="100"/>
      <c r="D10" s="100"/>
      <c r="E10" s="100"/>
      <c r="F10" s="100"/>
      <c r="G10" s="104"/>
      <c r="H10" s="105"/>
    </row>
    <row r="11" spans="1:13" x14ac:dyDescent="0.15">
      <c r="A11" s="96" t="s">
        <v>133</v>
      </c>
      <c r="B11" s="100"/>
      <c r="C11" s="100"/>
      <c r="D11" s="100"/>
      <c r="E11" s="100"/>
      <c r="F11" s="100"/>
      <c r="G11" s="104"/>
      <c r="H11" s="105"/>
    </row>
    <row r="12" spans="1:13" x14ac:dyDescent="0.15">
      <c r="A12" s="106" t="s">
        <v>239</v>
      </c>
      <c r="B12" s="100" t="s">
        <v>134</v>
      </c>
      <c r="C12" s="100" t="s">
        <v>135</v>
      </c>
      <c r="D12" s="100"/>
      <c r="E12" s="100"/>
      <c r="F12" s="100"/>
      <c r="G12" s="104"/>
      <c r="H12" s="105"/>
    </row>
    <row r="13" spans="1:13" x14ac:dyDescent="0.15">
      <c r="A13" s="106" t="s">
        <v>240</v>
      </c>
      <c r="B13" s="97" t="s">
        <v>136</v>
      </c>
      <c r="C13" s="97" t="s">
        <v>137</v>
      </c>
      <c r="D13" s="97"/>
      <c r="E13" s="97"/>
      <c r="F13" s="97"/>
      <c r="G13" s="97"/>
      <c r="H13" s="98"/>
    </row>
    <row r="14" spans="1:13" x14ac:dyDescent="0.15">
      <c r="A14" s="106" t="s">
        <v>241</v>
      </c>
      <c r="B14" s="97" t="s">
        <v>134</v>
      </c>
      <c r="C14" s="102" t="s">
        <v>138</v>
      </c>
      <c r="D14" s="97"/>
      <c r="E14" s="102"/>
      <c r="F14" s="102"/>
      <c r="G14" s="97"/>
      <c r="H14" s="98"/>
      <c r="M14" s="65"/>
    </row>
    <row r="15" spans="1:13" x14ac:dyDescent="0.15">
      <c r="A15" s="96"/>
      <c r="B15" s="100"/>
      <c r="C15" s="100"/>
      <c r="D15" s="97"/>
      <c r="E15" s="97"/>
      <c r="F15" s="97"/>
      <c r="G15" s="97"/>
      <c r="H15" s="98"/>
    </row>
    <row r="16" spans="1:13" x14ac:dyDescent="0.15">
      <c r="A16" s="96" t="s">
        <v>139</v>
      </c>
      <c r="B16" s="97"/>
      <c r="C16" s="97"/>
      <c r="D16" s="97"/>
      <c r="E16" s="97"/>
      <c r="F16" s="97"/>
      <c r="G16" s="97"/>
      <c r="H16" s="98"/>
    </row>
    <row r="17" spans="1:8" x14ac:dyDescent="0.15">
      <c r="A17" s="106" t="s">
        <v>233</v>
      </c>
      <c r="B17" s="100"/>
      <c r="C17" s="100"/>
      <c r="D17" s="97"/>
      <c r="E17" s="97"/>
      <c r="F17" s="97"/>
      <c r="G17" s="97"/>
      <c r="H17" s="98"/>
    </row>
    <row r="18" spans="1:8" x14ac:dyDescent="0.15">
      <c r="A18" s="106" t="s">
        <v>237</v>
      </c>
      <c r="B18" s="100" t="s">
        <v>140</v>
      </c>
      <c r="C18" s="103" t="s">
        <v>230</v>
      </c>
      <c r="D18" s="97" t="s">
        <v>141</v>
      </c>
      <c r="E18" s="97"/>
      <c r="F18" s="97"/>
      <c r="G18" s="97"/>
      <c r="H18" s="98"/>
    </row>
    <row r="19" spans="1:8" x14ac:dyDescent="0.15">
      <c r="A19" s="96" t="s">
        <v>142</v>
      </c>
      <c r="B19" s="100" t="s">
        <v>134</v>
      </c>
      <c r="C19" s="103" t="s">
        <v>238</v>
      </c>
      <c r="D19" s="97" t="s">
        <v>143</v>
      </c>
      <c r="E19" s="97"/>
      <c r="F19" s="97"/>
      <c r="G19" s="97"/>
      <c r="H19" s="98"/>
    </row>
    <row r="20" spans="1:8" x14ac:dyDescent="0.15">
      <c r="A20" s="106" t="s">
        <v>242</v>
      </c>
      <c r="B20" s="100" t="s">
        <v>134</v>
      </c>
      <c r="C20" s="107" t="s">
        <v>243</v>
      </c>
      <c r="D20" s="97" t="s">
        <v>144</v>
      </c>
      <c r="E20" s="97"/>
      <c r="F20" s="97"/>
      <c r="G20" s="97"/>
      <c r="H20" s="98"/>
    </row>
    <row r="21" spans="1:8" x14ac:dyDescent="0.15">
      <c r="A21" s="96" t="s">
        <v>145</v>
      </c>
      <c r="B21" s="100" t="s">
        <v>134</v>
      </c>
      <c r="C21" s="103" t="s">
        <v>231</v>
      </c>
      <c r="D21" s="97" t="s">
        <v>146</v>
      </c>
      <c r="E21" s="97"/>
      <c r="F21" s="97"/>
      <c r="G21" s="97"/>
      <c r="H21" s="98"/>
    </row>
    <row r="22" spans="1:8" x14ac:dyDescent="0.15">
      <c r="A22" s="96" t="s">
        <v>147</v>
      </c>
      <c r="B22" s="100" t="s">
        <v>134</v>
      </c>
      <c r="C22" s="100" t="s">
        <v>148</v>
      </c>
      <c r="D22" s="97" t="s">
        <v>149</v>
      </c>
      <c r="E22" s="97"/>
      <c r="F22" s="97"/>
      <c r="G22" s="97"/>
      <c r="H22" s="98"/>
    </row>
    <row r="23" spans="1:8" x14ac:dyDescent="0.15">
      <c r="A23" s="96" t="s">
        <v>150</v>
      </c>
      <c r="B23" s="100" t="s">
        <v>134</v>
      </c>
      <c r="C23" s="100" t="s">
        <v>151</v>
      </c>
      <c r="D23" s="97" t="s">
        <v>152</v>
      </c>
      <c r="E23" s="97"/>
      <c r="F23" s="97"/>
      <c r="G23" s="97"/>
      <c r="H23" s="98"/>
    </row>
    <row r="24" spans="1:8" x14ac:dyDescent="0.15">
      <c r="A24" s="106" t="s">
        <v>245</v>
      </c>
      <c r="B24" s="100" t="s">
        <v>134</v>
      </c>
      <c r="C24" s="100" t="s">
        <v>128</v>
      </c>
      <c r="D24" s="107" t="s">
        <v>244</v>
      </c>
      <c r="E24" s="97" t="s">
        <v>153</v>
      </c>
      <c r="F24" s="97"/>
      <c r="G24" s="97"/>
      <c r="H24" s="98"/>
    </row>
    <row r="25" spans="1:8" x14ac:dyDescent="0.15">
      <c r="A25" s="96" t="s">
        <v>121</v>
      </c>
      <c r="B25" s="100" t="s">
        <v>134</v>
      </c>
      <c r="C25" s="100" t="s">
        <v>154</v>
      </c>
      <c r="D25" s="97"/>
      <c r="E25" s="97" t="s">
        <v>155</v>
      </c>
      <c r="F25" s="97"/>
      <c r="G25" s="97"/>
      <c r="H25" s="98"/>
    </row>
    <row r="26" spans="1:8" x14ac:dyDescent="0.15">
      <c r="A26" s="96" t="s">
        <v>123</v>
      </c>
      <c r="B26" s="100" t="s">
        <v>134</v>
      </c>
      <c r="C26" s="100" t="s">
        <v>156</v>
      </c>
      <c r="D26" s="97"/>
      <c r="E26" s="97"/>
      <c r="F26" s="97"/>
      <c r="G26" s="97"/>
      <c r="H26" s="98"/>
    </row>
    <row r="27" spans="1:8" x14ac:dyDescent="0.15">
      <c r="A27" s="96"/>
      <c r="B27" s="100"/>
      <c r="C27" s="97"/>
      <c r="D27" s="97"/>
      <c r="E27" s="97"/>
      <c r="F27" s="97"/>
      <c r="G27" s="97"/>
      <c r="H27" s="98"/>
    </row>
    <row r="28" spans="1:8" x14ac:dyDescent="0.15">
      <c r="A28" s="96" t="s">
        <v>157</v>
      </c>
      <c r="B28" s="97"/>
      <c r="C28" s="97"/>
      <c r="D28" s="97"/>
      <c r="E28" s="97"/>
      <c r="F28" s="97"/>
      <c r="G28" s="97"/>
      <c r="H28" s="98"/>
    </row>
    <row r="29" spans="1:8" x14ac:dyDescent="0.15">
      <c r="A29" s="96" t="s">
        <v>158</v>
      </c>
      <c r="B29" s="100" t="s">
        <v>134</v>
      </c>
      <c r="C29" s="100" t="s">
        <v>159</v>
      </c>
      <c r="D29" s="97"/>
      <c r="E29" s="97"/>
      <c r="F29" s="97"/>
      <c r="G29" s="97"/>
      <c r="H29" s="98"/>
    </row>
    <row r="30" spans="1:8" x14ac:dyDescent="0.15">
      <c r="A30" s="96" t="s">
        <v>123</v>
      </c>
      <c r="B30" s="100" t="s">
        <v>134</v>
      </c>
      <c r="C30" s="100" t="s">
        <v>160</v>
      </c>
      <c r="D30" s="97"/>
      <c r="E30" s="97"/>
      <c r="F30" s="97"/>
      <c r="G30" s="97"/>
      <c r="H30" s="98"/>
    </row>
    <row r="31" spans="1:8" x14ac:dyDescent="0.15">
      <c r="A31" s="96" t="s">
        <v>121</v>
      </c>
      <c r="B31" s="100" t="s">
        <v>134</v>
      </c>
      <c r="C31" s="100" t="s">
        <v>161</v>
      </c>
      <c r="D31" s="97"/>
      <c r="E31" s="97"/>
      <c r="F31" s="97"/>
      <c r="G31" s="97"/>
      <c r="H31" s="98"/>
    </row>
    <row r="32" spans="1:8" x14ac:dyDescent="0.15">
      <c r="A32" s="96" t="s">
        <v>120</v>
      </c>
      <c r="B32" s="100" t="s">
        <v>134</v>
      </c>
      <c r="C32" s="103" t="s">
        <v>246</v>
      </c>
      <c r="D32" s="108" t="s">
        <v>247</v>
      </c>
      <c r="E32" s="107" t="s">
        <v>248</v>
      </c>
      <c r="F32" s="97"/>
      <c r="G32" s="97"/>
      <c r="H32" s="98"/>
    </row>
    <row r="33" spans="1:13" x14ac:dyDescent="0.15">
      <c r="A33" s="96" t="s">
        <v>122</v>
      </c>
      <c r="B33" s="100" t="s">
        <v>134</v>
      </c>
      <c r="C33" s="100" t="s">
        <v>162</v>
      </c>
      <c r="D33" s="108"/>
      <c r="E33" s="97"/>
      <c r="F33" s="97"/>
      <c r="G33" s="97"/>
      <c r="H33" s="98"/>
    </row>
    <row r="34" spans="1:13" x14ac:dyDescent="0.15">
      <c r="A34" s="96" t="s">
        <v>126</v>
      </c>
      <c r="B34" s="100" t="s">
        <v>134</v>
      </c>
      <c r="C34" s="103" t="s">
        <v>249</v>
      </c>
      <c r="D34" s="97"/>
      <c r="E34" s="97"/>
      <c r="F34" s="97"/>
      <c r="G34" s="97"/>
      <c r="H34" s="98"/>
    </row>
    <row r="35" spans="1:13" x14ac:dyDescent="0.15">
      <c r="A35" s="96" t="s">
        <v>124</v>
      </c>
      <c r="B35" s="100" t="s">
        <v>134</v>
      </c>
      <c r="C35" s="100" t="s">
        <v>163</v>
      </c>
      <c r="D35" s="97"/>
      <c r="E35" s="97"/>
      <c r="F35" s="97"/>
      <c r="G35" s="97"/>
      <c r="H35" s="98"/>
    </row>
    <row r="36" spans="1:13" x14ac:dyDescent="0.15">
      <c r="A36" s="109"/>
      <c r="B36" s="110"/>
      <c r="C36" s="111"/>
      <c r="D36" s="111"/>
      <c r="E36" s="111"/>
      <c r="F36" s="111"/>
      <c r="G36" s="111"/>
      <c r="H36" s="112"/>
    </row>
    <row r="37" spans="1:13" x14ac:dyDescent="0.15">
      <c r="A37" s="91"/>
      <c r="B37" s="65"/>
      <c r="J37" s="80" t="s">
        <v>191</v>
      </c>
      <c r="K37" s="80" t="s">
        <v>166</v>
      </c>
      <c r="M37" s="92"/>
    </row>
    <row r="38" spans="1:13" x14ac:dyDescent="0.15">
      <c r="A38" s="91"/>
      <c r="B38" s="65"/>
      <c r="J38" s="80" t="s">
        <v>192</v>
      </c>
      <c r="K38" s="80" t="s">
        <v>193</v>
      </c>
      <c r="M38" s="65"/>
    </row>
    <row r="39" spans="1:13" x14ac:dyDescent="0.15">
      <c r="J39" s="80" t="s">
        <v>194</v>
      </c>
      <c r="K39" s="80" t="s">
        <v>195</v>
      </c>
    </row>
    <row r="40" spans="1:13" x14ac:dyDescent="0.15">
      <c r="J40" s="80" t="s">
        <v>196</v>
      </c>
      <c r="K40" s="80" t="s">
        <v>197</v>
      </c>
    </row>
    <row r="41" spans="1:13" x14ac:dyDescent="0.15">
      <c r="J41" s="80" t="s">
        <v>198</v>
      </c>
      <c r="K41" s="80" t="s">
        <v>199</v>
      </c>
    </row>
    <row r="42" spans="1:13" x14ac:dyDescent="0.15">
      <c r="J42" s="80" t="s">
        <v>200</v>
      </c>
      <c r="K42" s="80" t="s">
        <v>201</v>
      </c>
    </row>
    <row r="43" spans="1:13" x14ac:dyDescent="0.15">
      <c r="J43" s="80" t="s">
        <v>202</v>
      </c>
      <c r="K43" s="80" t="s">
        <v>203</v>
      </c>
    </row>
    <row r="44" spans="1:13" x14ac:dyDescent="0.15">
      <c r="J44" s="80" t="s">
        <v>204</v>
      </c>
      <c r="K44" s="80" t="s">
        <v>205</v>
      </c>
    </row>
    <row r="45" spans="1:13" x14ac:dyDescent="0.15">
      <c r="J45" s="80" t="s">
        <v>207</v>
      </c>
      <c r="K45" s="80" t="s">
        <v>206</v>
      </c>
    </row>
    <row r="46" spans="1:13" x14ac:dyDescent="0.15">
      <c r="J46" s="80" t="s">
        <v>208</v>
      </c>
      <c r="K46" s="80" t="s">
        <v>209</v>
      </c>
    </row>
    <row r="47" spans="1:13" x14ac:dyDescent="0.15">
      <c r="J47" s="80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8" sqref="E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228</v>
      </c>
      <c r="B2" s="61" t="s">
        <v>110</v>
      </c>
      <c r="C2" s="50" t="str">
        <f t="shared" ref="C2" si="0">RIGHT(F2,6)</f>
        <v>382100</v>
      </c>
      <c r="D2" s="19" t="s">
        <v>45</v>
      </c>
      <c r="E2" s="17" t="str">
        <f t="shared" ref="E2" si="1">B2&amp;C2&amp;D2</f>
        <v>gacha_select_tables_382100.tmp</v>
      </c>
      <c r="F2" s="114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15" t="s">
        <v>255</v>
      </c>
      <c r="B3" s="61" t="s">
        <v>110</v>
      </c>
      <c r="C3" s="50" t="str">
        <f t="shared" ref="C3:C7" si="2">RIGHT(F3,6)</f>
        <v>382010</v>
      </c>
      <c r="D3" s="19" t="s">
        <v>45</v>
      </c>
      <c r="E3" s="17" t="str">
        <f t="shared" ref="E3:E10" si="3">B3&amp;C3&amp;D3</f>
        <v>gacha_select_tables_382010.tmp</v>
      </c>
      <c r="F3" s="114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15" t="s">
        <v>254</v>
      </c>
      <c r="B4" s="73" t="s">
        <v>189</v>
      </c>
      <c r="C4" s="50" t="str">
        <f t="shared" si="2"/>
        <v>378100</v>
      </c>
      <c r="D4" s="19" t="s">
        <v>45</v>
      </c>
      <c r="E4" s="17" t="str">
        <f t="shared" ref="E4:E7" si="4">B4&amp;C4&amp;D4</f>
        <v>gacha_settle_tables_378100.tmp</v>
      </c>
      <c r="F4" s="89" t="s">
        <v>229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223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87" t="s">
        <v>224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223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225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223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226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223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223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223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3" sqref="L3:L1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6">
        <v>166</v>
      </c>
      <c r="M3" s="37" t="str">
        <f>VLOOKUP(L3,[1]characters!$A:$C,3,FALSE)</f>
        <v>ベリアル</v>
      </c>
      <c r="N3" s="63">
        <v>7.4999999999999997E-3</v>
      </c>
      <c r="O3" s="37">
        <f>VLOOKUP(L3,[1]characters!$A:$I,9,FALSE)</f>
        <v>3</v>
      </c>
      <c r="P3" s="37" t="str">
        <f>VLOOKUP(L3,[1]characters!$A:$J,10,FALSE)</f>
        <v>PremiumN</v>
      </c>
      <c r="Q3" s="37" t="str">
        <f>VLOOKUP(L3,tables_382010!B:C,2,FALSE)</f>
        <v>Premium3R6release</v>
      </c>
      <c r="R3" s="62">
        <f t="shared" ref="R3:R20" si="1">N3*A$36</f>
        <v>51660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6">
        <v>167</v>
      </c>
      <c r="M4" s="37" t="str">
        <f>VLOOKUP(L4,[1]characters!$A:$C,3,FALSE)</f>
        <v>逆徒 ベリアル</v>
      </c>
      <c r="N4" s="63">
        <v>7.0000000000000001E-3</v>
      </c>
      <c r="O4" s="37">
        <f>VLOOKUP(L4,[1]characters!$A:$I,9,FALSE)</f>
        <v>4</v>
      </c>
      <c r="P4" s="37" t="str">
        <f>VLOOKUP(L4,[1]characters!$A:$J,10,FALSE)</f>
        <v>PremiumN</v>
      </c>
      <c r="Q4" s="37" t="str">
        <f>VLOOKUP(L4,tables_382010!B:C,2,FALSE)</f>
        <v>Premium4R6release</v>
      </c>
      <c r="R4" s="62">
        <f t="shared" si="1"/>
        <v>48216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0.5</v>
      </c>
      <c r="D5" t="s">
        <v>177</v>
      </c>
      <c r="E5" s="43">
        <f>(B11-H5)/(F5-I5)</f>
        <v>1.7857142857142857E-3</v>
      </c>
      <c r="F5">
        <f>(COUNTIF(tables_382010!C:C,input_382010!A28)+COUNTIF(tables_382010!C:C,input_382010!A29))</f>
        <v>42</v>
      </c>
      <c r="H5" s="81">
        <v>0</v>
      </c>
      <c r="I5" s="31">
        <v>0</v>
      </c>
      <c r="L5" s="6">
        <v>168</v>
      </c>
      <c r="M5" s="37" t="str">
        <f>VLOOKUP(L5,[1]characters!$A:$C,3,FALSE)</f>
        <v>猛進の大逆者 ベリアル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PremiumN</v>
      </c>
      <c r="Q5" s="37" t="str">
        <f>VLOOKUP(L5,tables_382010!B:C,2,FALSE)</f>
        <v>Premium5R6release</v>
      </c>
      <c r="R5" s="62">
        <f t="shared" si="1"/>
        <v>3444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0.45</v>
      </c>
      <c r="D6" t="s">
        <v>178</v>
      </c>
      <c r="E6" s="72">
        <f>(B10-H6)/(F6-I6)</f>
        <v>1.0548780487804879E-2</v>
      </c>
      <c r="F6">
        <f>(COUNTIF(tables_382010!C:C,input_382010!A25)+COUNTIF(tables_382010!C:C,input_382010!A18)+COUNTIF(tables_382010!C:C,input_382010!A20)+COUNTIF(tables_382010!C:C,input_382010!A22))</f>
        <v>86</v>
      </c>
      <c r="H6" s="86">
        <v>0.06</v>
      </c>
      <c r="I6" s="31">
        <v>4</v>
      </c>
      <c r="L6" s="6">
        <v>169</v>
      </c>
      <c r="M6" s="37" t="str">
        <f>VLOOKUP(L6,[1]characters!$A:$C,3,FALSE)</f>
        <v>オセ</v>
      </c>
      <c r="N6" s="63">
        <v>7.4999999999999997E-3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VLOOKUP(L6,tables_382010!B:C,2,FALSE)</f>
        <v>Premium3R6release</v>
      </c>
      <c r="R6" s="62">
        <f t="shared" si="1"/>
        <v>51660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6">
        <v>170</v>
      </c>
      <c r="M7" s="37" t="str">
        <f>VLOOKUP(L7,[1]characters!$A:$C,3,FALSE)</f>
        <v>識徒 オセ</v>
      </c>
      <c r="N7" s="63">
        <v>7.0000000000000001E-3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VLOOKUP(L7,tables_382010!B:C,2,FALSE)</f>
        <v>Premium4R6release</v>
      </c>
      <c r="R7" s="62">
        <f t="shared" si="1"/>
        <v>48216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6">
        <v>171</v>
      </c>
      <c r="M8" s="37" t="str">
        <f>VLOOKUP(L8,[1]characters!$A:$C,3,FALSE)</f>
        <v>精解の預知者 オセ</v>
      </c>
      <c r="N8" s="63">
        <v>5.0000000000000001E-4</v>
      </c>
      <c r="O8" s="37">
        <f>VLOOKUP(L8,[1]characters!$A:$I,9,FALSE)</f>
        <v>5</v>
      </c>
      <c r="P8" s="37" t="str">
        <f>VLOOKUP(L8,[1]characters!$A:$J,10,FALSE)</f>
        <v>PremiumN</v>
      </c>
      <c r="Q8" s="37" t="str">
        <f>VLOOKUP(L8,tables_382010!B:C,2,FALSE)</f>
        <v>Premium5R6release</v>
      </c>
      <c r="R8" s="62">
        <f t="shared" si="1"/>
        <v>3444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6">
        <v>172</v>
      </c>
      <c r="M9" s="37" t="str">
        <f>VLOOKUP(L9,[1]characters!$A:$C,3,FALSE)</f>
        <v>フォルネウス</v>
      </c>
      <c r="N9" s="63">
        <v>7.4999999999999997E-3</v>
      </c>
      <c r="O9" s="37">
        <f>VLOOKUP(L9,[1]characters!$A:$I,9,FALSE)</f>
        <v>3</v>
      </c>
      <c r="P9" s="37" t="str">
        <f>VLOOKUP(L9,[1]characters!$A:$J,10,FALSE)</f>
        <v>PremiumN</v>
      </c>
      <c r="Q9" s="37" t="str">
        <f>VLOOKUP(L9,tables_382010!B:C,2,FALSE)</f>
        <v>Premium3R6release</v>
      </c>
      <c r="R9" s="62">
        <f t="shared" si="1"/>
        <v>51660</v>
      </c>
      <c r="S9">
        <v>390</v>
      </c>
      <c r="U9" s="33" t="s">
        <v>169</v>
      </c>
      <c r="V9" s="54">
        <f t="shared" si="0"/>
        <v>0.03</v>
      </c>
    </row>
    <row r="10" spans="1:22" x14ac:dyDescent="0.15">
      <c r="A10" s="33" t="s">
        <v>96</v>
      </c>
      <c r="B10" s="68">
        <f>1-B11-B12</f>
        <v>0.92500000000000004</v>
      </c>
      <c r="C10" t="s">
        <v>184</v>
      </c>
      <c r="L10" s="6">
        <v>173</v>
      </c>
      <c r="M10" s="37" t="str">
        <f>VLOOKUP(L10,[1]characters!$A:$C,3,FALSE)</f>
        <v>公爵 フォルネウス</v>
      </c>
      <c r="N10" s="63">
        <v>7.0000000000000001E-3</v>
      </c>
      <c r="O10" s="37">
        <f>VLOOKUP(L10,[1]characters!$A:$I,9,FALSE)</f>
        <v>4</v>
      </c>
      <c r="P10" s="37" t="str">
        <f>VLOOKUP(L10,[1]characters!$A:$J,10,FALSE)</f>
        <v>PremiumN</v>
      </c>
      <c r="Q10" s="37" t="str">
        <f>VLOOKUP(L10,tables_382010!B:C,2,FALSE)</f>
        <v>Premium4R6release</v>
      </c>
      <c r="R10" s="62">
        <f t="shared" si="1"/>
        <v>48216</v>
      </c>
      <c r="S10">
        <v>391</v>
      </c>
      <c r="U10" s="33" t="s">
        <v>170</v>
      </c>
      <c r="V10" s="54">
        <f t="shared" si="0"/>
        <v>2.8000000000000001E-2</v>
      </c>
    </row>
    <row r="11" spans="1:22" x14ac:dyDescent="0.15">
      <c r="A11" s="33" t="s">
        <v>56</v>
      </c>
      <c r="B11" s="74">
        <v>7.4999999999999997E-2</v>
      </c>
      <c r="C11" t="s">
        <v>227</v>
      </c>
      <c r="L11" s="6">
        <v>174</v>
      </c>
      <c r="M11" s="37" t="str">
        <f>VLOOKUP(L11,[1]characters!$A:$C,3,FALSE)</f>
        <v>偽愛の大公爵 フォルネウス</v>
      </c>
      <c r="N11" s="63">
        <v>5.0000000000000001E-4</v>
      </c>
      <c r="O11" s="37">
        <f>VLOOKUP(L11,[1]characters!$A:$I,9,FALSE)</f>
        <v>5</v>
      </c>
      <c r="P11" s="37" t="str">
        <f>VLOOKUP(L11,[1]characters!$A:$J,10,FALSE)</f>
        <v>PremiumN</v>
      </c>
      <c r="Q11" s="37" t="str">
        <f>VLOOKUP(L11,tables_382010!B:C,2,FALSE)</f>
        <v>Premium5R6release</v>
      </c>
      <c r="R11" s="62">
        <f t="shared" si="1"/>
        <v>3444</v>
      </c>
      <c r="S11">
        <v>811</v>
      </c>
      <c r="U11" s="33" t="s">
        <v>171</v>
      </c>
      <c r="V11" s="54">
        <f t="shared" si="0"/>
        <v>2E-3</v>
      </c>
    </row>
    <row r="12" spans="1:22" x14ac:dyDescent="0.15">
      <c r="A12" s="33" t="s">
        <v>55</v>
      </c>
      <c r="B12" s="68">
        <v>0</v>
      </c>
      <c r="L12" s="5">
        <v>235</v>
      </c>
      <c r="M12" s="37" t="str">
        <f>VLOOKUP(L12,[1]characters!$A:$C,3,FALSE)</f>
        <v>イザナミ</v>
      </c>
      <c r="N12" s="63">
        <v>7.4999999999999997E-3</v>
      </c>
      <c r="O12" s="37">
        <f>VLOOKUP(L12,[1]characters!$A:$I,9,FALSE)</f>
        <v>3</v>
      </c>
      <c r="P12" s="37" t="str">
        <f>VLOOKUP(L12,[1]characters!$A:$J,10,FALSE)</f>
        <v>PremiumS</v>
      </c>
      <c r="Q12" s="37" t="str">
        <f>VLOOKUP(L12,tables_382010!B:C,2,FALSE)</f>
        <v>Premium3R6release</v>
      </c>
      <c r="R12" s="62">
        <f t="shared" si="1"/>
        <v>51660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5">
        <v>236</v>
      </c>
      <c r="M13" s="37" t="str">
        <f>VLOOKUP(L13,[1]characters!$A:$C,3,FALSE)</f>
        <v>神産 イザナミ</v>
      </c>
      <c r="N13" s="63">
        <v>7.0000000000000001E-3</v>
      </c>
      <c r="O13" s="37">
        <f>VLOOKUP(L13,[1]characters!$A:$I,9,FALSE)</f>
        <v>4</v>
      </c>
      <c r="P13" s="37" t="str">
        <f>VLOOKUP(L13,[1]characters!$A:$J,10,FALSE)</f>
        <v>PremiumS</v>
      </c>
      <c r="Q13" s="37" t="str">
        <f>VLOOKUP(L13,tables_382010!B:C,2,FALSE)</f>
        <v>Premium4R6release</v>
      </c>
      <c r="R13" s="62">
        <f t="shared" si="1"/>
        <v>48216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5">
        <v>237</v>
      </c>
      <c r="M14" s="37" t="str">
        <f>VLOOKUP(L14,[1]characters!$A:$C,3,FALSE)</f>
        <v>森羅万象の神母 イザナミ</v>
      </c>
      <c r="N14" s="63">
        <v>5.0000000000000001E-4</v>
      </c>
      <c r="O14" s="37">
        <f>VLOOKUP(L14,[1]characters!$A:$I,9,FALSE)</f>
        <v>5</v>
      </c>
      <c r="P14" s="37" t="str">
        <f>VLOOKUP(L14,[1]characters!$A:$J,10,FALSE)</f>
        <v>PremiumS</v>
      </c>
      <c r="Q14" s="37" t="str">
        <f>VLOOKUP(L14,tables_382010!B:C,2,FALSE)</f>
        <v>Premium5R6release</v>
      </c>
      <c r="R14" s="62">
        <f t="shared" si="1"/>
        <v>3444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VLOOKUP(L15,tables_382010!B:C,2,FALSE)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B$5-B19-B24-0.75%*4</f>
        <v>0.19573170731707315</v>
      </c>
      <c r="C17" s="82">
        <f t="shared" ref="C17:C31" si="2">SUMIF(Q:Q,A17,N:N)</f>
        <v>0</v>
      </c>
      <c r="D17" s="70">
        <f t="shared" ref="D17:D32" si="3">B17-C17</f>
        <v>0.19573170731707315</v>
      </c>
      <c r="E17">
        <f>COUNTIF(tables_382010!C:C,input_382010!A17)-COUNTIF(Q:Q,A17)</f>
        <v>20</v>
      </c>
      <c r="F17" s="43">
        <f>IFERROR(B17/E17,0)</f>
        <v>9.7865853658536568E-3</v>
      </c>
      <c r="G17">
        <f t="shared" ref="G17:G31" si="4">A$36*B17</f>
        <v>1348199.9999999998</v>
      </c>
      <c r="H17">
        <f t="shared" ref="H17:H31" si="5">IFERROR(ROUND(G17/E17,5),0)</f>
        <v>67410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1.5243902439024432E-2</v>
      </c>
      <c r="C18" s="82">
        <f t="shared" si="2"/>
        <v>0</v>
      </c>
      <c r="D18" s="70">
        <f t="shared" si="3"/>
        <v>1.5243902439024432E-2</v>
      </c>
      <c r="E18">
        <f>COUNTIF(tables_382010!C:C,input_382010!A18)-COUNTIF(Q:Q,A18)</f>
        <v>20</v>
      </c>
      <c r="F18" s="43">
        <f>IFERROR(B18/E18,0)</f>
        <v>7.621951219512216E-4</v>
      </c>
      <c r="G18">
        <f t="shared" si="4"/>
        <v>105000.00000000029</v>
      </c>
      <c r="H18">
        <f t="shared" si="5"/>
        <v>5250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0.27426829268292685</v>
      </c>
      <c r="C19" s="82">
        <f t="shared" si="2"/>
        <v>0</v>
      </c>
      <c r="D19" s="70">
        <f t="shared" si="3"/>
        <v>0.27426829268292685</v>
      </c>
      <c r="E19">
        <f>COUNTIF(tables_382010!C:C,input_382010!A19)-COUNTIF(Q:Q,A19)</f>
        <v>52</v>
      </c>
      <c r="F19" s="43">
        <f t="shared" ref="F19:F31" si="8">IFERROR(B19/E19,0)</f>
        <v>5.2743902439024394E-3</v>
      </c>
      <c r="G19">
        <f t="shared" si="4"/>
        <v>1889160.0000000002</v>
      </c>
      <c r="H19">
        <f t="shared" si="5"/>
        <v>36330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E20*E6-B21-B19</f>
        <v>0.2570426829268293</v>
      </c>
      <c r="C20" s="82">
        <f t="shared" si="2"/>
        <v>0</v>
      </c>
      <c r="D20" s="70">
        <f t="shared" si="3"/>
        <v>0.2570426829268293</v>
      </c>
      <c r="E20">
        <f>COUNTIF(tables_382010!C:C,input_382010!A20)-COUNTIF(Q:Q,A20)</f>
        <v>52</v>
      </c>
      <c r="F20" s="43">
        <f t="shared" si="8"/>
        <v>4.9431285178236405E-3</v>
      </c>
      <c r="G20">
        <f t="shared" si="4"/>
        <v>1770510.0000000002</v>
      </c>
      <c r="H20">
        <f t="shared" si="5"/>
        <v>34048.269229999998</v>
      </c>
      <c r="I20">
        <f t="shared" si="6"/>
        <v>0.26922999999806052</v>
      </c>
      <c r="J20">
        <f t="shared" si="7"/>
        <v>3.7142963265876903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1.7225609756097559E-2</v>
      </c>
      <c r="C21" s="82">
        <f t="shared" si="2"/>
        <v>0</v>
      </c>
      <c r="D21" s="70">
        <f t="shared" si="3"/>
        <v>1.7225609756097559E-2</v>
      </c>
      <c r="E21">
        <f>COUNTIF(tables_382010!C:C,input_382010!A21)-COUNTIF(Q:Q,A21)</f>
        <v>52</v>
      </c>
      <c r="F21" s="43">
        <f t="shared" si="8"/>
        <v>3.312617260787992E-4</v>
      </c>
      <c r="G21">
        <f t="shared" si="4"/>
        <v>118649.99999999999</v>
      </c>
      <c r="H21">
        <f t="shared" si="5"/>
        <v>2281.7307700000001</v>
      </c>
      <c r="I21">
        <f t="shared" si="6"/>
        <v>0.73077000000012049</v>
      </c>
      <c r="J21">
        <f t="shared" si="7"/>
        <v>1.3684196121896564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E$6*E22*(B6+B5)</f>
        <v>0.10021341463414635</v>
      </c>
      <c r="C22" s="82">
        <f t="shared" si="2"/>
        <v>0</v>
      </c>
      <c r="D22" s="70">
        <f t="shared" si="3"/>
        <v>0.10021341463414635</v>
      </c>
      <c r="E22">
        <f>COUNTIF(tables_382010!C:C,input_382010!A22)-COUNTIF(Q:Q,A22)</f>
        <v>10</v>
      </c>
      <c r="F22" s="43">
        <f t="shared" si="8"/>
        <v>1.0021341463414634E-2</v>
      </c>
      <c r="G22">
        <f t="shared" si="4"/>
        <v>690270</v>
      </c>
      <c r="H22">
        <f t="shared" si="5"/>
        <v>69027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5.2743902439024402E-3</v>
      </c>
      <c r="C23" s="82">
        <f t="shared" si="2"/>
        <v>0</v>
      </c>
      <c r="D23" s="70">
        <f t="shared" si="3"/>
        <v>5.2743902439024402E-3</v>
      </c>
      <c r="E23">
        <f>COUNTIF(tables_382010!C:C,input_382010!A23)-COUNTIF(Q:Q,A23)</f>
        <v>10</v>
      </c>
      <c r="F23" s="43">
        <f t="shared" si="8"/>
        <v>5.2743902439024405E-4</v>
      </c>
      <c r="G23">
        <f t="shared" si="4"/>
        <v>36330.000000000007</v>
      </c>
      <c r="H23">
        <f t="shared" si="5"/>
        <v>3633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0</v>
      </c>
      <c r="C24" s="82">
        <f t="shared" si="2"/>
        <v>0.03</v>
      </c>
      <c r="D24" s="70">
        <f t="shared" si="3"/>
        <v>-0.03</v>
      </c>
      <c r="E24">
        <f>COUNTIF(tables_382010!C:C,input_382010!A24)-COUNTIF(Q:Q,A24)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0</v>
      </c>
      <c r="C25" s="82">
        <f t="shared" si="2"/>
        <v>2.8000000000000001E-2</v>
      </c>
      <c r="D25" s="70">
        <f t="shared" si="3"/>
        <v>-2.8000000000000001E-2</v>
      </c>
      <c r="E25">
        <f>COUNTIF(tables_382010!C:C,input_382010!A25)-COUNTIF(Q:Q,A25)</f>
        <v>0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0</v>
      </c>
      <c r="C26" s="82">
        <f t="shared" si="2"/>
        <v>2E-3</v>
      </c>
      <c r="D26" s="70">
        <f t="shared" si="3"/>
        <v>-2E-3</v>
      </c>
      <c r="E26">
        <f>COUNTIF(tables_382010!C:C,input_382010!A26)-COUNTIF(Q:Q,A26)</f>
        <v>0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4.7499999999999994E-2</v>
      </c>
      <c r="C27" s="82">
        <f t="shared" si="2"/>
        <v>0</v>
      </c>
      <c r="D27" s="70">
        <f t="shared" si="3"/>
        <v>4.7499999999999994E-2</v>
      </c>
      <c r="E27">
        <f>COUNTIF(tables_382010!C:C,input_382010!A27)-COUNTIF(Q:Q,A27)</f>
        <v>28</v>
      </c>
      <c r="F27" s="43">
        <f>IFERROR(B27/E27,0)</f>
        <v>1.6964285714285712E-3</v>
      </c>
      <c r="G27">
        <f t="shared" si="4"/>
        <v>327179.99999999994</v>
      </c>
      <c r="H27">
        <f t="shared" si="5"/>
        <v>11685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2.5000000000000001E-3</v>
      </c>
      <c r="C28" s="82">
        <f t="shared" si="2"/>
        <v>0</v>
      </c>
      <c r="D28" s="70">
        <f t="shared" si="3"/>
        <v>2.5000000000000001E-3</v>
      </c>
      <c r="E28">
        <f>COUNTIF(tables_382010!C:C,input_382010!A28)-COUNTIF(Q:Q,A28)</f>
        <v>28</v>
      </c>
      <c r="F28" s="43">
        <f t="shared" si="8"/>
        <v>8.9285714285714286E-5</v>
      </c>
      <c r="G28">
        <f t="shared" si="4"/>
        <v>17220</v>
      </c>
      <c r="H28">
        <f t="shared" si="5"/>
        <v>615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2.4999999999999998E-2</v>
      </c>
      <c r="C29" s="82">
        <f t="shared" si="2"/>
        <v>0</v>
      </c>
      <c r="D29" s="70">
        <f t="shared" si="3"/>
        <v>2.4999999999999998E-2</v>
      </c>
      <c r="E29">
        <f>COUNTIF(tables_382010!C:C,input_382010!A29)-COUNTIF(Q:Q,A29)</f>
        <v>14</v>
      </c>
      <c r="F29" s="43">
        <f t="shared" si="8"/>
        <v>1.7857142857142857E-3</v>
      </c>
      <c r="G29">
        <f t="shared" si="4"/>
        <v>172200</v>
      </c>
      <c r="H29">
        <f t="shared" si="5"/>
        <v>12300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2"/>
        <v>0</v>
      </c>
      <c r="D30" s="70">
        <f t="shared" si="3"/>
        <v>0</v>
      </c>
      <c r="E30">
        <f>COUNTIF(tables_382010!C:C,input_382010!A30)-COUNTIF(Q:Q,A30)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COUNTIF(tables_382010!C:C,input_382010!A31)-COUNTIF(Q:Q,A31)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0.94000000000000006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SUMIF(tables_382010!C:C,input_382010!A40,tables_382010!O:O)</f>
        <v>1889160</v>
      </c>
      <c r="C40" s="54">
        <f t="shared" ref="C40:C46" ca="1" si="9">B40/B$47</f>
        <v>0.45823145884270594</v>
      </c>
      <c r="E40">
        <v>3</v>
      </c>
      <c r="F40">
        <f ca="1">SUMIF(tables_382010!J:J,input_382010!E40,tables_382010!O:O)</f>
        <v>3444000</v>
      </c>
      <c r="G40">
        <f ca="1">F40/A36</f>
        <v>0.5</v>
      </c>
    </row>
    <row r="41" spans="1:7" x14ac:dyDescent="0.15">
      <c r="A41" s="33" t="s">
        <v>104</v>
      </c>
      <c r="B41">
        <f ca="1">SUMIF(tables_382010!C:C,input_382010!A41,tables_382010!O:O)</f>
        <v>1770509.999959999</v>
      </c>
      <c r="C41" s="54">
        <f t="shared" ca="1" si="9"/>
        <v>0.42945191523072135</v>
      </c>
      <c r="E41">
        <v>4</v>
      </c>
      <c r="F41">
        <f ca="1">SUMIF(tables_382010!J:J,input_382010!E41,tables_382010!O:O)</f>
        <v>3085823.9999600002</v>
      </c>
      <c r="G41" s="113">
        <f ca="1">F41/A36</f>
        <v>0.44799999999419282</v>
      </c>
    </row>
    <row r="42" spans="1:7" x14ac:dyDescent="0.15">
      <c r="A42" s="33" t="s">
        <v>106</v>
      </c>
      <c r="B42">
        <f ca="1">SUMIF(tables_382010!C:C,input_382010!A42,tables_382010!O:O)</f>
        <v>327180</v>
      </c>
      <c r="C42" s="54">
        <f t="shared" ca="1" si="9"/>
        <v>7.9360228198859031E-2</v>
      </c>
      <c r="E42">
        <v>5</v>
      </c>
      <c r="F42">
        <f ca="1">SUMIF(tables_382010!J:J,input_382010!E42,tables_382010!O:O)</f>
        <v>358176.0000399999</v>
      </c>
      <c r="G42" s="113">
        <f ca="1">F42/A36</f>
        <v>5.2000000005807186E-2</v>
      </c>
    </row>
    <row r="43" spans="1:7" x14ac:dyDescent="0.15">
      <c r="A43" s="33" t="s">
        <v>109</v>
      </c>
      <c r="B43">
        <f>SUMIF(tables_382010!C:C,input_382010!A43,tables_382010!O:O)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SUMIF(tables_382010!C:C,input_382010!A44,tables_382010!O:O)</f>
        <v>118650.00003999991</v>
      </c>
      <c r="C44" s="54">
        <f t="shared" ca="1" si="9"/>
        <v>2.8779543611984308E-2</v>
      </c>
      <c r="E44" t="s">
        <v>54</v>
      </c>
      <c r="F44" s="55"/>
    </row>
    <row r="45" spans="1:7" x14ac:dyDescent="0.15">
      <c r="A45" s="33" t="s">
        <v>107</v>
      </c>
      <c r="B45">
        <f ca="1">SUMIF(tables_382010!C:C,input_382010!A45,tables_382010!O:O)</f>
        <v>17220</v>
      </c>
      <c r="C45" s="54">
        <f t="shared" ca="1" si="9"/>
        <v>4.1768541157294224E-3</v>
      </c>
      <c r="E45" t="s">
        <v>180</v>
      </c>
      <c r="F45" s="55">
        <f ca="1">SUMIF(tables_382010!I:I,input_382010!E45,tables_382010!P:P)</f>
        <v>0.21097560975609761</v>
      </c>
    </row>
    <row r="46" spans="1:7" x14ac:dyDescent="0.15">
      <c r="A46" s="33" t="s">
        <v>108</v>
      </c>
      <c r="B46">
        <f>SUMIF(tables_382010!C:C,input_382010!A46,tables_382010!O:O)</f>
        <v>0</v>
      </c>
      <c r="C46" s="54">
        <f t="shared" ca="1" si="9"/>
        <v>0</v>
      </c>
      <c r="E46" t="s">
        <v>181</v>
      </c>
      <c r="F46" s="55">
        <f ca="1">SUMIF(tables_382010!I:I,input_382010!E46,tables_382010!P:P)</f>
        <v>0.22432926829268307</v>
      </c>
    </row>
    <row r="47" spans="1:7" x14ac:dyDescent="0.15">
      <c r="A47" s="39" t="s">
        <v>59</v>
      </c>
      <c r="B47">
        <f ca="1">SUM(B40:B46)</f>
        <v>4122719.9999999986</v>
      </c>
      <c r="C47" s="55">
        <f ca="1">SUM(C40:C46)</f>
        <v>1</v>
      </c>
      <c r="E47" t="s">
        <v>182</v>
      </c>
      <c r="F47" s="55">
        <f ca="1">SUMIF(tables_382010!I:I,input_382010!E47,tables_382010!P:P)</f>
        <v>0.48969512195121917</v>
      </c>
    </row>
    <row r="48" spans="1:7" x14ac:dyDescent="0.15">
      <c r="E48" t="s">
        <v>183</v>
      </c>
      <c r="F48" s="55">
        <f ca="1">SUMIF(tables_382010!I:I,input_382010!E48,tables_382010!P:P)</f>
        <v>7.4999999999999969E-2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100" activePane="bottomLeft" state="frozen"/>
      <selection activeCell="B31" sqref="B31"/>
      <selection pane="bottomLeft" activeCell="B111" sqref="B111:B1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input_382010!A$2</f>
        <v>382010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IFERROR(VLOOKUP(B2,input_382010!L:R,7,FALSE),VLOOKUP(tables_382010!C2,input_382010!A:H,8,FALSE))</f>
        <v>67410</v>
      </c>
      <c r="P2" s="46">
        <f ca="1">O2/SUM(O:O)</f>
        <v>9.7865853658536586E-3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input_382010!A$2</f>
        <v>382010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IFERROR(VLOOKUP(B3,input_382010!L:R,7,FALSE),VLOOKUP(tables_382010!C3,input_382010!A:H,8,FALSE))</f>
        <v>5250</v>
      </c>
      <c r="P3" s="46">
        <f t="shared" ref="P3:P66" ca="1" si="2">O3/SUM(O:O)</f>
        <v>7.6219512195121954E-4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input_382010!A$2</f>
        <v>382010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IFERROR(VLOOKUP(B4,input_382010!L:R,7,FALSE),VLOOKUP(tables_382010!C4,input_382010!A:H,8,FALSE))</f>
        <v>67410</v>
      </c>
      <c r="P4" s="46">
        <f t="shared" ca="1" si="2"/>
        <v>9.7865853658536586E-3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input_382010!A$2</f>
        <v>382010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IFERROR(VLOOKUP(B5,input_382010!L:R,7,FALSE),VLOOKUP(tables_382010!C5,input_382010!A:H,8,FALSE))</f>
        <v>5250</v>
      </c>
      <c r="P5" s="46">
        <f t="shared" ca="1" si="2"/>
        <v>7.6219512195121954E-4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input_382010!A$2</f>
        <v>382010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IFERROR(VLOOKUP(B6,input_382010!L:R,7,FALSE),VLOOKUP(tables_382010!C6,input_382010!A:H,8,FALSE))</f>
        <v>67410</v>
      </c>
      <c r="P6" s="46">
        <f t="shared" ca="1" si="2"/>
        <v>9.7865853658536586E-3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input_382010!A$2</f>
        <v>382010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IFERROR(VLOOKUP(B7,input_382010!L:R,7,FALSE),VLOOKUP(tables_382010!C7,input_382010!A:H,8,FALSE))</f>
        <v>5250</v>
      </c>
      <c r="P7" s="46">
        <f t="shared" ca="1" si="2"/>
        <v>7.6219512195121954E-4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input_382010!A$2</f>
        <v>382010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IFERROR(VLOOKUP(B8,input_382010!L:R,7,FALSE),VLOOKUP(tables_382010!C8,input_382010!A:H,8,FALSE))</f>
        <v>67410</v>
      </c>
      <c r="P8" s="46">
        <f t="shared" ca="1" si="2"/>
        <v>9.7865853658536586E-3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input_382010!A$2</f>
        <v>382010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IFERROR(VLOOKUP(B9,input_382010!L:R,7,FALSE),VLOOKUP(tables_382010!C9,input_382010!A:H,8,FALSE))</f>
        <v>5250</v>
      </c>
      <c r="P9" s="46">
        <f t="shared" ca="1" si="2"/>
        <v>7.6219512195121954E-4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input_382010!A$2</f>
        <v>382010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IFERROR(VLOOKUP(B10,input_382010!L:R,7,FALSE),VLOOKUP(tables_382010!C10,input_382010!A:H,8,FALSE))</f>
        <v>67410</v>
      </c>
      <c r="P10" s="46">
        <f t="shared" ca="1" si="2"/>
        <v>9.7865853658536586E-3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input_382010!A$2</f>
        <v>382010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IFERROR(VLOOKUP(B11,input_382010!L:R,7,FALSE),VLOOKUP(tables_382010!C11,input_382010!A:H,8,FALSE))</f>
        <v>5250</v>
      </c>
      <c r="P11" s="46">
        <f t="shared" ca="1" si="2"/>
        <v>7.6219512195121954E-4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input_382010!A$2</f>
        <v>382010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IFERROR(VLOOKUP(B12,input_382010!L:R,7,FALSE),VLOOKUP(tables_382010!C12,input_382010!A:H,8,FALSE))</f>
        <v>67410</v>
      </c>
      <c r="P12" s="46">
        <f t="shared" ca="1" si="2"/>
        <v>9.7865853658536586E-3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input_382010!A$2</f>
        <v>382010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IFERROR(VLOOKUP(B13,input_382010!L:R,7,FALSE),VLOOKUP(tables_382010!C13,input_382010!A:H,8,FALSE))</f>
        <v>5250</v>
      </c>
      <c r="P13" s="46">
        <f t="shared" ca="1" si="2"/>
        <v>7.6219512195121954E-4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input_382010!A$2</f>
        <v>382010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IFERROR(VLOOKUP(B14,input_382010!L:R,7,FALSE),VLOOKUP(tables_382010!C14,input_382010!A:H,8,FALSE))</f>
        <v>67410</v>
      </c>
      <c r="P14" s="46">
        <f t="shared" ca="1" si="2"/>
        <v>9.7865853658536586E-3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input_382010!A$2</f>
        <v>382010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IFERROR(VLOOKUP(B15,input_382010!L:R,7,FALSE),VLOOKUP(tables_382010!C15,input_382010!A:H,8,FALSE))</f>
        <v>5250</v>
      </c>
      <c r="P15" s="46">
        <f t="shared" ca="1" si="2"/>
        <v>7.6219512195121954E-4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input_382010!A$2</f>
        <v>382010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IFERROR(VLOOKUP(B16,input_382010!L:R,7,FALSE),VLOOKUP(tables_382010!C16,input_382010!A:H,8,FALSE))</f>
        <v>67410</v>
      </c>
      <c r="P16" s="46">
        <f t="shared" ca="1" si="2"/>
        <v>9.7865853658536586E-3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input_382010!A$2</f>
        <v>382010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IFERROR(VLOOKUP(B17,input_382010!L:R,7,FALSE),VLOOKUP(tables_382010!C17,input_382010!A:H,8,FALSE))</f>
        <v>5250</v>
      </c>
      <c r="P17" s="46">
        <f t="shared" ca="1" si="2"/>
        <v>7.6219512195121954E-4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input_382010!A$2</f>
        <v>382010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IFERROR(VLOOKUP(B18,input_382010!L:R,7,FALSE),VLOOKUP(tables_382010!C18,input_382010!A:H,8,FALSE))</f>
        <v>67410</v>
      </c>
      <c r="P18" s="46">
        <f t="shared" ca="1" si="2"/>
        <v>9.7865853658536586E-3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input_382010!A$2</f>
        <v>382010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IFERROR(VLOOKUP(B19,input_382010!L:R,7,FALSE),VLOOKUP(tables_382010!C19,input_382010!A:H,8,FALSE))</f>
        <v>5250</v>
      </c>
      <c r="P19" s="46">
        <f t="shared" ca="1" si="2"/>
        <v>7.6219512195121954E-4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input_382010!A$2</f>
        <v>382010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IFERROR(VLOOKUP(B20,input_382010!L:R,7,FALSE),VLOOKUP(tables_382010!C20,input_382010!A:H,8,FALSE))</f>
        <v>67410</v>
      </c>
      <c r="P20" s="46">
        <f t="shared" ca="1" si="2"/>
        <v>9.7865853658536586E-3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input_382010!A$2</f>
        <v>382010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IFERROR(VLOOKUP(B21,input_382010!L:R,7,FALSE),VLOOKUP(tables_382010!C21,input_382010!A:H,8,FALSE))</f>
        <v>5250</v>
      </c>
      <c r="P21" s="46">
        <f t="shared" ca="1" si="2"/>
        <v>7.6219512195121954E-4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input_382010!A$2</f>
        <v>382010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IFERROR(VLOOKUP(B22,input_382010!L:R,7,FALSE),VLOOKUP(tables_382010!C22,input_382010!A:H,8,FALSE))</f>
        <v>67410</v>
      </c>
      <c r="P22" s="46">
        <f t="shared" ca="1" si="2"/>
        <v>9.7865853658536586E-3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input_382010!A$2</f>
        <v>382010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IFERROR(VLOOKUP(B23,input_382010!L:R,7,FALSE),VLOOKUP(tables_382010!C23,input_382010!A:H,8,FALSE))</f>
        <v>5250</v>
      </c>
      <c r="P23" s="46">
        <f t="shared" ca="1" si="2"/>
        <v>7.6219512195121954E-4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input_382010!A$2</f>
        <v>382010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IFERROR(VLOOKUP(B24,input_382010!L:R,7,FALSE),VLOOKUP(tables_382010!C24,input_382010!A:H,8,FALSE))</f>
        <v>67410</v>
      </c>
      <c r="P24" s="46">
        <f t="shared" ca="1" si="2"/>
        <v>9.7865853658536586E-3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input_382010!A$2</f>
        <v>382010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IFERROR(VLOOKUP(B25,input_382010!L:R,7,FALSE),VLOOKUP(tables_382010!C25,input_382010!A:H,8,FALSE))</f>
        <v>5250</v>
      </c>
      <c r="P25" s="46">
        <f t="shared" ca="1" si="2"/>
        <v>7.6219512195121954E-4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input_382010!A$2</f>
        <v>382010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IFERROR(VLOOKUP(B26,input_382010!L:R,7,FALSE),VLOOKUP(tables_382010!C26,input_382010!A:H,8,FALSE))</f>
        <v>67410</v>
      </c>
      <c r="P26" s="46">
        <f t="shared" ca="1" si="2"/>
        <v>9.7865853658536586E-3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input_382010!A$2</f>
        <v>382010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IFERROR(VLOOKUP(B27,input_382010!L:R,7,FALSE),VLOOKUP(tables_382010!C27,input_382010!A:H,8,FALSE))</f>
        <v>5250</v>
      </c>
      <c r="P27" s="46">
        <f t="shared" ca="1" si="2"/>
        <v>7.6219512195121954E-4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input_382010!A$2</f>
        <v>382010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IFERROR(VLOOKUP(B28,input_382010!L:R,7,FALSE),VLOOKUP(tables_382010!C28,input_382010!A:H,8,FALSE))</f>
        <v>67410</v>
      </c>
      <c r="P28" s="46">
        <f t="shared" ca="1" si="2"/>
        <v>9.7865853658536586E-3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input_382010!A$2</f>
        <v>382010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IFERROR(VLOOKUP(B29,input_382010!L:R,7,FALSE),VLOOKUP(tables_382010!C29,input_382010!A:H,8,FALSE))</f>
        <v>5250</v>
      </c>
      <c r="P29" s="46">
        <f t="shared" ca="1" si="2"/>
        <v>7.6219512195121954E-4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input_382010!A$2</f>
        <v>382010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IFERROR(VLOOKUP(B30,input_382010!L:R,7,FALSE),VLOOKUP(tables_382010!C30,input_382010!A:H,8,FALSE))</f>
        <v>67410</v>
      </c>
      <c r="P30" s="46">
        <f t="shared" ca="1" si="2"/>
        <v>9.7865853658536586E-3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input_382010!A$2</f>
        <v>382010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IFERROR(VLOOKUP(B31,input_382010!L:R,7,FALSE),VLOOKUP(tables_382010!C31,input_382010!A:H,8,FALSE))</f>
        <v>5250</v>
      </c>
      <c r="P31" s="46">
        <f t="shared" ca="1" si="2"/>
        <v>7.6219512195121954E-4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input_382010!A$2</f>
        <v>382010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IFERROR(VLOOKUP(B32,input_382010!L:R,7,FALSE),VLOOKUP(tables_382010!C32,input_382010!A:H,8,FALSE))</f>
        <v>67410</v>
      </c>
      <c r="P32" s="46">
        <f t="shared" ca="1" si="2"/>
        <v>9.7865853658536586E-3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input_382010!A$2</f>
        <v>382010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IFERROR(VLOOKUP(B33,input_382010!L:R,7,FALSE),VLOOKUP(tables_382010!C33,input_382010!A:H,8,FALSE))</f>
        <v>5250</v>
      </c>
      <c r="P33" s="46">
        <f t="shared" ca="1" si="2"/>
        <v>7.6219512195121954E-4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input_382010!A$2</f>
        <v>382010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IFERROR(VLOOKUP(B34,input_382010!L:R,7,FALSE),VLOOKUP(tables_382010!C34,input_382010!A:H,8,FALSE))</f>
        <v>67410</v>
      </c>
      <c r="P34" s="46">
        <f t="shared" ca="1" si="2"/>
        <v>9.7865853658536586E-3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input_382010!A$2</f>
        <v>382010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IFERROR(VLOOKUP(B35,input_382010!L:R,7,FALSE),VLOOKUP(tables_382010!C35,input_382010!A:H,8,FALSE))</f>
        <v>5250</v>
      </c>
      <c r="P35" s="46">
        <f t="shared" ca="1" si="2"/>
        <v>7.6219512195121954E-4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input_382010!A$2</f>
        <v>382010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IFERROR(VLOOKUP(B36,input_382010!L:R,7,FALSE),VLOOKUP(tables_382010!C36,input_382010!A:H,8,FALSE))</f>
        <v>67410</v>
      </c>
      <c r="P36" s="46">
        <f t="shared" ca="1" si="2"/>
        <v>9.7865853658536586E-3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input_382010!A$2</f>
        <v>382010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IFERROR(VLOOKUP(B37,input_382010!L:R,7,FALSE),VLOOKUP(tables_382010!C37,input_382010!A:H,8,FALSE))</f>
        <v>5250</v>
      </c>
      <c r="P37" s="46">
        <f t="shared" ca="1" si="2"/>
        <v>7.6219512195121954E-4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input_382010!A$2</f>
        <v>382010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IFERROR(VLOOKUP(B38,input_382010!L:R,7,FALSE),VLOOKUP(tables_382010!C38,input_382010!A:H,8,FALSE))</f>
        <v>67410</v>
      </c>
      <c r="P38" s="46">
        <f t="shared" ca="1" si="2"/>
        <v>9.7865853658536586E-3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input_382010!A$2</f>
        <v>382010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IFERROR(VLOOKUP(B39,input_382010!L:R,7,FALSE),VLOOKUP(tables_382010!C39,input_382010!A:H,8,FALSE))</f>
        <v>5250</v>
      </c>
      <c r="P39" s="46">
        <f t="shared" ca="1" si="2"/>
        <v>7.6219512195121954E-4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input_382010!A$2</f>
        <v>382010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IFERROR(VLOOKUP(B40,input_382010!L:R,7,FALSE),VLOOKUP(tables_382010!C40,input_382010!A:H,8,FALSE))</f>
        <v>67410</v>
      </c>
      <c r="P40" s="46">
        <f t="shared" ca="1" si="2"/>
        <v>9.7865853658536586E-3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input_382010!A$2</f>
        <v>382010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IFERROR(VLOOKUP(B41,input_382010!L:R,7,FALSE),VLOOKUP(tables_382010!C41,input_382010!A:H,8,FALSE))</f>
        <v>5250</v>
      </c>
      <c r="P41" s="46">
        <f t="shared" ca="1" si="2"/>
        <v>7.6219512195121954E-4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input_382010!A$2</f>
        <v>382010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IFERROR(VLOOKUP(B42,input_382010!L:R,7,FALSE),VLOOKUP(tables_382010!C42,input_382010!A:H,8,FALSE))</f>
        <v>51660</v>
      </c>
      <c r="P42" s="46">
        <f t="shared" ca="1" si="2"/>
        <v>7.4999999999999997E-3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input_382010!A$2</f>
        <v>382010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IFERROR(VLOOKUP(B43,input_382010!L:R,7,FALSE),VLOOKUP(tables_382010!C43,input_382010!A:H,8,FALSE))</f>
        <v>48216</v>
      </c>
      <c r="P43" s="46">
        <f t="shared" ca="1" si="2"/>
        <v>7.0000000000000001E-3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input_382010!A$2</f>
        <v>382010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IFERROR(VLOOKUP(B44,input_382010!L:R,7,FALSE),VLOOKUP(tables_382010!C44,input_382010!A:H,8,FALSE))</f>
        <v>3444</v>
      </c>
      <c r="P44" s="46">
        <f t="shared" ca="1" si="2"/>
        <v>5.0000000000000001E-4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input_382010!A$2</f>
        <v>382010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IFERROR(VLOOKUP(B45,input_382010!L:R,7,FALSE),VLOOKUP(tables_382010!C45,input_382010!A:H,8,FALSE))</f>
        <v>51660</v>
      </c>
      <c r="P45" s="46">
        <f t="shared" ca="1" si="2"/>
        <v>7.4999999999999997E-3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input_382010!A$2</f>
        <v>382010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IFERROR(VLOOKUP(B46,input_382010!L:R,7,FALSE),VLOOKUP(tables_382010!C46,input_382010!A:H,8,FALSE))</f>
        <v>48216</v>
      </c>
      <c r="P46" s="46">
        <f t="shared" ca="1" si="2"/>
        <v>7.0000000000000001E-3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input_382010!A$2</f>
        <v>382010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IFERROR(VLOOKUP(B47,input_382010!L:R,7,FALSE),VLOOKUP(tables_382010!C47,input_382010!A:H,8,FALSE))</f>
        <v>3444</v>
      </c>
      <c r="P47" s="46">
        <f t="shared" ca="1" si="2"/>
        <v>5.0000000000000001E-4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input_382010!A$2</f>
        <v>382010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IFERROR(VLOOKUP(B48,input_382010!L:R,7,FALSE),VLOOKUP(tables_382010!C48,input_382010!A:H,8,FALSE))</f>
        <v>51660</v>
      </c>
      <c r="P48" s="46">
        <f t="shared" ca="1" si="2"/>
        <v>7.4999999999999997E-3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input_382010!A$2</f>
        <v>382010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IFERROR(VLOOKUP(B49,input_382010!L:R,7,FALSE),VLOOKUP(tables_382010!C49,input_382010!A:H,8,FALSE))</f>
        <v>48216</v>
      </c>
      <c r="P49" s="46">
        <f t="shared" ca="1" si="2"/>
        <v>7.0000000000000001E-3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input_382010!A$2</f>
        <v>382010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IFERROR(VLOOKUP(B50,input_382010!L:R,7,FALSE),VLOOKUP(tables_382010!C50,input_382010!A:H,8,FALSE))</f>
        <v>3444</v>
      </c>
      <c r="P50" s="46">
        <f t="shared" ca="1" si="2"/>
        <v>5.0000000000000001E-4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input_382010!A$2</f>
        <v>382010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IFERROR(VLOOKUP(B51,input_382010!L:R,7,FALSE),VLOOKUP(tables_382010!C51,input_382010!A:H,8,FALSE))</f>
        <v>36330</v>
      </c>
      <c r="P51" s="46">
        <f t="shared" ca="1" si="2"/>
        <v>5.2743902439024394E-3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input_382010!A$2</f>
        <v>382010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IFERROR(VLOOKUP(B52,input_382010!L:R,7,FALSE),VLOOKUP(tables_382010!C52,input_382010!A:H,8,FALSE))</f>
        <v>34048.269229999998</v>
      </c>
      <c r="P52" s="46">
        <f t="shared" ca="1" si="2"/>
        <v>4.9431285177119625E-3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input_382010!A$2</f>
        <v>382010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IFERROR(VLOOKUP(B53,input_382010!L:R,7,FALSE),VLOOKUP(tables_382010!C53,input_382010!A:H,8,FALSE))</f>
        <v>2281.7307700000001</v>
      </c>
      <c r="P53" s="46">
        <f t="shared" ca="1" si="2"/>
        <v>3.312617261904762E-4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input_382010!A$2</f>
        <v>382010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IFERROR(VLOOKUP(B54,input_382010!L:R,7,FALSE),VLOOKUP(tables_382010!C54,input_382010!A:H,8,FALSE))</f>
        <v>36330</v>
      </c>
      <c r="P54" s="46">
        <f t="shared" ca="1" si="2"/>
        <v>5.2743902439024394E-3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input_382010!A$2</f>
        <v>382010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IFERROR(VLOOKUP(B55,input_382010!L:R,7,FALSE),VLOOKUP(tables_382010!C55,input_382010!A:H,8,FALSE))</f>
        <v>34048.269229999998</v>
      </c>
      <c r="P55" s="46">
        <f t="shared" ca="1" si="2"/>
        <v>4.9431285177119625E-3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input_382010!A$2</f>
        <v>382010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IFERROR(VLOOKUP(B56,input_382010!L:R,7,FALSE),VLOOKUP(tables_382010!C56,input_382010!A:H,8,FALSE))</f>
        <v>2281.7307700000001</v>
      </c>
      <c r="P56" s="46">
        <f t="shared" ca="1" si="2"/>
        <v>3.312617261904762E-4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input_382010!A$2</f>
        <v>382010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IFERROR(VLOOKUP(B57,input_382010!L:R,7,FALSE),VLOOKUP(tables_382010!C57,input_382010!A:H,8,FALSE))</f>
        <v>36330</v>
      </c>
      <c r="P57" s="46">
        <f t="shared" ca="1" si="2"/>
        <v>5.2743902439024394E-3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input_382010!A$2</f>
        <v>382010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IFERROR(VLOOKUP(B58,input_382010!L:R,7,FALSE),VLOOKUP(tables_382010!C58,input_382010!A:H,8,FALSE))</f>
        <v>34048.269229999998</v>
      </c>
      <c r="P58" s="46">
        <f t="shared" ca="1" si="2"/>
        <v>4.9431285177119625E-3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input_382010!A$2</f>
        <v>382010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IFERROR(VLOOKUP(B59,input_382010!L:R,7,FALSE),VLOOKUP(tables_382010!C59,input_382010!A:H,8,FALSE))</f>
        <v>2281.7307700000001</v>
      </c>
      <c r="P59" s="46">
        <f t="shared" ca="1" si="2"/>
        <v>3.312617261904762E-4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input_382010!A$2</f>
        <v>382010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IFERROR(VLOOKUP(B60,input_382010!L:R,7,FALSE),VLOOKUP(tables_382010!C60,input_382010!A:H,8,FALSE))</f>
        <v>36330</v>
      </c>
      <c r="P60" s="46">
        <f t="shared" ca="1" si="2"/>
        <v>5.2743902439024394E-3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input_382010!A$2</f>
        <v>382010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IFERROR(VLOOKUP(B61,input_382010!L:R,7,FALSE),VLOOKUP(tables_382010!C61,input_382010!A:H,8,FALSE))</f>
        <v>34048.269229999998</v>
      </c>
      <c r="P61" s="46">
        <f t="shared" ca="1" si="2"/>
        <v>4.9431285177119625E-3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input_382010!A$2</f>
        <v>382010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IFERROR(VLOOKUP(B62,input_382010!L:R,7,FALSE),VLOOKUP(tables_382010!C62,input_382010!A:H,8,FALSE))</f>
        <v>2281.7307700000001</v>
      </c>
      <c r="P62" s="46">
        <f t="shared" ca="1" si="2"/>
        <v>3.312617261904762E-4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input_382010!A$2</f>
        <v>382010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IFERROR(VLOOKUP(B63,input_382010!L:R,7,FALSE),VLOOKUP(tables_382010!C63,input_382010!A:H,8,FALSE))</f>
        <v>36330</v>
      </c>
      <c r="P63" s="46">
        <f t="shared" ca="1" si="2"/>
        <v>5.2743902439024394E-3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input_382010!A$2</f>
        <v>382010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IFERROR(VLOOKUP(B64,input_382010!L:R,7,FALSE),VLOOKUP(tables_382010!C64,input_382010!A:H,8,FALSE))</f>
        <v>34048.269229999998</v>
      </c>
      <c r="P64" s="46">
        <f t="shared" ca="1" si="2"/>
        <v>4.9431285177119625E-3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input_382010!A$2</f>
        <v>382010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IFERROR(VLOOKUP(B65,input_382010!L:R,7,FALSE),VLOOKUP(tables_382010!C65,input_382010!A:H,8,FALSE))</f>
        <v>2281.7307700000001</v>
      </c>
      <c r="P65" s="46">
        <f t="shared" ca="1" si="2"/>
        <v>3.312617261904762E-4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input_382010!A$2</f>
        <v>382010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IFERROR(VLOOKUP(B66,input_382010!L:R,7,FALSE),VLOOKUP(tables_382010!C66,input_382010!A:H,8,FALSE))</f>
        <v>36330</v>
      </c>
      <c r="P66" s="46">
        <f t="shared" ca="1" si="2"/>
        <v>5.2743902439024394E-3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input_382010!A$2</f>
        <v>382010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IFERROR(VLOOKUP(B67,input_382010!L:R,7,FALSE),VLOOKUP(tables_382010!C67,input_382010!A:H,8,FALSE))</f>
        <v>34048.269229999998</v>
      </c>
      <c r="P67" s="46">
        <f t="shared" ref="P67:P130" ca="1" si="5">O67/SUM(O:O)</f>
        <v>4.9431285177119625E-3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input_382010!A$2</f>
        <v>382010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IFERROR(VLOOKUP(B68,input_382010!L:R,7,FALSE),VLOOKUP(tables_382010!C68,input_382010!A:H,8,FALSE))</f>
        <v>2281.7307700000001</v>
      </c>
      <c r="P68" s="46">
        <f t="shared" ca="1" si="5"/>
        <v>3.312617261904762E-4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input_382010!A$2</f>
        <v>382010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IFERROR(VLOOKUP(B69,input_382010!L:R,7,FALSE),VLOOKUP(tables_382010!C69,input_382010!A:H,8,FALSE))</f>
        <v>36330</v>
      </c>
      <c r="P69" s="46">
        <f t="shared" ca="1" si="5"/>
        <v>5.2743902439024394E-3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input_382010!A$2</f>
        <v>382010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IFERROR(VLOOKUP(B70,input_382010!L:R,7,FALSE),VLOOKUP(tables_382010!C70,input_382010!A:H,8,FALSE))</f>
        <v>34048.269229999998</v>
      </c>
      <c r="P70" s="46">
        <f t="shared" ca="1" si="5"/>
        <v>4.9431285177119625E-3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input_382010!A$2</f>
        <v>382010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IFERROR(VLOOKUP(B71,input_382010!L:R,7,FALSE),VLOOKUP(tables_382010!C71,input_382010!A:H,8,FALSE))</f>
        <v>2281.7307700000001</v>
      </c>
      <c r="P71" s="46">
        <f t="shared" ca="1" si="5"/>
        <v>3.312617261904762E-4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input_382010!A$2</f>
        <v>382010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IFERROR(VLOOKUP(B72,input_382010!L:R,7,FALSE),VLOOKUP(tables_382010!C72,input_382010!A:H,8,FALSE))</f>
        <v>36330</v>
      </c>
      <c r="P72" s="46">
        <f t="shared" ca="1" si="5"/>
        <v>5.2743902439024394E-3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input_382010!A$2</f>
        <v>382010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IFERROR(VLOOKUP(B73,input_382010!L:R,7,FALSE),VLOOKUP(tables_382010!C73,input_382010!A:H,8,FALSE))</f>
        <v>34048.269229999998</v>
      </c>
      <c r="P73" s="46">
        <f t="shared" ca="1" si="5"/>
        <v>4.9431285177119625E-3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input_382010!A$2</f>
        <v>382010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IFERROR(VLOOKUP(B74,input_382010!L:R,7,FALSE),VLOOKUP(tables_382010!C74,input_382010!A:H,8,FALSE))</f>
        <v>2281.7307700000001</v>
      </c>
      <c r="P74" s="46">
        <f t="shared" ca="1" si="5"/>
        <v>3.312617261904762E-4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input_382010!A$2</f>
        <v>382010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IFERROR(VLOOKUP(B75,input_382010!L:R,7,FALSE),VLOOKUP(tables_382010!C75,input_382010!A:H,8,FALSE))</f>
        <v>36330</v>
      </c>
      <c r="P75" s="46">
        <f t="shared" ca="1" si="5"/>
        <v>5.2743902439024394E-3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input_382010!A$2</f>
        <v>382010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IFERROR(VLOOKUP(B76,input_382010!L:R,7,FALSE),VLOOKUP(tables_382010!C76,input_382010!A:H,8,FALSE))</f>
        <v>34048.269229999998</v>
      </c>
      <c r="P76" s="46">
        <f t="shared" ca="1" si="5"/>
        <v>4.9431285177119625E-3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input_382010!A$2</f>
        <v>382010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IFERROR(VLOOKUP(B77,input_382010!L:R,7,FALSE),VLOOKUP(tables_382010!C77,input_382010!A:H,8,FALSE))</f>
        <v>2281.7307700000001</v>
      </c>
      <c r="P77" s="46">
        <f t="shared" ca="1" si="5"/>
        <v>3.312617261904762E-4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input_382010!A$2</f>
        <v>382010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IFERROR(VLOOKUP(B78,input_382010!L:R,7,FALSE),VLOOKUP(tables_382010!C78,input_382010!A:H,8,FALSE))</f>
        <v>36330</v>
      </c>
      <c r="P78" s="46">
        <f t="shared" ca="1" si="5"/>
        <v>5.2743902439024394E-3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input_382010!A$2</f>
        <v>382010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IFERROR(VLOOKUP(B79,input_382010!L:R,7,FALSE),VLOOKUP(tables_382010!C79,input_382010!A:H,8,FALSE))</f>
        <v>34048.269229999998</v>
      </c>
      <c r="P79" s="46">
        <f t="shared" ca="1" si="5"/>
        <v>4.9431285177119625E-3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input_382010!A$2</f>
        <v>382010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IFERROR(VLOOKUP(B80,input_382010!L:R,7,FALSE),VLOOKUP(tables_382010!C80,input_382010!A:H,8,FALSE))</f>
        <v>2281.7307700000001</v>
      </c>
      <c r="P80" s="46">
        <f t="shared" ca="1" si="5"/>
        <v>3.312617261904762E-4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input_382010!A$2</f>
        <v>382010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IFERROR(VLOOKUP(B81,input_382010!L:R,7,FALSE),VLOOKUP(tables_382010!C81,input_382010!A:H,8,FALSE))</f>
        <v>36330</v>
      </c>
      <c r="P81" s="46">
        <f t="shared" ca="1" si="5"/>
        <v>5.2743902439024394E-3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input_382010!A$2</f>
        <v>382010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IFERROR(VLOOKUP(B82,input_382010!L:R,7,FALSE),VLOOKUP(tables_382010!C82,input_382010!A:H,8,FALSE))</f>
        <v>34048.269229999998</v>
      </c>
      <c r="P82" s="46">
        <f t="shared" ca="1" si="5"/>
        <v>4.9431285177119625E-3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input_382010!A$2</f>
        <v>382010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IFERROR(VLOOKUP(B83,input_382010!L:R,7,FALSE),VLOOKUP(tables_382010!C83,input_382010!A:H,8,FALSE))</f>
        <v>2281.7307700000001</v>
      </c>
      <c r="P83" s="46">
        <f t="shared" ca="1" si="5"/>
        <v>3.312617261904762E-4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input_382010!A$2</f>
        <v>382010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IFERROR(VLOOKUP(B84,input_382010!L:R,7,FALSE),VLOOKUP(tables_382010!C84,input_382010!A:H,8,FALSE))</f>
        <v>36330</v>
      </c>
      <c r="P84" s="46">
        <f t="shared" ca="1" si="5"/>
        <v>5.2743902439024394E-3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input_382010!A$2</f>
        <v>382010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IFERROR(VLOOKUP(B85,input_382010!L:R,7,FALSE),VLOOKUP(tables_382010!C85,input_382010!A:H,8,FALSE))</f>
        <v>34048.269229999998</v>
      </c>
      <c r="P85" s="46">
        <f t="shared" ca="1" si="5"/>
        <v>4.9431285177119625E-3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input_382010!A$2</f>
        <v>382010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IFERROR(VLOOKUP(B86,input_382010!L:R,7,FALSE),VLOOKUP(tables_382010!C86,input_382010!A:H,8,FALSE))</f>
        <v>2281.7307700000001</v>
      </c>
      <c r="P86" s="46">
        <f t="shared" ca="1" si="5"/>
        <v>3.312617261904762E-4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input_382010!A$2</f>
        <v>382010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IFERROR(VLOOKUP(B87,input_382010!L:R,7,FALSE),VLOOKUP(tables_382010!C87,input_382010!A:H,8,FALSE))</f>
        <v>36330</v>
      </c>
      <c r="P87" s="46">
        <f t="shared" ca="1" si="5"/>
        <v>5.2743902439024394E-3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input_382010!A$2</f>
        <v>382010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IFERROR(VLOOKUP(B88,input_382010!L:R,7,FALSE),VLOOKUP(tables_382010!C88,input_382010!A:H,8,FALSE))</f>
        <v>34048.269229999998</v>
      </c>
      <c r="P88" s="46">
        <f t="shared" ca="1" si="5"/>
        <v>4.9431285177119625E-3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input_382010!A$2</f>
        <v>382010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IFERROR(VLOOKUP(B89,input_382010!L:R,7,FALSE),VLOOKUP(tables_382010!C89,input_382010!A:H,8,FALSE))</f>
        <v>2281.7307700000001</v>
      </c>
      <c r="P89" s="46">
        <f t="shared" ca="1" si="5"/>
        <v>3.312617261904762E-4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input_382010!A$2</f>
        <v>382010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IFERROR(VLOOKUP(B90,input_382010!L:R,7,FALSE),VLOOKUP(tables_382010!C90,input_382010!A:H,8,FALSE))</f>
        <v>36330</v>
      </c>
      <c r="P90" s="46">
        <f t="shared" ca="1" si="5"/>
        <v>5.2743902439024394E-3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input_382010!A$2</f>
        <v>382010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IFERROR(VLOOKUP(B91,input_382010!L:R,7,FALSE),VLOOKUP(tables_382010!C91,input_382010!A:H,8,FALSE))</f>
        <v>34048.269229999998</v>
      </c>
      <c r="P91" s="46">
        <f t="shared" ca="1" si="5"/>
        <v>4.9431285177119625E-3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input_382010!A$2</f>
        <v>382010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IFERROR(VLOOKUP(B92,input_382010!L:R,7,FALSE),VLOOKUP(tables_382010!C92,input_382010!A:H,8,FALSE))</f>
        <v>2281.7307700000001</v>
      </c>
      <c r="P92" s="46">
        <f t="shared" ca="1" si="5"/>
        <v>3.312617261904762E-4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input_382010!A$2</f>
        <v>382010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IFERROR(VLOOKUP(B93,input_382010!L:R,7,FALSE),VLOOKUP(tables_382010!C93,input_382010!A:H,8,FALSE))</f>
        <v>36330</v>
      </c>
      <c r="P93" s="46">
        <f t="shared" ca="1" si="5"/>
        <v>5.2743902439024394E-3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input_382010!A$2</f>
        <v>382010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IFERROR(VLOOKUP(B94,input_382010!L:R,7,FALSE),VLOOKUP(tables_382010!C94,input_382010!A:H,8,FALSE))</f>
        <v>34048.269229999998</v>
      </c>
      <c r="P94" s="46">
        <f t="shared" ca="1" si="5"/>
        <v>4.9431285177119625E-3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input_382010!A$2</f>
        <v>382010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IFERROR(VLOOKUP(B95,input_382010!L:R,7,FALSE),VLOOKUP(tables_382010!C95,input_382010!A:H,8,FALSE))</f>
        <v>2281.7307700000001</v>
      </c>
      <c r="P95" s="46">
        <f t="shared" ca="1" si="5"/>
        <v>3.312617261904762E-4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input_382010!A$2</f>
        <v>382010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IFERROR(VLOOKUP(B96,input_382010!L:R,7,FALSE),VLOOKUP(tables_382010!C96,input_382010!A:H,8,FALSE))</f>
        <v>36330</v>
      </c>
      <c r="P96" s="46">
        <f t="shared" ca="1" si="5"/>
        <v>5.2743902439024394E-3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input_382010!A$2</f>
        <v>382010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IFERROR(VLOOKUP(B97,input_382010!L:R,7,FALSE),VLOOKUP(tables_382010!C97,input_382010!A:H,8,FALSE))</f>
        <v>34048.269229999998</v>
      </c>
      <c r="P97" s="46">
        <f t="shared" ca="1" si="5"/>
        <v>4.9431285177119625E-3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input_382010!A$2</f>
        <v>382010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IFERROR(VLOOKUP(B98,input_382010!L:R,7,FALSE),VLOOKUP(tables_382010!C98,input_382010!A:H,8,FALSE))</f>
        <v>2281.7307700000001</v>
      </c>
      <c r="P98" s="46">
        <f t="shared" ca="1" si="5"/>
        <v>3.312617261904762E-4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input_382010!A$2</f>
        <v>382010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IFERROR(VLOOKUP(B99,input_382010!L:R,7,FALSE),VLOOKUP(tables_382010!C99,input_382010!A:H,8,FALSE))</f>
        <v>36330</v>
      </c>
      <c r="P99" s="46">
        <f t="shared" ca="1" si="5"/>
        <v>5.2743902439024394E-3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input_382010!A$2</f>
        <v>382010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IFERROR(VLOOKUP(B100,input_382010!L:R,7,FALSE),VLOOKUP(tables_382010!C100,input_382010!A:H,8,FALSE))</f>
        <v>34048.269229999998</v>
      </c>
      <c r="P100" s="46">
        <f t="shared" ca="1" si="5"/>
        <v>4.9431285177119625E-3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input_382010!A$2</f>
        <v>382010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IFERROR(VLOOKUP(B101,input_382010!L:R,7,FALSE),VLOOKUP(tables_382010!C101,input_382010!A:H,8,FALSE))</f>
        <v>2281.7307700000001</v>
      </c>
      <c r="P101" s="46">
        <f t="shared" ca="1" si="5"/>
        <v>3.312617261904762E-4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input_382010!A$2</f>
        <v>382010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IFERROR(VLOOKUP(B102,input_382010!L:R,7,FALSE),VLOOKUP(tables_382010!C102,input_382010!A:H,8,FALSE))</f>
        <v>36330</v>
      </c>
      <c r="P102" s="46">
        <f t="shared" ca="1" si="5"/>
        <v>5.2743902439024394E-3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input_382010!A$2</f>
        <v>382010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IFERROR(VLOOKUP(B103,input_382010!L:R,7,FALSE),VLOOKUP(tables_382010!C103,input_382010!A:H,8,FALSE))</f>
        <v>34048.269229999998</v>
      </c>
      <c r="P103" s="46">
        <f t="shared" ca="1" si="5"/>
        <v>4.9431285177119625E-3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input_382010!A$2</f>
        <v>382010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IFERROR(VLOOKUP(B104,input_382010!L:R,7,FALSE),VLOOKUP(tables_382010!C104,input_382010!A:H,8,FALSE))</f>
        <v>2281.7307700000001</v>
      </c>
      <c r="P104" s="46">
        <f t="shared" ca="1" si="5"/>
        <v>3.312617261904762E-4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input_382010!A$2</f>
        <v>382010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IFERROR(VLOOKUP(B105,input_382010!L:R,7,FALSE),VLOOKUP(tables_382010!C105,input_382010!A:H,8,FALSE))</f>
        <v>36330</v>
      </c>
      <c r="P105" s="46">
        <f t="shared" ca="1" si="5"/>
        <v>5.2743902439024394E-3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input_382010!A$2</f>
        <v>382010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IFERROR(VLOOKUP(B106,input_382010!L:R,7,FALSE),VLOOKUP(tables_382010!C106,input_382010!A:H,8,FALSE))</f>
        <v>34048.269229999998</v>
      </c>
      <c r="P106" s="46">
        <f t="shared" ca="1" si="5"/>
        <v>4.9431285177119625E-3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input_382010!A$2</f>
        <v>382010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IFERROR(VLOOKUP(B107,input_382010!L:R,7,FALSE),VLOOKUP(tables_382010!C107,input_382010!A:H,8,FALSE))</f>
        <v>2281.7307700000001</v>
      </c>
      <c r="P107" s="46">
        <f t="shared" ca="1" si="5"/>
        <v>3.312617261904762E-4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input_382010!A$2</f>
        <v>382010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IFERROR(VLOOKUP(B108,input_382010!L:R,7,FALSE),VLOOKUP(tables_382010!C108,input_382010!A:H,8,FALSE))</f>
        <v>36330</v>
      </c>
      <c r="P108" s="46">
        <f t="shared" ca="1" si="5"/>
        <v>5.2743902439024394E-3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input_382010!A$2</f>
        <v>382010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IFERROR(VLOOKUP(B109,input_382010!L:R,7,FALSE),VLOOKUP(tables_382010!C109,input_382010!A:H,8,FALSE))</f>
        <v>34048.269229999998</v>
      </c>
      <c r="P109" s="46">
        <f t="shared" ca="1" si="5"/>
        <v>4.9431285177119625E-3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input_382010!A$2</f>
        <v>382010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IFERROR(VLOOKUP(B110,input_382010!L:R,7,FALSE),VLOOKUP(tables_382010!C110,input_382010!A:H,8,FALSE))</f>
        <v>2281.7307700000001</v>
      </c>
      <c r="P110" s="46">
        <f t="shared" ca="1" si="5"/>
        <v>3.312617261904762E-4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input_382010!A$2</f>
        <v>382010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IFERROR(VLOOKUP(B111,input_382010!L:R,7,FALSE),VLOOKUP(tables_382010!C111,input_382010!A:H,8,FALSE))</f>
        <v>51660</v>
      </c>
      <c r="P111" s="46">
        <f t="shared" ca="1" si="5"/>
        <v>7.4999999999999997E-3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input_382010!A$2</f>
        <v>382010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IFERROR(VLOOKUP(B112,input_382010!L:R,7,FALSE),VLOOKUP(tables_382010!C112,input_382010!A:H,8,FALSE))</f>
        <v>48216</v>
      </c>
      <c r="P112" s="46">
        <f t="shared" ca="1" si="5"/>
        <v>7.0000000000000001E-3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input_382010!A$2</f>
        <v>382010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IFERROR(VLOOKUP(B113,input_382010!L:R,7,FALSE),VLOOKUP(tables_382010!C113,input_382010!A:H,8,FALSE))</f>
        <v>3444</v>
      </c>
      <c r="P113" s="46">
        <f t="shared" ca="1" si="5"/>
        <v>5.0000000000000001E-4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input_382010!A$2</f>
        <v>382010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IFERROR(VLOOKUP(B114,input_382010!L:R,7,FALSE),VLOOKUP(tables_382010!C114,input_382010!A:H,8,FALSE))</f>
        <v>36330</v>
      </c>
      <c r="P114" s="46">
        <f t="shared" ca="1" si="5"/>
        <v>5.2743902439024394E-3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input_382010!A$2</f>
        <v>382010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IFERROR(VLOOKUP(B115,input_382010!L:R,7,FALSE),VLOOKUP(tables_382010!C115,input_382010!A:H,8,FALSE))</f>
        <v>34048.269229999998</v>
      </c>
      <c r="P115" s="46">
        <f t="shared" ca="1" si="5"/>
        <v>4.9431285177119625E-3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input_382010!A$2</f>
        <v>382010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IFERROR(VLOOKUP(B116,input_382010!L:R,7,FALSE),VLOOKUP(tables_382010!C116,input_382010!A:H,8,FALSE))</f>
        <v>2281.7307700000001</v>
      </c>
      <c r="P116" s="46">
        <f t="shared" ca="1" si="5"/>
        <v>3.312617261904762E-4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input_382010!A$2</f>
        <v>382010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IFERROR(VLOOKUP(B117,input_382010!L:R,7,FALSE),VLOOKUP(tables_382010!C117,input_382010!A:H,8,FALSE))</f>
        <v>36330</v>
      </c>
      <c r="P117" s="46">
        <f t="shared" ca="1" si="5"/>
        <v>5.2743902439024394E-3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input_382010!A$2</f>
        <v>382010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IFERROR(VLOOKUP(B118,input_382010!L:R,7,FALSE),VLOOKUP(tables_382010!C118,input_382010!A:H,8,FALSE))</f>
        <v>34048.269229999998</v>
      </c>
      <c r="P118" s="46">
        <f t="shared" ca="1" si="5"/>
        <v>4.9431285177119625E-3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input_382010!A$2</f>
        <v>382010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IFERROR(VLOOKUP(B119,input_382010!L:R,7,FALSE),VLOOKUP(tables_382010!C119,input_382010!A:H,8,FALSE))</f>
        <v>2281.7307700000001</v>
      </c>
      <c r="P119" s="46">
        <f t="shared" ca="1" si="5"/>
        <v>3.312617261904762E-4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input_382010!A$2</f>
        <v>382010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IFERROR(VLOOKUP(B120,input_382010!L:R,7,FALSE),VLOOKUP(tables_382010!C120,input_382010!A:H,8,FALSE))</f>
        <v>36330</v>
      </c>
      <c r="P120" s="46">
        <f t="shared" ca="1" si="5"/>
        <v>5.2743902439024394E-3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input_382010!A$2</f>
        <v>382010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IFERROR(VLOOKUP(B121,input_382010!L:R,7,FALSE),VLOOKUP(tables_382010!C121,input_382010!A:H,8,FALSE))</f>
        <v>34048.269229999998</v>
      </c>
      <c r="P121" s="46">
        <f t="shared" ca="1" si="5"/>
        <v>4.9431285177119625E-3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input_382010!A$2</f>
        <v>382010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IFERROR(VLOOKUP(B122,input_382010!L:R,7,FALSE),VLOOKUP(tables_382010!C122,input_382010!A:H,8,FALSE))</f>
        <v>2281.7307700000001</v>
      </c>
      <c r="P122" s="46">
        <f t="shared" ca="1" si="5"/>
        <v>3.312617261904762E-4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input_382010!A$2</f>
        <v>382010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IFERROR(VLOOKUP(B123,input_382010!L:R,7,FALSE),VLOOKUP(tables_382010!C123,input_382010!A:H,8,FALSE))</f>
        <v>36330</v>
      </c>
      <c r="P123" s="46">
        <f t="shared" ca="1" si="5"/>
        <v>5.2743902439024394E-3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input_382010!A$2</f>
        <v>382010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IFERROR(VLOOKUP(B124,input_382010!L:R,7,FALSE),VLOOKUP(tables_382010!C124,input_382010!A:H,8,FALSE))</f>
        <v>34048.269229999998</v>
      </c>
      <c r="P124" s="46">
        <f t="shared" ca="1" si="5"/>
        <v>4.9431285177119625E-3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input_382010!A$2</f>
        <v>382010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IFERROR(VLOOKUP(B125,input_382010!L:R,7,FALSE),VLOOKUP(tables_382010!C125,input_382010!A:H,8,FALSE))</f>
        <v>2281.7307700000001</v>
      </c>
      <c r="P125" s="46">
        <f t="shared" ca="1" si="5"/>
        <v>3.312617261904762E-4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input_382010!A$2</f>
        <v>382010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IFERROR(VLOOKUP(B126,input_382010!L:R,7,FALSE),VLOOKUP(tables_382010!C126,input_382010!A:H,8,FALSE))</f>
        <v>36330</v>
      </c>
      <c r="P126" s="46">
        <f t="shared" ca="1" si="5"/>
        <v>5.2743902439024394E-3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input_382010!A$2</f>
        <v>382010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IFERROR(VLOOKUP(B127,input_382010!L:R,7,FALSE),VLOOKUP(tables_382010!C127,input_382010!A:H,8,FALSE))</f>
        <v>34048.269229999998</v>
      </c>
      <c r="P127" s="46">
        <f t="shared" ca="1" si="5"/>
        <v>4.9431285177119625E-3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input_382010!A$2</f>
        <v>382010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IFERROR(VLOOKUP(B128,input_382010!L:R,7,FALSE),VLOOKUP(tables_382010!C128,input_382010!A:H,8,FALSE))</f>
        <v>2281.7307700000001</v>
      </c>
      <c r="P128" s="46">
        <f t="shared" ca="1" si="5"/>
        <v>3.312617261904762E-4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input_382010!A$2</f>
        <v>382010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IFERROR(VLOOKUP(B129,input_382010!L:R,7,FALSE),VLOOKUP(tables_382010!C129,input_382010!A:H,8,FALSE))</f>
        <v>36330</v>
      </c>
      <c r="P129" s="46">
        <f t="shared" ca="1" si="5"/>
        <v>5.2743902439024394E-3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input_382010!A$2</f>
        <v>382010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IFERROR(VLOOKUP(B130,input_382010!L:R,7,FALSE),VLOOKUP(tables_382010!C130,input_382010!A:H,8,FALSE))</f>
        <v>34048.269229999998</v>
      </c>
      <c r="P130" s="46">
        <f t="shared" ca="1" si="5"/>
        <v>4.9431285177119625E-3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input_382010!A$2</f>
        <v>382010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IFERROR(VLOOKUP(B131,input_382010!L:R,7,FALSE),VLOOKUP(tables_382010!C131,input_382010!A:H,8,FALSE))</f>
        <v>2281.7307700000001</v>
      </c>
      <c r="P131" s="46">
        <f t="shared" ref="P131:P194" ca="1" si="8">O131/SUM(O:O)</f>
        <v>3.312617261904762E-4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input_382010!A$2</f>
        <v>382010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IFERROR(VLOOKUP(B132,input_382010!L:R,7,FALSE),VLOOKUP(tables_382010!C132,input_382010!A:H,8,FALSE))</f>
        <v>36330</v>
      </c>
      <c r="P132" s="46">
        <f t="shared" ca="1" si="8"/>
        <v>5.2743902439024394E-3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input_382010!A$2</f>
        <v>382010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IFERROR(VLOOKUP(B133,input_382010!L:R,7,FALSE),VLOOKUP(tables_382010!C133,input_382010!A:H,8,FALSE))</f>
        <v>34048.269229999998</v>
      </c>
      <c r="P133" s="46">
        <f t="shared" ca="1" si="8"/>
        <v>4.9431285177119625E-3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input_382010!A$2</f>
        <v>382010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IFERROR(VLOOKUP(B134,input_382010!L:R,7,FALSE),VLOOKUP(tables_382010!C134,input_382010!A:H,8,FALSE))</f>
        <v>2281.7307700000001</v>
      </c>
      <c r="P134" s="46">
        <f t="shared" ca="1" si="8"/>
        <v>3.312617261904762E-4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input_382010!A$2</f>
        <v>382010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IFERROR(VLOOKUP(B135,input_382010!L:R,7,FALSE),VLOOKUP(tables_382010!C135,input_382010!A:H,8,FALSE))</f>
        <v>36330</v>
      </c>
      <c r="P135" s="46">
        <f t="shared" ca="1" si="8"/>
        <v>5.2743902439024394E-3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input_382010!A$2</f>
        <v>382010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IFERROR(VLOOKUP(B136,input_382010!L:R,7,FALSE),VLOOKUP(tables_382010!C136,input_382010!A:H,8,FALSE))</f>
        <v>34048.269229999998</v>
      </c>
      <c r="P136" s="46">
        <f t="shared" ca="1" si="8"/>
        <v>4.9431285177119625E-3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input_382010!A$2</f>
        <v>382010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IFERROR(VLOOKUP(B137,input_382010!L:R,7,FALSE),VLOOKUP(tables_382010!C137,input_382010!A:H,8,FALSE))</f>
        <v>2281.7307700000001</v>
      </c>
      <c r="P137" s="46">
        <f t="shared" ca="1" si="8"/>
        <v>3.312617261904762E-4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input_382010!A$2</f>
        <v>382010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IFERROR(VLOOKUP(B138,input_382010!L:R,7,FALSE),VLOOKUP(tables_382010!C138,input_382010!A:H,8,FALSE))</f>
        <v>11685</v>
      </c>
      <c r="P138" s="46">
        <f t="shared" ca="1" si="8"/>
        <v>1.6964285714285714E-3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input_382010!A$2</f>
        <v>382010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IFERROR(VLOOKUP(B139,input_382010!L:R,7,FALSE),VLOOKUP(tables_382010!C139,input_382010!A:H,8,FALSE))</f>
        <v>615</v>
      </c>
      <c r="P139" s="46">
        <f t="shared" ca="1" si="8"/>
        <v>8.9285714285714286E-5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input_382010!A$2</f>
        <v>382010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IFERROR(VLOOKUP(B140,input_382010!L:R,7,FALSE),VLOOKUP(tables_382010!C140,input_382010!A:H,8,FALSE))</f>
        <v>11685</v>
      </c>
      <c r="P140" s="46">
        <f t="shared" ca="1" si="8"/>
        <v>1.6964285714285714E-3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input_382010!A$2</f>
        <v>382010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IFERROR(VLOOKUP(B141,input_382010!L:R,7,FALSE),VLOOKUP(tables_382010!C141,input_382010!A:H,8,FALSE))</f>
        <v>615</v>
      </c>
      <c r="P141" s="46">
        <f t="shared" ca="1" si="8"/>
        <v>8.9285714285714286E-5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input_382010!A$2</f>
        <v>382010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IFERROR(VLOOKUP(B142,input_382010!L:R,7,FALSE),VLOOKUP(tables_382010!C142,input_382010!A:H,8,FALSE))</f>
        <v>11685</v>
      </c>
      <c r="P142" s="46">
        <f t="shared" ca="1" si="8"/>
        <v>1.6964285714285714E-3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input_382010!A$2</f>
        <v>382010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IFERROR(VLOOKUP(B143,input_382010!L:R,7,FALSE),VLOOKUP(tables_382010!C143,input_382010!A:H,8,FALSE))</f>
        <v>615</v>
      </c>
      <c r="P143" s="46">
        <f t="shared" ca="1" si="8"/>
        <v>8.9285714285714286E-5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input_382010!A$2</f>
        <v>382010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IFERROR(VLOOKUP(B144,input_382010!L:R,7,FALSE),VLOOKUP(tables_382010!C144,input_382010!A:H,8,FALSE))</f>
        <v>11685</v>
      </c>
      <c r="P144" s="46">
        <f t="shared" ca="1" si="8"/>
        <v>1.6964285714285714E-3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input_382010!A$2</f>
        <v>382010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IFERROR(VLOOKUP(B145,input_382010!L:R,7,FALSE),VLOOKUP(tables_382010!C145,input_382010!A:H,8,FALSE))</f>
        <v>615</v>
      </c>
      <c r="P145" s="46">
        <f t="shared" ca="1" si="8"/>
        <v>8.9285714285714286E-5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input_382010!A$2</f>
        <v>382010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IFERROR(VLOOKUP(B146,input_382010!L:R,7,FALSE),VLOOKUP(tables_382010!C146,input_382010!A:H,8,FALSE))</f>
        <v>36330</v>
      </c>
      <c r="P146" s="46">
        <f t="shared" ca="1" si="8"/>
        <v>5.2743902439024394E-3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input_382010!A$2</f>
        <v>382010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IFERROR(VLOOKUP(B147,input_382010!L:R,7,FALSE),VLOOKUP(tables_382010!C147,input_382010!A:H,8,FALSE))</f>
        <v>34048.269229999998</v>
      </c>
      <c r="P147" s="46">
        <f t="shared" ca="1" si="8"/>
        <v>4.9431285177119625E-3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input_382010!A$2</f>
        <v>382010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IFERROR(VLOOKUP(B148,input_382010!L:R,7,FALSE),VLOOKUP(tables_382010!C148,input_382010!A:H,8,FALSE))</f>
        <v>2281.7307700000001</v>
      </c>
      <c r="P148" s="46">
        <f t="shared" ca="1" si="8"/>
        <v>3.312617261904762E-4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input_382010!A$2</f>
        <v>382010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IFERROR(VLOOKUP(B149,input_382010!L:R,7,FALSE),VLOOKUP(tables_382010!C149,input_382010!A:H,8,FALSE))</f>
        <v>11685</v>
      </c>
      <c r="P149" s="46">
        <f t="shared" ca="1" si="8"/>
        <v>1.6964285714285714E-3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input_382010!A$2</f>
        <v>382010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IFERROR(VLOOKUP(B150,input_382010!L:R,7,FALSE),VLOOKUP(tables_382010!C150,input_382010!A:H,8,FALSE))</f>
        <v>615</v>
      </c>
      <c r="P150" s="46">
        <f t="shared" ca="1" si="8"/>
        <v>8.9285714285714286E-5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input_382010!A$2</f>
        <v>382010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IFERROR(VLOOKUP(B151,input_382010!L:R,7,FALSE),VLOOKUP(tables_382010!C151,input_382010!A:H,8,FALSE))</f>
        <v>11685</v>
      </c>
      <c r="P151" s="46">
        <f t="shared" ca="1" si="8"/>
        <v>1.6964285714285714E-3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input_382010!A$2</f>
        <v>382010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IFERROR(VLOOKUP(B152,input_382010!L:R,7,FALSE),VLOOKUP(tables_382010!C152,input_382010!A:H,8,FALSE))</f>
        <v>615</v>
      </c>
      <c r="P152" s="46">
        <f t="shared" ca="1" si="8"/>
        <v>8.9285714285714286E-5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input_382010!A$2</f>
        <v>382010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IFERROR(VLOOKUP(B153,input_382010!L:R,7,FALSE),VLOOKUP(tables_382010!C153,input_382010!A:H,8,FALSE))</f>
        <v>36330</v>
      </c>
      <c r="P153" s="46">
        <f t="shared" ca="1" si="8"/>
        <v>5.2743902439024394E-3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input_382010!A$2</f>
        <v>382010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IFERROR(VLOOKUP(B154,input_382010!L:R,7,FALSE),VLOOKUP(tables_382010!C154,input_382010!A:H,8,FALSE))</f>
        <v>34048.269229999998</v>
      </c>
      <c r="P154" s="46">
        <f t="shared" ca="1" si="8"/>
        <v>4.9431285177119625E-3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input_382010!A$2</f>
        <v>382010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IFERROR(VLOOKUP(B155,input_382010!L:R,7,FALSE),VLOOKUP(tables_382010!C155,input_382010!A:H,8,FALSE))</f>
        <v>2281.7307700000001</v>
      </c>
      <c r="P155" s="46">
        <f t="shared" ca="1" si="8"/>
        <v>3.312617261904762E-4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input_382010!A$2</f>
        <v>382010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IFERROR(VLOOKUP(B156,input_382010!L:R,7,FALSE),VLOOKUP(tables_382010!C156,input_382010!A:H,8,FALSE))</f>
        <v>11685</v>
      </c>
      <c r="P156" s="46">
        <f t="shared" ca="1" si="8"/>
        <v>1.6964285714285714E-3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input_382010!A$2</f>
        <v>382010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IFERROR(VLOOKUP(B157,input_382010!L:R,7,FALSE),VLOOKUP(tables_382010!C157,input_382010!A:H,8,FALSE))</f>
        <v>615</v>
      </c>
      <c r="P157" s="46">
        <f t="shared" ca="1" si="8"/>
        <v>8.9285714285714286E-5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input_382010!A$2</f>
        <v>382010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IFERROR(VLOOKUP(B158,input_382010!L:R,7,FALSE),VLOOKUP(tables_382010!C158,input_382010!A:H,8,FALSE))</f>
        <v>36330</v>
      </c>
      <c r="P158" s="46">
        <f t="shared" ca="1" si="8"/>
        <v>5.2743902439024394E-3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input_382010!A$2</f>
        <v>382010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IFERROR(VLOOKUP(B159,input_382010!L:R,7,FALSE),VLOOKUP(tables_382010!C159,input_382010!A:H,8,FALSE))</f>
        <v>34048.269229999998</v>
      </c>
      <c r="P159" s="46">
        <f t="shared" ca="1" si="8"/>
        <v>4.9431285177119625E-3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input_382010!A$2</f>
        <v>382010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IFERROR(VLOOKUP(B160,input_382010!L:R,7,FALSE),VLOOKUP(tables_382010!C160,input_382010!A:H,8,FALSE))</f>
        <v>2281.7307700000001</v>
      </c>
      <c r="P160" s="46">
        <f t="shared" ca="1" si="8"/>
        <v>3.312617261904762E-4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input_382010!A$2</f>
        <v>382010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IFERROR(VLOOKUP(B161,input_382010!L:R,7,FALSE),VLOOKUP(tables_382010!C161,input_382010!A:H,8,FALSE))</f>
        <v>36330</v>
      </c>
      <c r="P161" s="46">
        <f t="shared" ca="1" si="8"/>
        <v>5.2743902439024394E-3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input_382010!A$2</f>
        <v>382010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IFERROR(VLOOKUP(B162,input_382010!L:R,7,FALSE),VLOOKUP(tables_382010!C162,input_382010!A:H,8,FALSE))</f>
        <v>34048.269229999998</v>
      </c>
      <c r="P162" s="46">
        <f t="shared" ca="1" si="8"/>
        <v>4.9431285177119625E-3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input_382010!A$2</f>
        <v>382010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IFERROR(VLOOKUP(B163,input_382010!L:R,7,FALSE),VLOOKUP(tables_382010!C163,input_382010!A:H,8,FALSE))</f>
        <v>2281.7307700000001</v>
      </c>
      <c r="P163" s="46">
        <f t="shared" ca="1" si="8"/>
        <v>3.312617261904762E-4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input_382010!A$2</f>
        <v>382010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IFERROR(VLOOKUP(B164,input_382010!L:R,7,FALSE),VLOOKUP(tables_382010!C164,input_382010!A:H,8,FALSE))</f>
        <v>11685</v>
      </c>
      <c r="P164" s="46">
        <f t="shared" ca="1" si="8"/>
        <v>1.6964285714285714E-3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input_382010!A$2</f>
        <v>382010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IFERROR(VLOOKUP(B165,input_382010!L:R,7,FALSE),VLOOKUP(tables_382010!C165,input_382010!A:H,8,FALSE))</f>
        <v>615</v>
      </c>
      <c r="P165" s="46">
        <f t="shared" ca="1" si="8"/>
        <v>8.9285714285714286E-5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input_382010!A$2</f>
        <v>382010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IFERROR(VLOOKUP(B166,input_382010!L:R,7,FALSE),VLOOKUP(tables_382010!C166,input_382010!A:H,8,FALSE))</f>
        <v>36330</v>
      </c>
      <c r="P166" s="46">
        <f t="shared" ca="1" si="8"/>
        <v>5.2743902439024394E-3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input_382010!A$2</f>
        <v>382010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IFERROR(VLOOKUP(B167,input_382010!L:R,7,FALSE),VLOOKUP(tables_382010!C167,input_382010!A:H,8,FALSE))</f>
        <v>34048.269229999998</v>
      </c>
      <c r="P167" s="46">
        <f t="shared" ca="1" si="8"/>
        <v>4.9431285177119625E-3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input_382010!A$2</f>
        <v>382010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IFERROR(VLOOKUP(B168,input_382010!L:R,7,FALSE),VLOOKUP(tables_382010!C168,input_382010!A:H,8,FALSE))</f>
        <v>2281.7307700000001</v>
      </c>
      <c r="P168" s="46">
        <f t="shared" ca="1" si="8"/>
        <v>3.312617261904762E-4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input_382010!A$2</f>
        <v>382010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IFERROR(VLOOKUP(B169,input_382010!L:R,7,FALSE),VLOOKUP(tables_382010!C169,input_382010!A:H,8,FALSE))</f>
        <v>11685</v>
      </c>
      <c r="P169" s="46">
        <f t="shared" ca="1" si="8"/>
        <v>1.6964285714285714E-3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input_382010!A$2</f>
        <v>382010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IFERROR(VLOOKUP(B170,input_382010!L:R,7,FALSE),VLOOKUP(tables_382010!C170,input_382010!A:H,8,FALSE))</f>
        <v>615</v>
      </c>
      <c r="P170" s="46">
        <f t="shared" ca="1" si="8"/>
        <v>8.9285714285714286E-5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input_382010!A$2</f>
        <v>382010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IFERROR(VLOOKUP(B171,input_382010!L:R,7,FALSE),VLOOKUP(tables_382010!C171,input_382010!A:H,8,FALSE))</f>
        <v>36330</v>
      </c>
      <c r="P171" s="46">
        <f t="shared" ca="1" si="8"/>
        <v>5.2743902439024394E-3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input_382010!A$2</f>
        <v>382010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IFERROR(VLOOKUP(B172,input_382010!L:R,7,FALSE),VLOOKUP(tables_382010!C172,input_382010!A:H,8,FALSE))</f>
        <v>34048.269229999998</v>
      </c>
      <c r="P172" s="46">
        <f t="shared" ca="1" si="8"/>
        <v>4.9431285177119625E-3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input_382010!A$2</f>
        <v>382010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IFERROR(VLOOKUP(B173,input_382010!L:R,7,FALSE),VLOOKUP(tables_382010!C173,input_382010!A:H,8,FALSE))</f>
        <v>2281.7307700000001</v>
      </c>
      <c r="P173" s="46">
        <f t="shared" ca="1" si="8"/>
        <v>3.312617261904762E-4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input_382010!A$2</f>
        <v>382010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IFERROR(VLOOKUP(B174,input_382010!L:R,7,FALSE),VLOOKUP(tables_382010!C174,input_382010!A:H,8,FALSE))</f>
        <v>11685</v>
      </c>
      <c r="P174" s="46">
        <f t="shared" ca="1" si="8"/>
        <v>1.6964285714285714E-3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input_382010!A$2</f>
        <v>382010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IFERROR(VLOOKUP(B175,input_382010!L:R,7,FALSE),VLOOKUP(tables_382010!C175,input_382010!A:H,8,FALSE))</f>
        <v>615</v>
      </c>
      <c r="P175" s="46">
        <f t="shared" ca="1" si="8"/>
        <v>8.9285714285714286E-5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input_382010!A$2</f>
        <v>382010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IFERROR(VLOOKUP(B176,input_382010!L:R,7,FALSE),VLOOKUP(tables_382010!C176,input_382010!A:H,8,FALSE))</f>
        <v>11685</v>
      </c>
      <c r="P176" s="46">
        <f t="shared" ca="1" si="8"/>
        <v>1.6964285714285714E-3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input_382010!A$2</f>
        <v>382010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IFERROR(VLOOKUP(B177,input_382010!L:R,7,FALSE),VLOOKUP(tables_382010!C177,input_382010!A:H,8,FALSE))</f>
        <v>615</v>
      </c>
      <c r="P177" s="46">
        <f t="shared" ca="1" si="8"/>
        <v>8.9285714285714286E-5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input_382010!A$2</f>
        <v>382010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IFERROR(VLOOKUP(B178,input_382010!L:R,7,FALSE),VLOOKUP(tables_382010!C178,input_382010!A:H,8,FALSE))</f>
        <v>36330</v>
      </c>
      <c r="P178" s="46">
        <f t="shared" ca="1" si="8"/>
        <v>5.2743902439024394E-3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input_382010!A$2</f>
        <v>382010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IFERROR(VLOOKUP(B179,input_382010!L:R,7,FALSE),VLOOKUP(tables_382010!C179,input_382010!A:H,8,FALSE))</f>
        <v>34048.269229999998</v>
      </c>
      <c r="P179" s="46">
        <f t="shared" ca="1" si="8"/>
        <v>4.9431285177119625E-3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input_382010!A$2</f>
        <v>382010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IFERROR(VLOOKUP(B180,input_382010!L:R,7,FALSE),VLOOKUP(tables_382010!C180,input_382010!A:H,8,FALSE))</f>
        <v>2281.7307700000001</v>
      </c>
      <c r="P180" s="46">
        <f t="shared" ca="1" si="8"/>
        <v>3.312617261904762E-4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input_382010!A$2</f>
        <v>382010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IFERROR(VLOOKUP(B181,input_382010!L:R,7,FALSE),VLOOKUP(tables_382010!C181,input_382010!A:H,8,FALSE))</f>
        <v>36330</v>
      </c>
      <c r="P181" s="46">
        <f t="shared" ca="1" si="8"/>
        <v>5.2743902439024394E-3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input_382010!A$2</f>
        <v>382010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IFERROR(VLOOKUP(B182,input_382010!L:R,7,FALSE),VLOOKUP(tables_382010!C182,input_382010!A:H,8,FALSE))</f>
        <v>34048.269229999998</v>
      </c>
      <c r="P182" s="46">
        <f t="shared" ca="1" si="8"/>
        <v>4.9431285177119625E-3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input_382010!A$2</f>
        <v>382010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IFERROR(VLOOKUP(B183,input_382010!L:R,7,FALSE),VLOOKUP(tables_382010!C183,input_382010!A:H,8,FALSE))</f>
        <v>2281.7307700000001</v>
      </c>
      <c r="P183" s="46">
        <f t="shared" ca="1" si="8"/>
        <v>3.312617261904762E-4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input_382010!A$2</f>
        <v>382010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IFERROR(VLOOKUP(B184,input_382010!L:R,7,FALSE),VLOOKUP(tables_382010!C184,input_382010!A:H,8,FALSE))</f>
        <v>11685</v>
      </c>
      <c r="P184" s="46">
        <f t="shared" ca="1" si="8"/>
        <v>1.6964285714285714E-3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input_382010!A$2</f>
        <v>382010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IFERROR(VLOOKUP(B185,input_382010!L:R,7,FALSE),VLOOKUP(tables_382010!C185,input_382010!A:H,8,FALSE))</f>
        <v>615</v>
      </c>
      <c r="P185" s="46">
        <f t="shared" ca="1" si="8"/>
        <v>8.9285714285714286E-5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input_382010!A$2</f>
        <v>382010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IFERROR(VLOOKUP(B186,input_382010!L:R,7,FALSE),VLOOKUP(tables_382010!C186,input_382010!A:H,8,FALSE))</f>
        <v>36330</v>
      </c>
      <c r="P186" s="46">
        <f t="shared" ca="1" si="8"/>
        <v>5.2743902439024394E-3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input_382010!A$2</f>
        <v>382010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IFERROR(VLOOKUP(B187,input_382010!L:R,7,FALSE),VLOOKUP(tables_382010!C187,input_382010!A:H,8,FALSE))</f>
        <v>34048.269229999998</v>
      </c>
      <c r="P187" s="46">
        <f t="shared" ca="1" si="8"/>
        <v>4.9431285177119625E-3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input_382010!A$2</f>
        <v>382010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IFERROR(VLOOKUP(B188,input_382010!L:R,7,FALSE),VLOOKUP(tables_382010!C188,input_382010!A:H,8,FALSE))</f>
        <v>2281.7307700000001</v>
      </c>
      <c r="P188" s="46">
        <f t="shared" ca="1" si="8"/>
        <v>3.312617261904762E-4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input_382010!A$2</f>
        <v>382010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IFERROR(VLOOKUP(B189,input_382010!L:R,7,FALSE),VLOOKUP(tables_382010!C189,input_382010!A:H,8,FALSE))</f>
        <v>11685</v>
      </c>
      <c r="P189" s="46">
        <f t="shared" ca="1" si="8"/>
        <v>1.6964285714285714E-3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input_382010!A$2</f>
        <v>382010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IFERROR(VLOOKUP(B190,input_382010!L:R,7,FALSE),VLOOKUP(tables_382010!C190,input_382010!A:H,8,FALSE))</f>
        <v>615</v>
      </c>
      <c r="P190" s="46">
        <f t="shared" ca="1" si="8"/>
        <v>8.9285714285714286E-5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input_382010!A$2</f>
        <v>382010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IFERROR(VLOOKUP(B191,input_382010!L:R,7,FALSE),VLOOKUP(tables_382010!C191,input_382010!A:H,8,FALSE))</f>
        <v>11685</v>
      </c>
      <c r="P191" s="46">
        <f t="shared" ca="1" si="8"/>
        <v>1.6964285714285714E-3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input_382010!A$2</f>
        <v>382010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IFERROR(VLOOKUP(B192,input_382010!L:R,7,FALSE),VLOOKUP(tables_382010!C192,input_382010!A:H,8,FALSE))</f>
        <v>615</v>
      </c>
      <c r="P192" s="46">
        <f t="shared" ca="1" si="8"/>
        <v>8.9285714285714286E-5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input_382010!A$2</f>
        <v>382010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IFERROR(VLOOKUP(B193,input_382010!L:R,7,FALSE),VLOOKUP(tables_382010!C193,input_382010!A:H,8,FALSE))</f>
        <v>36330</v>
      </c>
      <c r="P193" s="46">
        <f t="shared" ca="1" si="8"/>
        <v>5.2743902439024394E-3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input_382010!A$2</f>
        <v>382010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IFERROR(VLOOKUP(B194,input_382010!L:R,7,FALSE),VLOOKUP(tables_382010!C194,input_382010!A:H,8,FALSE))</f>
        <v>34048.269229999998</v>
      </c>
      <c r="P194" s="46">
        <f t="shared" ca="1" si="8"/>
        <v>4.9431285177119625E-3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input_382010!A$2</f>
        <v>382010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IFERROR(VLOOKUP(B195,input_382010!L:R,7,FALSE),VLOOKUP(tables_382010!C195,input_382010!A:H,8,FALSE))</f>
        <v>2281.7307700000001</v>
      </c>
      <c r="P195" s="46">
        <f t="shared" ref="P195:P258" ca="1" si="11">O195/SUM(O:O)</f>
        <v>3.312617261904762E-4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input_382010!A$2</f>
        <v>382010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IFERROR(VLOOKUP(B196,input_382010!L:R,7,FALSE),VLOOKUP(tables_382010!C196,input_382010!A:H,8,FALSE))</f>
        <v>11685</v>
      </c>
      <c r="P196" s="46">
        <f t="shared" ca="1" si="11"/>
        <v>1.6964285714285714E-3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input_382010!A$2</f>
        <v>382010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IFERROR(VLOOKUP(B197,input_382010!L:R,7,FALSE),VLOOKUP(tables_382010!C197,input_382010!A:H,8,FALSE))</f>
        <v>615</v>
      </c>
      <c r="P197" s="46">
        <f t="shared" ca="1" si="11"/>
        <v>8.9285714285714286E-5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input_382010!A$2</f>
        <v>382010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IFERROR(VLOOKUP(B198,input_382010!L:R,7,FALSE),VLOOKUP(tables_382010!C198,input_382010!A:H,8,FALSE))</f>
        <v>36330</v>
      </c>
      <c r="P198" s="46">
        <f t="shared" ca="1" si="11"/>
        <v>5.2743902439024394E-3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input_382010!A$2</f>
        <v>382010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IFERROR(VLOOKUP(B199,input_382010!L:R,7,FALSE),VLOOKUP(tables_382010!C199,input_382010!A:H,8,FALSE))</f>
        <v>34048.269229999998</v>
      </c>
      <c r="P199" s="46">
        <f t="shared" ca="1" si="11"/>
        <v>4.9431285177119625E-3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input_382010!A$2</f>
        <v>382010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IFERROR(VLOOKUP(B200,input_382010!L:R,7,FALSE),VLOOKUP(tables_382010!C200,input_382010!A:H,8,FALSE))</f>
        <v>2281.7307700000001</v>
      </c>
      <c r="P200" s="46">
        <f t="shared" ca="1" si="11"/>
        <v>3.312617261904762E-4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input_382010!A$2</f>
        <v>382010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IFERROR(VLOOKUP(B201,input_382010!L:R,7,FALSE),VLOOKUP(tables_382010!C201,input_382010!A:H,8,FALSE))</f>
        <v>11685</v>
      </c>
      <c r="P201" s="46">
        <f t="shared" ca="1" si="11"/>
        <v>1.6964285714285714E-3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input_382010!A$2</f>
        <v>382010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IFERROR(VLOOKUP(B202,input_382010!L:R,7,FALSE),VLOOKUP(tables_382010!C202,input_382010!A:H,8,FALSE))</f>
        <v>615</v>
      </c>
      <c r="P202" s="46">
        <f t="shared" ca="1" si="11"/>
        <v>8.9285714285714286E-5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input_382010!A$2</f>
        <v>382010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IFERROR(VLOOKUP(B203,input_382010!L:R,7,FALSE),VLOOKUP(tables_382010!C203,input_382010!A:H,8,FALSE))</f>
        <v>36330</v>
      </c>
      <c r="P203" s="46">
        <f t="shared" ca="1" si="11"/>
        <v>5.2743902439024394E-3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input_382010!A$2</f>
        <v>382010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IFERROR(VLOOKUP(B204,input_382010!L:R,7,FALSE),VLOOKUP(tables_382010!C204,input_382010!A:H,8,FALSE))</f>
        <v>34048.269229999998</v>
      </c>
      <c r="P204" s="46">
        <f t="shared" ca="1" si="11"/>
        <v>4.9431285177119625E-3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input_382010!A$2</f>
        <v>382010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IFERROR(VLOOKUP(B205,input_382010!L:R,7,FALSE),VLOOKUP(tables_382010!C205,input_382010!A:H,8,FALSE))</f>
        <v>2281.7307700000001</v>
      </c>
      <c r="P205" s="46">
        <f t="shared" ca="1" si="11"/>
        <v>3.312617261904762E-4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input_382010!A$2</f>
        <v>382010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IFERROR(VLOOKUP(B206,input_382010!L:R,7,FALSE),VLOOKUP(tables_382010!C206,input_382010!A:H,8,FALSE))</f>
        <v>11685</v>
      </c>
      <c r="P206" s="46">
        <f t="shared" ca="1" si="11"/>
        <v>1.6964285714285714E-3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input_382010!A$2</f>
        <v>382010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IFERROR(VLOOKUP(B207,input_382010!L:R,7,FALSE),VLOOKUP(tables_382010!C207,input_382010!A:H,8,FALSE))</f>
        <v>615</v>
      </c>
      <c r="P207" s="46">
        <f t="shared" ca="1" si="11"/>
        <v>8.9285714285714286E-5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input_382010!A$2</f>
        <v>382010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IFERROR(VLOOKUP(B208,input_382010!L:R,7,FALSE),VLOOKUP(tables_382010!C208,input_382010!A:H,8,FALSE))</f>
        <v>11685</v>
      </c>
      <c r="P208" s="46">
        <f t="shared" ca="1" si="11"/>
        <v>1.6964285714285714E-3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input_382010!A$2</f>
        <v>382010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IFERROR(VLOOKUP(B209,input_382010!L:R,7,FALSE),VLOOKUP(tables_382010!C209,input_382010!A:H,8,FALSE))</f>
        <v>615</v>
      </c>
      <c r="P209" s="46">
        <f t="shared" ca="1" si="11"/>
        <v>8.9285714285714286E-5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input_382010!A$2</f>
        <v>382010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IFERROR(VLOOKUP(B210,input_382010!L:R,7,FALSE),VLOOKUP(tables_382010!C210,input_382010!A:H,8,FALSE))</f>
        <v>36330</v>
      </c>
      <c r="P210" s="46">
        <f t="shared" ca="1" si="11"/>
        <v>5.2743902439024394E-3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input_382010!A$2</f>
        <v>382010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IFERROR(VLOOKUP(B211,input_382010!L:R,7,FALSE),VLOOKUP(tables_382010!C211,input_382010!A:H,8,FALSE))</f>
        <v>34048.269229999998</v>
      </c>
      <c r="P211" s="46">
        <f t="shared" ca="1" si="11"/>
        <v>4.9431285177119625E-3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input_382010!A$2</f>
        <v>382010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IFERROR(VLOOKUP(B212,input_382010!L:R,7,FALSE),VLOOKUP(tables_382010!C212,input_382010!A:H,8,FALSE))</f>
        <v>2281.7307700000001</v>
      </c>
      <c r="P212" s="46">
        <f t="shared" ca="1" si="11"/>
        <v>3.312617261904762E-4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input_382010!A$2</f>
        <v>382010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IFERROR(VLOOKUP(B213,input_382010!L:R,7,FALSE),VLOOKUP(tables_382010!C213,input_382010!A:H,8,FALSE))</f>
        <v>11685</v>
      </c>
      <c r="P213" s="46">
        <f t="shared" ca="1" si="11"/>
        <v>1.6964285714285714E-3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input_382010!A$2</f>
        <v>382010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IFERROR(VLOOKUP(B214,input_382010!L:R,7,FALSE),VLOOKUP(tables_382010!C214,input_382010!A:H,8,FALSE))</f>
        <v>615</v>
      </c>
      <c r="P214" s="46">
        <f t="shared" ca="1" si="11"/>
        <v>8.9285714285714286E-5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input_382010!A$2</f>
        <v>382010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IFERROR(VLOOKUP(B215,input_382010!L:R,7,FALSE),VLOOKUP(tables_382010!C215,input_382010!A:H,8,FALSE))</f>
        <v>11685</v>
      </c>
      <c r="P215" s="46">
        <f t="shared" ca="1" si="11"/>
        <v>1.6964285714285714E-3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input_382010!A$2</f>
        <v>382010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IFERROR(VLOOKUP(B216,input_382010!L:R,7,FALSE),VLOOKUP(tables_382010!C216,input_382010!A:H,8,FALSE))</f>
        <v>615</v>
      </c>
      <c r="P216" s="46">
        <f t="shared" ca="1" si="11"/>
        <v>8.9285714285714286E-5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input_382010!A$2</f>
        <v>382010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IFERROR(VLOOKUP(B217,input_382010!L:R,7,FALSE),VLOOKUP(tables_382010!C217,input_382010!A:H,8,FALSE))</f>
        <v>36330</v>
      </c>
      <c r="P217" s="46">
        <f t="shared" ca="1" si="11"/>
        <v>5.2743902439024394E-3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input_382010!A$2</f>
        <v>382010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IFERROR(VLOOKUP(B218,input_382010!L:R,7,FALSE),VLOOKUP(tables_382010!C218,input_382010!A:H,8,FALSE))</f>
        <v>34048.269229999998</v>
      </c>
      <c r="P218" s="46">
        <f t="shared" ca="1" si="11"/>
        <v>4.9431285177119625E-3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input_382010!A$2</f>
        <v>382010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IFERROR(VLOOKUP(B219,input_382010!L:R,7,FALSE),VLOOKUP(tables_382010!C219,input_382010!A:H,8,FALSE))</f>
        <v>2281.7307700000001</v>
      </c>
      <c r="P219" s="46">
        <f t="shared" ca="1" si="11"/>
        <v>3.312617261904762E-4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input_382010!A$2</f>
        <v>382010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IFERROR(VLOOKUP(B220,input_382010!L:R,7,FALSE),VLOOKUP(tables_382010!C220,input_382010!A:H,8,FALSE))</f>
        <v>36330</v>
      </c>
      <c r="P220" s="46">
        <f t="shared" ca="1" si="11"/>
        <v>5.2743902439024394E-3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input_382010!A$2</f>
        <v>382010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IFERROR(VLOOKUP(B221,input_382010!L:R,7,FALSE),VLOOKUP(tables_382010!C221,input_382010!A:H,8,FALSE))</f>
        <v>34048.269229999998</v>
      </c>
      <c r="P221" s="46">
        <f t="shared" ca="1" si="11"/>
        <v>4.9431285177119625E-3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input_382010!A$2</f>
        <v>382010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IFERROR(VLOOKUP(B222,input_382010!L:R,7,FALSE),VLOOKUP(tables_382010!C222,input_382010!A:H,8,FALSE))</f>
        <v>2281.7307700000001</v>
      </c>
      <c r="P222" s="46">
        <f t="shared" ca="1" si="11"/>
        <v>3.312617261904762E-4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input_382010!A$2</f>
        <v>382010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IFERROR(VLOOKUP(B223,input_382010!L:R,7,FALSE),VLOOKUP(tables_382010!C223,input_382010!A:H,8,FALSE))</f>
        <v>11685</v>
      </c>
      <c r="P223" s="46">
        <f t="shared" ca="1" si="11"/>
        <v>1.6964285714285714E-3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input_382010!A$2</f>
        <v>382010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IFERROR(VLOOKUP(B224,input_382010!L:R,7,FALSE),VLOOKUP(tables_382010!C224,input_382010!A:H,8,FALSE))</f>
        <v>615</v>
      </c>
      <c r="P224" s="46">
        <f t="shared" ca="1" si="11"/>
        <v>8.9285714285714286E-5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input_382010!A$2</f>
        <v>382010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IFERROR(VLOOKUP(B225,input_382010!L:R,7,FALSE),VLOOKUP(tables_382010!C225,input_382010!A:H,8,FALSE))</f>
        <v>36330</v>
      </c>
      <c r="P225" s="46">
        <f t="shared" ca="1" si="11"/>
        <v>5.2743902439024394E-3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input_382010!A$2</f>
        <v>382010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IFERROR(VLOOKUP(B226,input_382010!L:R,7,FALSE),VLOOKUP(tables_382010!C226,input_382010!A:H,8,FALSE))</f>
        <v>34048.269229999998</v>
      </c>
      <c r="P226" s="46">
        <f t="shared" ca="1" si="11"/>
        <v>4.9431285177119625E-3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input_382010!A$2</f>
        <v>382010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IFERROR(VLOOKUP(B227,input_382010!L:R,7,FALSE),VLOOKUP(tables_382010!C227,input_382010!A:H,8,FALSE))</f>
        <v>2281.7307700000001</v>
      </c>
      <c r="P227" s="46">
        <f t="shared" ca="1" si="11"/>
        <v>3.312617261904762E-4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input_382010!A$2</f>
        <v>382010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IFERROR(VLOOKUP(B228,input_382010!L:R,7,FALSE),VLOOKUP(tables_382010!C228,input_382010!A:H,8,FALSE))</f>
        <v>36330</v>
      </c>
      <c r="P228" s="46">
        <f t="shared" ca="1" si="11"/>
        <v>5.2743902439024394E-3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input_382010!A$2</f>
        <v>382010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IFERROR(VLOOKUP(B229,input_382010!L:R,7,FALSE),VLOOKUP(tables_382010!C229,input_382010!A:H,8,FALSE))</f>
        <v>34048.269229999998</v>
      </c>
      <c r="P229" s="46">
        <f t="shared" ca="1" si="11"/>
        <v>4.9431285177119625E-3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input_382010!A$2</f>
        <v>382010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IFERROR(VLOOKUP(B230,input_382010!L:R,7,FALSE),VLOOKUP(tables_382010!C230,input_382010!A:H,8,FALSE))</f>
        <v>2281.7307700000001</v>
      </c>
      <c r="P230" s="46">
        <f t="shared" ca="1" si="11"/>
        <v>3.312617261904762E-4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input_382010!A$2</f>
        <v>382010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IFERROR(VLOOKUP(B231,input_382010!L:R,7,FALSE),VLOOKUP(tables_382010!C231,input_382010!A:H,8,FALSE))</f>
        <v>11685</v>
      </c>
      <c r="P231" s="46">
        <f t="shared" ca="1" si="11"/>
        <v>1.6964285714285714E-3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input_382010!A$2</f>
        <v>382010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IFERROR(VLOOKUP(B232,input_382010!L:R,7,FALSE),VLOOKUP(tables_382010!C232,input_382010!A:H,8,FALSE))</f>
        <v>615</v>
      </c>
      <c r="P232" s="46">
        <f t="shared" ca="1" si="11"/>
        <v>8.9285714285714286E-5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input_382010!A$2</f>
        <v>382010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IFERROR(VLOOKUP(B233,input_382010!L:R,7,FALSE),VLOOKUP(tables_382010!C233,input_382010!A:H,8,FALSE))</f>
        <v>36330</v>
      </c>
      <c r="P233" s="46">
        <f t="shared" ca="1" si="11"/>
        <v>5.2743902439024394E-3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input_382010!A$2</f>
        <v>382010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IFERROR(VLOOKUP(B234,input_382010!L:R,7,FALSE),VLOOKUP(tables_382010!C234,input_382010!A:H,8,FALSE))</f>
        <v>34048.269229999998</v>
      </c>
      <c r="P234" s="46">
        <f t="shared" ca="1" si="11"/>
        <v>4.9431285177119625E-3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input_382010!A$2</f>
        <v>382010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IFERROR(VLOOKUP(B235,input_382010!L:R,7,FALSE),VLOOKUP(tables_382010!C235,input_382010!A:H,8,FALSE))</f>
        <v>2281.7307700000001</v>
      </c>
      <c r="P235" s="46">
        <f t="shared" ca="1" si="11"/>
        <v>3.312617261904762E-4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input_382010!A$2</f>
        <v>382010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IFERROR(VLOOKUP(B236,input_382010!L:R,7,FALSE),VLOOKUP(tables_382010!C236,input_382010!A:H,8,FALSE))</f>
        <v>11685</v>
      </c>
      <c r="P236" s="46">
        <f t="shared" ca="1" si="11"/>
        <v>1.6964285714285714E-3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input_382010!A$2</f>
        <v>382010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IFERROR(VLOOKUP(B237,input_382010!L:R,7,FALSE),VLOOKUP(tables_382010!C237,input_382010!A:H,8,FALSE))</f>
        <v>615</v>
      </c>
      <c r="P237" s="46">
        <f t="shared" ca="1" si="11"/>
        <v>8.9285714285714286E-5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input_382010!A$2</f>
        <v>382010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IFERROR(VLOOKUP(B238,input_382010!L:R,7,FALSE),VLOOKUP(tables_382010!C238,input_382010!A:H,8,FALSE))</f>
        <v>11685</v>
      </c>
      <c r="P238" s="46">
        <f t="shared" ca="1" si="11"/>
        <v>1.6964285714285714E-3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input_382010!A$2</f>
        <v>382010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IFERROR(VLOOKUP(B239,input_382010!L:R,7,FALSE),VLOOKUP(tables_382010!C239,input_382010!A:H,8,FALSE))</f>
        <v>615</v>
      </c>
      <c r="P239" s="46">
        <f t="shared" ca="1" si="11"/>
        <v>8.9285714285714286E-5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input_382010!A$2</f>
        <v>382010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IFERROR(VLOOKUP(B240,input_382010!L:R,7,FALSE),VLOOKUP(tables_382010!C240,input_382010!A:H,8,FALSE))</f>
        <v>36330</v>
      </c>
      <c r="P240" s="46">
        <f t="shared" ca="1" si="11"/>
        <v>5.2743902439024394E-3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input_382010!A$2</f>
        <v>382010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IFERROR(VLOOKUP(B241,input_382010!L:R,7,FALSE),VLOOKUP(tables_382010!C241,input_382010!A:H,8,FALSE))</f>
        <v>34048.269229999998</v>
      </c>
      <c r="P241" s="46">
        <f t="shared" ca="1" si="11"/>
        <v>4.9431285177119625E-3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input_382010!A$2</f>
        <v>382010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IFERROR(VLOOKUP(B242,input_382010!L:R,7,FALSE),VLOOKUP(tables_382010!C242,input_382010!A:H,8,FALSE))</f>
        <v>2281.7307700000001</v>
      </c>
      <c r="P242" s="46">
        <f t="shared" ca="1" si="11"/>
        <v>3.312617261904762E-4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input_382010!A$2</f>
        <v>382010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IFERROR(VLOOKUP(B243,input_382010!L:R,7,FALSE),VLOOKUP(tables_382010!C243,input_382010!A:H,8,FALSE))</f>
        <v>36330</v>
      </c>
      <c r="P243" s="46">
        <f t="shared" ca="1" si="11"/>
        <v>5.2743902439024394E-3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input_382010!A$2</f>
        <v>382010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IFERROR(VLOOKUP(B244,input_382010!L:R,7,FALSE),VLOOKUP(tables_382010!C244,input_382010!A:H,8,FALSE))</f>
        <v>34048.269229999998</v>
      </c>
      <c r="P244" s="46">
        <f t="shared" ca="1" si="11"/>
        <v>4.9431285177119625E-3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input_382010!A$2</f>
        <v>382010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IFERROR(VLOOKUP(B245,input_382010!L:R,7,FALSE),VLOOKUP(tables_382010!C245,input_382010!A:H,8,FALSE))</f>
        <v>2281.7307700000001</v>
      </c>
      <c r="P245" s="46">
        <f t="shared" ca="1" si="11"/>
        <v>3.312617261904762E-4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input_382010!A$2</f>
        <v>382010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IFERROR(VLOOKUP(B246,input_382010!L:R,7,FALSE),VLOOKUP(tables_382010!C246,input_382010!A:H,8,FALSE))</f>
        <v>36330</v>
      </c>
      <c r="P246" s="46">
        <f t="shared" ca="1" si="11"/>
        <v>5.2743902439024394E-3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input_382010!A$2</f>
        <v>382010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IFERROR(VLOOKUP(B247,input_382010!L:R,7,FALSE),VLOOKUP(tables_382010!C247,input_382010!A:H,8,FALSE))</f>
        <v>34048.269229999998</v>
      </c>
      <c r="P247" s="46">
        <f t="shared" ca="1" si="11"/>
        <v>4.9431285177119625E-3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input_382010!A$2</f>
        <v>382010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IFERROR(VLOOKUP(B248,input_382010!L:R,7,FALSE),VLOOKUP(tables_382010!C248,input_382010!A:H,8,FALSE))</f>
        <v>2281.7307700000001</v>
      </c>
      <c r="P248" s="46">
        <f t="shared" ca="1" si="11"/>
        <v>3.312617261904762E-4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input_382010!A$2</f>
        <v>382010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IFERROR(VLOOKUP(B249,input_382010!L:R,7,FALSE),VLOOKUP(tables_382010!C249,input_382010!A:H,8,FALSE))</f>
        <v>36330</v>
      </c>
      <c r="P249" s="46">
        <f t="shared" ca="1" si="11"/>
        <v>5.2743902439024394E-3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input_382010!A$2</f>
        <v>382010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IFERROR(VLOOKUP(B250,input_382010!L:R,7,FALSE),VLOOKUP(tables_382010!C250,input_382010!A:H,8,FALSE))</f>
        <v>34048.269229999998</v>
      </c>
      <c r="P250" s="46">
        <f t="shared" ca="1" si="11"/>
        <v>4.9431285177119625E-3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input_382010!A$2</f>
        <v>382010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IFERROR(VLOOKUP(B251,input_382010!L:R,7,FALSE),VLOOKUP(tables_382010!C251,input_382010!A:H,8,FALSE))</f>
        <v>2281.7307700000001</v>
      </c>
      <c r="P251" s="46">
        <f t="shared" ca="1" si="11"/>
        <v>3.312617261904762E-4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input_382010!A$2</f>
        <v>382010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IFERROR(VLOOKUP(B252,input_382010!L:R,7,FALSE),VLOOKUP(tables_382010!C252,input_382010!A:H,8,FALSE))</f>
        <v>11685</v>
      </c>
      <c r="P252" s="46">
        <f t="shared" ca="1" si="11"/>
        <v>1.6964285714285714E-3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input_382010!A$2</f>
        <v>382010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IFERROR(VLOOKUP(B253,input_382010!L:R,7,FALSE),VLOOKUP(tables_382010!C253,input_382010!A:H,8,FALSE))</f>
        <v>615</v>
      </c>
      <c r="P253" s="46">
        <f t="shared" ca="1" si="11"/>
        <v>8.9285714285714286E-5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input_382010!A$2</f>
        <v>382010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IFERROR(VLOOKUP(B254,input_382010!L:R,7,FALSE),VLOOKUP(tables_382010!C254,input_382010!A:H,8,FALSE))</f>
        <v>11685</v>
      </c>
      <c r="P254" s="46">
        <f t="shared" ca="1" si="11"/>
        <v>1.6964285714285714E-3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input_382010!A$2</f>
        <v>382010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IFERROR(VLOOKUP(B255,input_382010!L:R,7,FALSE),VLOOKUP(tables_382010!C255,input_382010!A:H,8,FALSE))</f>
        <v>615</v>
      </c>
      <c r="P255" s="46">
        <f t="shared" ca="1" si="11"/>
        <v>8.9285714285714286E-5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input_382010!A$2</f>
        <v>382010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IFERROR(VLOOKUP(B256,input_382010!L:R,7,FALSE),VLOOKUP(tables_382010!C256,input_382010!A:H,8,FALSE))</f>
        <v>69027</v>
      </c>
      <c r="P256" s="46">
        <f t="shared" ca="1" si="11"/>
        <v>1.0021341463414634E-2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input_382010!A$2</f>
        <v>382010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IFERROR(VLOOKUP(B257,input_382010!L:R,7,FALSE),VLOOKUP(tables_382010!C257,input_382010!A:H,8,FALSE))</f>
        <v>3633</v>
      </c>
      <c r="P257" s="46">
        <f t="shared" ca="1" si="11"/>
        <v>5.2743902439024394E-4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input_382010!A$2</f>
        <v>382010</v>
      </c>
      <c r="B258" s="60">
        <v>730</v>
      </c>
      <c r="C258" s="7" t="str">
        <f t="shared" ref="C258:C294" si="12">D258&amp;J258&amp;E258&amp;F258&amp;G258</f>
        <v>Premium4R3less</v>
      </c>
      <c r="D258" s="7" t="str">
        <f t="shared" ref="D258:D29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IFERROR(VLOOKUP(B258,input_382010!L:R,7,FALSE),VLOOKUP(tables_382010!C258,input_382010!A:H,8,FALSE))</f>
        <v>69027</v>
      </c>
      <c r="P258" s="46">
        <f t="shared" ca="1" si="11"/>
        <v>1.0021341463414634E-2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input_382010!A$2</f>
        <v>382010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IFERROR(VLOOKUP(B259,input_382010!L:R,7,FALSE),VLOOKUP(tables_382010!C259,input_382010!A:H,8,FALSE))</f>
        <v>3633</v>
      </c>
      <c r="P259" s="46">
        <f t="shared" ref="P259:P299" ca="1" si="14">O259/SUM(O:O)</f>
        <v>5.2743902439024394E-4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input_382010!A$2</f>
        <v>382010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IFERROR(VLOOKUP(B260,input_382010!L:R,7,FALSE),VLOOKUP(tables_382010!C260,input_382010!A:H,8,FALSE))</f>
        <v>12300</v>
      </c>
      <c r="P260" s="46">
        <f t="shared" ca="1" si="14"/>
        <v>1.7857142857142857E-3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input_382010!A$2</f>
        <v>382010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IFERROR(VLOOKUP(B261,input_382010!L:R,7,FALSE),VLOOKUP(tables_382010!C261,input_382010!A:H,8,FALSE))</f>
        <v>12300</v>
      </c>
      <c r="P261" s="46">
        <f t="shared" ca="1" si="14"/>
        <v>1.7857142857142857E-3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input_382010!A$2</f>
        <v>382010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IFERROR(VLOOKUP(B262,input_382010!L:R,7,FALSE),VLOOKUP(tables_382010!C262,input_382010!A:H,8,FALSE))</f>
        <v>11685</v>
      </c>
      <c r="P262" s="46">
        <f t="shared" ca="1" si="14"/>
        <v>1.6964285714285714E-3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input_382010!A$2</f>
        <v>382010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IFERROR(VLOOKUP(B263,input_382010!L:R,7,FALSE),VLOOKUP(tables_382010!C263,input_382010!A:H,8,FALSE))</f>
        <v>615</v>
      </c>
      <c r="P263" s="46">
        <f t="shared" ca="1" si="14"/>
        <v>8.9285714285714286E-5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input_382010!A$2</f>
        <v>382010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IFERROR(VLOOKUP(B264,input_382010!L:R,7,FALSE),VLOOKUP(tables_382010!C264,input_382010!A:H,8,FALSE))</f>
        <v>11685</v>
      </c>
      <c r="P264" s="46">
        <f t="shared" ca="1" si="14"/>
        <v>1.6964285714285714E-3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input_382010!A$2</f>
        <v>382010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IFERROR(VLOOKUP(B265,input_382010!L:R,7,FALSE),VLOOKUP(tables_382010!C265,input_382010!A:H,8,FALSE))</f>
        <v>615</v>
      </c>
      <c r="P265" s="46">
        <f t="shared" ca="1" si="14"/>
        <v>8.9285714285714286E-5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input_382010!A$2</f>
        <v>382010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IFERROR(VLOOKUP(B266,input_382010!L:R,7,FALSE),VLOOKUP(tables_382010!C266,input_382010!A:H,8,FALSE))</f>
        <v>36330</v>
      </c>
      <c r="P266" s="46">
        <f t="shared" ca="1" si="14"/>
        <v>5.2743902439024394E-3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input_382010!A$2</f>
        <v>382010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IFERROR(VLOOKUP(B267,input_382010!L:R,7,FALSE),VLOOKUP(tables_382010!C267,input_382010!A:H,8,FALSE))</f>
        <v>34048.269229999998</v>
      </c>
      <c r="P267" s="46">
        <f t="shared" ca="1" si="14"/>
        <v>4.9431285177119625E-3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input_382010!A$2</f>
        <v>382010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IFERROR(VLOOKUP(B268,input_382010!L:R,7,FALSE),VLOOKUP(tables_382010!C268,input_382010!A:H,8,FALSE))</f>
        <v>2281.7307700000001</v>
      </c>
      <c r="P268" s="46">
        <f t="shared" ca="1" si="14"/>
        <v>3.312617261904762E-4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input_382010!A$2</f>
        <v>382010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IFERROR(VLOOKUP(B269,input_382010!L:R,7,FALSE),VLOOKUP(tables_382010!C269,input_382010!A:H,8,FALSE))</f>
        <v>36330</v>
      </c>
      <c r="P269" s="46">
        <f t="shared" ca="1" si="14"/>
        <v>5.2743902439024394E-3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input_382010!A$2</f>
        <v>382010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IFERROR(VLOOKUP(B270,input_382010!L:R,7,FALSE),VLOOKUP(tables_382010!C270,input_382010!A:H,8,FALSE))</f>
        <v>34048.269229999998</v>
      </c>
      <c r="P270" s="46">
        <f t="shared" ca="1" si="14"/>
        <v>4.9431285177119625E-3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input_382010!A$2</f>
        <v>382010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IFERROR(VLOOKUP(B271,input_382010!L:R,7,FALSE),VLOOKUP(tables_382010!C271,input_382010!A:H,8,FALSE))</f>
        <v>2281.7307700000001</v>
      </c>
      <c r="P271" s="46">
        <f t="shared" ca="1" si="14"/>
        <v>3.312617261904762E-4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input_382010!A$2</f>
        <v>382010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IFERROR(VLOOKUP(B272,input_382010!L:R,7,FALSE),VLOOKUP(tables_382010!C272,input_382010!A:H,8,FALSE))</f>
        <v>12300</v>
      </c>
      <c r="P272" s="46">
        <f t="shared" ca="1" si="14"/>
        <v>1.7857142857142857E-3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input_382010!A$2</f>
        <v>382010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IFERROR(VLOOKUP(B273,input_382010!L:R,7,FALSE),VLOOKUP(tables_382010!C273,input_382010!A:H,8,FALSE))</f>
        <v>12300</v>
      </c>
      <c r="P273" s="46">
        <f t="shared" ca="1" si="14"/>
        <v>1.7857142857142857E-3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input_382010!A$2</f>
        <v>382010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IFERROR(VLOOKUP(B274,input_382010!L:R,7,FALSE),VLOOKUP(tables_382010!C274,input_382010!A:H,8,FALSE))</f>
        <v>69027</v>
      </c>
      <c r="P274" s="46">
        <f t="shared" ca="1" si="14"/>
        <v>1.0021341463414634E-2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input_382010!A$2</f>
        <v>382010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IFERROR(VLOOKUP(B275,input_382010!L:R,7,FALSE),VLOOKUP(tables_382010!C275,input_382010!A:H,8,FALSE))</f>
        <v>3633</v>
      </c>
      <c r="P275" s="46">
        <f t="shared" ca="1" si="14"/>
        <v>5.2743902439024394E-4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input_382010!A$2</f>
        <v>382010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IFERROR(VLOOKUP(B276,input_382010!L:R,7,FALSE),VLOOKUP(tables_382010!C276,input_382010!A:H,8,FALSE))</f>
        <v>69027</v>
      </c>
      <c r="P276" s="46">
        <f t="shared" ca="1" si="14"/>
        <v>1.0021341463414634E-2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input_382010!A$2</f>
        <v>382010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IFERROR(VLOOKUP(B277,input_382010!L:R,7,FALSE),VLOOKUP(tables_382010!C277,input_382010!A:H,8,FALSE))</f>
        <v>3633</v>
      </c>
      <c r="P277" s="46">
        <f t="shared" ca="1" si="14"/>
        <v>5.2743902439024394E-4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input_382010!A$2</f>
        <v>382010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IFERROR(VLOOKUP(B278,input_382010!L:R,7,FALSE),VLOOKUP(tables_382010!C278,input_382010!A:H,8,FALSE))</f>
        <v>69027</v>
      </c>
      <c r="P278" s="46">
        <f t="shared" ca="1" si="14"/>
        <v>1.0021341463414634E-2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input_382010!A$2</f>
        <v>382010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IFERROR(VLOOKUP(B279,input_382010!L:R,7,FALSE),VLOOKUP(tables_382010!C279,input_382010!A:H,8,FALSE))</f>
        <v>3633</v>
      </c>
      <c r="P279" s="46">
        <f t="shared" ca="1" si="14"/>
        <v>5.2743902439024394E-4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input_382010!A$2</f>
        <v>382010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IFERROR(VLOOKUP(B280,input_382010!L:R,7,FALSE),VLOOKUP(tables_382010!C280,input_382010!A:H,8,FALSE))</f>
        <v>69027</v>
      </c>
      <c r="P280" s="46">
        <f t="shared" ca="1" si="14"/>
        <v>1.0021341463414634E-2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input_382010!A$2</f>
        <v>382010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IFERROR(VLOOKUP(B281,input_382010!L:R,7,FALSE),VLOOKUP(tables_382010!C281,input_382010!A:H,8,FALSE))</f>
        <v>3633</v>
      </c>
      <c r="P281" s="46">
        <f t="shared" ca="1" si="14"/>
        <v>5.2743902439024394E-4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input_382010!A$2</f>
        <v>382010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IFERROR(VLOOKUP(B282,input_382010!L:R,7,FALSE),VLOOKUP(tables_382010!C282,input_382010!A:H,8,FALSE))</f>
        <v>12300</v>
      </c>
      <c r="P282" s="46">
        <f t="shared" ca="1" si="14"/>
        <v>1.7857142857142857E-3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input_382010!A$2</f>
        <v>382010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IFERROR(VLOOKUP(B283,input_382010!L:R,7,FALSE),VLOOKUP(tables_382010!C283,input_382010!A:H,8,FALSE))</f>
        <v>12300</v>
      </c>
      <c r="P283" s="46">
        <f t="shared" ca="1" si="14"/>
        <v>1.7857142857142857E-3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input_382010!A$2</f>
        <v>382010</v>
      </c>
      <c r="B284" s="88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IFERROR(VLOOKUP(B284,input_382010!L:R,7,FALSE),VLOOKUP(tables_382010!C284,input_382010!A:H,8,FALSE))</f>
        <v>12300</v>
      </c>
      <c r="P284" s="46">
        <f t="shared" ca="1" si="14"/>
        <v>1.7857142857142857E-3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input_382010!A$2</f>
        <v>382010</v>
      </c>
      <c r="B285" s="88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IFERROR(VLOOKUP(B285,input_382010!L:R,7,FALSE),VLOOKUP(tables_382010!C285,input_382010!A:H,8,FALSE))</f>
        <v>12300</v>
      </c>
      <c r="P285" s="46">
        <f t="shared" ca="1" si="14"/>
        <v>1.7857142857142857E-3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input_382010!A$2</f>
        <v>382010</v>
      </c>
      <c r="B286" s="88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IFERROR(VLOOKUP(B286,input_382010!L:R,7,FALSE),VLOOKUP(tables_382010!C286,input_382010!A:H,8,FALSE))</f>
        <v>69027</v>
      </c>
      <c r="P286" s="46">
        <f t="shared" ca="1" si="14"/>
        <v>1.0021341463414634E-2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input_382010!A$2</f>
        <v>382010</v>
      </c>
      <c r="B287" s="88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IFERROR(VLOOKUP(B287,input_382010!L:R,7,FALSE),VLOOKUP(tables_382010!C287,input_382010!A:H,8,FALSE))</f>
        <v>3633</v>
      </c>
      <c r="P287" s="46">
        <f t="shared" ca="1" si="14"/>
        <v>5.2743902439024394E-4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input_382010!A$2</f>
        <v>382010</v>
      </c>
      <c r="B288" s="88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IFERROR(VLOOKUP(B288,input_382010!L:R,7,FALSE),VLOOKUP(tables_382010!C288,input_382010!A:H,8,FALSE))</f>
        <v>69027</v>
      </c>
      <c r="P288" s="46">
        <f t="shared" ca="1" si="14"/>
        <v>1.0021341463414634E-2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input_382010!A$2</f>
        <v>382010</v>
      </c>
      <c r="B289" s="88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IFERROR(VLOOKUP(B289,input_382010!L:R,7,FALSE),VLOOKUP(tables_382010!C289,input_382010!A:H,8,FALSE))</f>
        <v>3633</v>
      </c>
      <c r="P289" s="46">
        <f t="shared" ca="1" si="14"/>
        <v>5.2743902439024394E-4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input_382010!A$2</f>
        <v>382010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IFERROR(VLOOKUP(B290,input_382010!L:R,7,FALSE),VLOOKUP(tables_382010!C290,input_382010!A:H,8,FALSE))</f>
        <v>12300</v>
      </c>
      <c r="P290" s="46">
        <f t="shared" ca="1" si="14"/>
        <v>1.7857142857142857E-3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input_382010!A$2</f>
        <v>382010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IFERROR(VLOOKUP(B291,input_382010!L:R,7,FALSE),VLOOKUP(tables_382010!C291,input_382010!A:H,8,FALSE))</f>
        <v>69027</v>
      </c>
      <c r="P291" s="46">
        <f t="shared" ca="1" si="14"/>
        <v>1.0021341463414634E-2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input_382010!A$2</f>
        <v>382010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IFERROR(VLOOKUP(B292,input_382010!L:R,7,FALSE),VLOOKUP(tables_382010!C292,input_382010!A:H,8,FALSE))</f>
        <v>3633</v>
      </c>
      <c r="P292" s="46">
        <f t="shared" ca="1" si="14"/>
        <v>5.2743902439024394E-4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input_382010!A$2</f>
        <v>382010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IFERROR(VLOOKUP(B293,input_382010!L:R,7,FALSE),VLOOKUP(tables_382010!C293,input_382010!A:H,8,FALSE))</f>
        <v>12300</v>
      </c>
      <c r="P293" s="46">
        <f t="shared" ca="1" si="14"/>
        <v>1.7857142857142857E-3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input_382010!A$2</f>
        <v>382010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IFERROR(VLOOKUP(B294,input_382010!L:R,7,FALSE),VLOOKUP(tables_382010!C294,input_382010!A:H,8,FALSE))</f>
        <v>12300</v>
      </c>
      <c r="P294" s="46">
        <f t="shared" ca="1" si="14"/>
        <v>1.7857142857142857E-3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input_382010!A$2</f>
        <v>382010</v>
      </c>
      <c r="B295" s="5">
        <v>1012</v>
      </c>
      <c r="C295" s="7" t="str">
        <f t="shared" ref="C295:C299" si="15">D295&amp;J295&amp;E295&amp;F295&amp;G295</f>
        <v>PremiumSS5R5only</v>
      </c>
      <c r="D295" s="7" t="str">
        <f t="shared" ref="D295:D299" si="16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IFERROR(VLOOKUP(B295,input_382010!L:R,7,FALSE),VLOOKUP(tables_382010!C295,input_382010!A:H,8,FALSE))</f>
        <v>12300</v>
      </c>
      <c r="P295" s="46">
        <f t="shared" ca="1" si="14"/>
        <v>1.7857142857142857E-3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input_382010!A$2</f>
        <v>382010</v>
      </c>
      <c r="B296" s="5">
        <v>1014</v>
      </c>
      <c r="C296" s="7" t="str">
        <f t="shared" si="15"/>
        <v>PremiumSS5R5only</v>
      </c>
      <c r="D296" s="7" t="str">
        <f t="shared" si="16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IFERROR(VLOOKUP(B296,input_382010!L:R,7,FALSE),VLOOKUP(tables_382010!C296,input_382010!A:H,8,FALSE))</f>
        <v>12300</v>
      </c>
      <c r="P296" s="46">
        <f t="shared" ca="1" si="14"/>
        <v>1.7857142857142857E-3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input_382010!A$2</f>
        <v>382010</v>
      </c>
      <c r="B297" s="5">
        <v>1016</v>
      </c>
      <c r="C297" s="7" t="str">
        <f t="shared" si="15"/>
        <v>Premium4R3less</v>
      </c>
      <c r="D297" s="7" t="str">
        <f t="shared" si="1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IFERROR(VLOOKUP(B297,input_382010!L:R,7,FALSE),VLOOKUP(tables_382010!C297,input_382010!A:H,8,FALSE))</f>
        <v>69027</v>
      </c>
      <c r="P297" s="46">
        <f t="shared" ca="1" si="14"/>
        <v>1.0021341463414634E-2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input_382010!A$2</f>
        <v>382010</v>
      </c>
      <c r="B298" s="5">
        <v>1017</v>
      </c>
      <c r="C298" s="7" t="str">
        <f t="shared" si="15"/>
        <v>Premium5R3less</v>
      </c>
      <c r="D298" s="7" t="str">
        <f t="shared" si="1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IFERROR(VLOOKUP(B298,input_382010!L:R,7,FALSE),VLOOKUP(tables_382010!C298,input_382010!A:H,8,FALSE))</f>
        <v>3633</v>
      </c>
      <c r="P298" s="46">
        <f t="shared" ca="1" si="14"/>
        <v>5.2743902439024394E-4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input_382010!A$2</f>
        <v>382010</v>
      </c>
      <c r="B299" s="5">
        <v>1018</v>
      </c>
      <c r="C299" s="7" t="str">
        <f t="shared" si="15"/>
        <v>PremiumSS5R5only</v>
      </c>
      <c r="D299" s="7" t="str">
        <f t="shared" si="16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IFERROR(VLOOKUP(B299,input_382010!L:R,7,FALSE),VLOOKUP(tables_382010!C299,input_382010!A:H,8,FALSE))</f>
        <v>12300</v>
      </c>
      <c r="P299" s="46">
        <f t="shared" ca="1" si="14"/>
        <v>1.7857142857142857E-3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F36" sqref="F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6">
        <v>166</v>
      </c>
      <c r="M3" s="37" t="str">
        <f>VLOOKUP(L3,[1]characters!$A:$C,3,FALSE)</f>
        <v>ベリアル</v>
      </c>
      <c r="N3" s="63">
        <v>0</v>
      </c>
      <c r="O3" s="37">
        <f>VLOOKUP(L3,[1]characters!$A:$I,9,FALSE)</f>
        <v>3</v>
      </c>
      <c r="P3" s="37" t="str">
        <f>VLOOKUP(L3,[1]characters!$A:$J,10,FALSE)</f>
        <v>PremiumN</v>
      </c>
      <c r="Q3" s="37" t="str">
        <f>VLOOKUP(L3,tables_382100!B:C,2,FALSE)</f>
        <v>Premium3R6release</v>
      </c>
      <c r="R3" s="62">
        <f t="shared" ref="R3:R20" si="1">N3*A$36</f>
        <v>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6">
        <v>167</v>
      </c>
      <c r="M4" s="37" t="str">
        <f>VLOOKUP(L4,[1]characters!$A:$C,3,FALSE)</f>
        <v>逆徒 ベリアル</v>
      </c>
      <c r="N4" s="63">
        <v>1.4E-2</v>
      </c>
      <c r="O4" s="37">
        <f>VLOOKUP(L4,[1]characters!$A:$I,9,FALSE)</f>
        <v>4</v>
      </c>
      <c r="P4" s="37" t="str">
        <f>VLOOKUP(L4,[1]characters!$A:$J,10,FALSE)</f>
        <v>PremiumN</v>
      </c>
      <c r="Q4" s="37" t="str">
        <f>VLOOKUP(L4,tables_382100!B:C,2,FALSE)</f>
        <v>Premium4R6release</v>
      </c>
      <c r="R4" s="62">
        <f t="shared" si="1"/>
        <v>96432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</v>
      </c>
      <c r="D5" t="s">
        <v>177</v>
      </c>
      <c r="E5" s="43">
        <f>(B11-H5)/(F5-I5)</f>
        <v>1.7857142857142857E-3</v>
      </c>
      <c r="F5">
        <f>(COUNTIF(tables_382100!C:C,input_382100!A28)+COUNTIF(tables_382100!C:C,input_382100!A29))</f>
        <v>42</v>
      </c>
      <c r="H5" s="81">
        <v>0</v>
      </c>
      <c r="I5" s="31">
        <v>0</v>
      </c>
      <c r="L5" s="6">
        <v>168</v>
      </c>
      <c r="M5" s="37" t="str">
        <f>VLOOKUP(L5,[1]characters!$A:$C,3,FALSE)</f>
        <v>猛進の大逆者 ベリアル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PremiumN</v>
      </c>
      <c r="Q5" s="37" t="str">
        <f>VLOOKUP(L5,tables_382100!B:C,2,FALSE)</f>
        <v>Premium5R6release</v>
      </c>
      <c r="R5" s="62">
        <f t="shared" si="1"/>
        <v>6888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0.95</v>
      </c>
      <c r="D6" t="s">
        <v>178</v>
      </c>
      <c r="E6" s="72">
        <f>(B10-H6)/(F6-I6)</f>
        <v>1.0548780487804879E-2</v>
      </c>
      <c r="F6">
        <f>(COUNTIF(tables_382100!C:C,input_382100!A25)+COUNTIF(tables_382100!C:C,input_382100!A18)+COUNTIF(tables_382100!C:C,input_382100!A20)+COUNTIF(tables_382100!C:C,input_382100!A22))</f>
        <v>86</v>
      </c>
      <c r="H6" s="86">
        <v>0.06</v>
      </c>
      <c r="I6" s="31">
        <v>4</v>
      </c>
      <c r="L6" s="6">
        <v>169</v>
      </c>
      <c r="M6" s="37" t="str">
        <f>VLOOKUP(L6,[1]characters!$A:$C,3,FALSE)</f>
        <v>オセ</v>
      </c>
      <c r="N6" s="63">
        <v>0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VLOOKUP(L6,tables_382100!B:C,2,FALSE)</f>
        <v>Premium3R6release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6">
        <v>170</v>
      </c>
      <c r="M7" s="37" t="str">
        <f>VLOOKUP(L7,[1]characters!$A:$C,3,FALSE)</f>
        <v>識徒 オセ</v>
      </c>
      <c r="N7" s="63">
        <v>1.4E-2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VLOOKUP(L7,tables_382100!B:C,2,FALSE)</f>
        <v>Premium4R6release</v>
      </c>
      <c r="R7" s="62">
        <f t="shared" si="1"/>
        <v>96432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6">
        <v>171</v>
      </c>
      <c r="M8" s="37" t="str">
        <f>VLOOKUP(L8,[1]characters!$A:$C,3,FALSE)</f>
        <v>精解の預知者 オセ</v>
      </c>
      <c r="N8" s="63">
        <v>1E-3</v>
      </c>
      <c r="O8" s="37">
        <f>VLOOKUP(L8,[1]characters!$A:$I,9,FALSE)</f>
        <v>5</v>
      </c>
      <c r="P8" s="37" t="str">
        <f>VLOOKUP(L8,[1]characters!$A:$J,10,FALSE)</f>
        <v>PremiumN</v>
      </c>
      <c r="Q8" s="37" t="str">
        <f>VLOOKUP(L8,tables_382100!B:C,2,FALSE)</f>
        <v>Premium5R6release</v>
      </c>
      <c r="R8" s="62">
        <f t="shared" si="1"/>
        <v>6888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6">
        <v>172</v>
      </c>
      <c r="M9" s="37" t="str">
        <f>VLOOKUP(L9,[1]characters!$A:$C,3,FALSE)</f>
        <v>フォルネウス</v>
      </c>
      <c r="N9" s="63">
        <v>0</v>
      </c>
      <c r="O9" s="37">
        <f>VLOOKUP(L9,[1]characters!$A:$I,9,FALSE)</f>
        <v>3</v>
      </c>
      <c r="P9" s="37" t="str">
        <f>VLOOKUP(L9,[1]characters!$A:$J,10,FALSE)</f>
        <v>PremiumN</v>
      </c>
      <c r="Q9" s="37" t="str">
        <f>VLOOKUP(L9,tables_382100!B:C,2,FALSE)</f>
        <v>Premium3R6release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</f>
        <v>0.92500000000000004</v>
      </c>
      <c r="C10" t="s">
        <v>184</v>
      </c>
      <c r="L10" s="6">
        <v>173</v>
      </c>
      <c r="M10" s="37" t="str">
        <f>VLOOKUP(L10,[1]characters!$A:$C,3,FALSE)</f>
        <v>公爵 フォルネウス</v>
      </c>
      <c r="N10" s="63">
        <v>1.4E-2</v>
      </c>
      <c r="O10" s="37">
        <f>VLOOKUP(L10,[1]characters!$A:$I,9,FALSE)</f>
        <v>4</v>
      </c>
      <c r="P10" s="37" t="str">
        <f>VLOOKUP(L10,[1]characters!$A:$J,10,FALSE)</f>
        <v>PremiumN</v>
      </c>
      <c r="Q10" s="37" t="str">
        <f>VLOOKUP(L10,tables_382100!B:C,2,FALSE)</f>
        <v>Premium4R6release</v>
      </c>
      <c r="R10" s="62">
        <f t="shared" si="1"/>
        <v>96432</v>
      </c>
      <c r="S10">
        <v>391</v>
      </c>
      <c r="U10" s="33" t="s">
        <v>170</v>
      </c>
      <c r="V10" s="54">
        <f t="shared" si="0"/>
        <v>5.6000000000000001E-2</v>
      </c>
    </row>
    <row r="11" spans="1:22" x14ac:dyDescent="0.15">
      <c r="A11" s="33" t="s">
        <v>56</v>
      </c>
      <c r="B11" s="74">
        <v>7.4999999999999997E-2</v>
      </c>
      <c r="C11" t="s">
        <v>227</v>
      </c>
      <c r="L11" s="6">
        <v>174</v>
      </c>
      <c r="M11" s="37" t="str">
        <f>VLOOKUP(L11,[1]characters!$A:$C,3,FALSE)</f>
        <v>偽愛の大公爵 フォルネウス</v>
      </c>
      <c r="N11" s="63">
        <v>1E-3</v>
      </c>
      <c r="O11" s="37">
        <f>VLOOKUP(L11,[1]characters!$A:$I,9,FALSE)</f>
        <v>5</v>
      </c>
      <c r="P11" s="37" t="str">
        <f>VLOOKUP(L11,[1]characters!$A:$J,10,FALSE)</f>
        <v>PremiumN</v>
      </c>
      <c r="Q11" s="37" t="str">
        <f>VLOOKUP(L11,tables_382100!B:C,2,FALSE)</f>
        <v>Premium5R6release</v>
      </c>
      <c r="R11" s="62">
        <f t="shared" si="1"/>
        <v>6888</v>
      </c>
      <c r="S11">
        <v>811</v>
      </c>
      <c r="U11" s="33" t="s">
        <v>171</v>
      </c>
      <c r="V11" s="54">
        <f t="shared" si="0"/>
        <v>4.0000000000000001E-3</v>
      </c>
    </row>
    <row r="12" spans="1:22" x14ac:dyDescent="0.15">
      <c r="A12" s="33" t="s">
        <v>55</v>
      </c>
      <c r="B12" s="68">
        <v>0</v>
      </c>
      <c r="L12" s="5">
        <v>235</v>
      </c>
      <c r="M12" s="37" t="str">
        <f>VLOOKUP(L12,[1]characters!$A:$C,3,FALSE)</f>
        <v>イザナミ</v>
      </c>
      <c r="N12" s="63">
        <v>0</v>
      </c>
      <c r="O12" s="37">
        <f>VLOOKUP(L12,[1]characters!$A:$I,9,FALSE)</f>
        <v>3</v>
      </c>
      <c r="P12" s="37" t="str">
        <f>VLOOKUP(L12,[1]characters!$A:$J,10,FALSE)</f>
        <v>PremiumS</v>
      </c>
      <c r="Q12" s="37" t="str">
        <f>VLOOKUP(L12,tables_382100!B:C,2,FALSE)</f>
        <v>Premium3R6release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5">
        <v>236</v>
      </c>
      <c r="M13" s="37" t="str">
        <f>VLOOKUP(L13,[1]characters!$A:$C,3,FALSE)</f>
        <v>神産 イザナミ</v>
      </c>
      <c r="N13" s="63">
        <v>1.4E-2</v>
      </c>
      <c r="O13" s="37">
        <f>VLOOKUP(L13,[1]characters!$A:$I,9,FALSE)</f>
        <v>4</v>
      </c>
      <c r="P13" s="37" t="str">
        <f>VLOOKUP(L13,[1]characters!$A:$J,10,FALSE)</f>
        <v>PremiumS</v>
      </c>
      <c r="Q13" s="37" t="str">
        <f>VLOOKUP(L13,tables_382100!B:C,2,FALSE)</f>
        <v>Premium4R6release</v>
      </c>
      <c r="R13" s="62">
        <f t="shared" si="1"/>
        <v>96432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5">
        <v>237</v>
      </c>
      <c r="M14" s="37" t="str">
        <f>VLOOKUP(L14,[1]characters!$A:$C,3,FALSE)</f>
        <v>森羅万象の神母 イザナミ</v>
      </c>
      <c r="N14" s="63">
        <v>1E-3</v>
      </c>
      <c r="O14" s="37">
        <f>VLOOKUP(L14,[1]characters!$A:$I,9,FALSE)</f>
        <v>5</v>
      </c>
      <c r="P14" s="37" t="str">
        <f>VLOOKUP(L14,[1]characters!$A:$J,10,FALSE)</f>
        <v>PremiumS</v>
      </c>
      <c r="Q14" s="37" t="str">
        <f>VLOOKUP(L14,tables_382100!B:C,2,FALSE)</f>
        <v>Premium5R6release</v>
      </c>
      <c r="R14" s="62">
        <f t="shared" si="1"/>
        <v>6888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VLOOKUP(L15,tables_382100!B:C,2,FALSE)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</v>
      </c>
      <c r="C17" s="82">
        <f t="shared" ref="C17:C31" si="2">SUMIF(Q:Q,A17,N:N)</f>
        <v>0</v>
      </c>
      <c r="D17" s="70">
        <f t="shared" ref="D17:D32" si="3">B17-C17</f>
        <v>0</v>
      </c>
      <c r="E17">
        <f>COUNTIF(tables_382100!C:C,input_382100!A17)-COUNTIF(Q:Q,A17)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0.21097560975609758</v>
      </c>
      <c r="C18" s="82">
        <f t="shared" si="2"/>
        <v>0</v>
      </c>
      <c r="D18" s="70">
        <f t="shared" si="3"/>
        <v>0.21097560975609758</v>
      </c>
      <c r="E18">
        <f>COUNTIF(tables_382100!C:C,input_382100!A18)-COUNTIF(Q:Q,A18)</f>
        <v>20</v>
      </c>
      <c r="F18" s="43">
        <f>IFERROR(B18/E18,0)</f>
        <v>1.0548780487804879E-2</v>
      </c>
      <c r="G18">
        <f t="shared" si="4"/>
        <v>1453200.0000000002</v>
      </c>
      <c r="H18">
        <f t="shared" si="5"/>
        <v>72660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2">
        <f t="shared" si="2"/>
        <v>0</v>
      </c>
      <c r="D19" s="70">
        <f t="shared" si="3"/>
        <v>0</v>
      </c>
      <c r="E19">
        <f>COUNTIF(tables_382100!C:C,input_382100!A19)-COUNTIF(Q:Q,A19)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</f>
        <v>0.53131097560975615</v>
      </c>
      <c r="C20" s="82">
        <f t="shared" si="2"/>
        <v>0</v>
      </c>
      <c r="D20" s="70">
        <f t="shared" si="3"/>
        <v>0.53131097560975615</v>
      </c>
      <c r="E20">
        <f>COUNTIF(tables_382100!C:C,input_382100!A20)-COUNTIF(Q:Q,A20)</f>
        <v>52</v>
      </c>
      <c r="F20" s="43">
        <f t="shared" si="8"/>
        <v>1.021751876172608E-2</v>
      </c>
      <c r="G20">
        <f t="shared" si="4"/>
        <v>3659670.0000000005</v>
      </c>
      <c r="H20">
        <f t="shared" si="5"/>
        <v>70378.269230000005</v>
      </c>
      <c r="I20">
        <f t="shared" si="6"/>
        <v>0.26923000000533648</v>
      </c>
      <c r="J20">
        <f t="shared" si="7"/>
        <v>3.714296326487311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1.7225609756097559E-2</v>
      </c>
      <c r="C21" s="82">
        <f t="shared" si="2"/>
        <v>0</v>
      </c>
      <c r="D21" s="70">
        <f t="shared" si="3"/>
        <v>1.7225609756097559E-2</v>
      </c>
      <c r="E21">
        <f>COUNTIF(tables_382100!C:C,input_382100!A21)-COUNTIF(Q:Q,A21)</f>
        <v>52</v>
      </c>
      <c r="F21" s="43">
        <f t="shared" si="8"/>
        <v>3.312617260787992E-4</v>
      </c>
      <c r="G21">
        <f t="shared" si="4"/>
        <v>118649.99999999999</v>
      </c>
      <c r="H21">
        <f t="shared" si="5"/>
        <v>2281.7307700000001</v>
      </c>
      <c r="I21">
        <f t="shared" si="6"/>
        <v>0.73077000000012049</v>
      </c>
      <c r="J21">
        <f t="shared" si="7"/>
        <v>1.3684196121896564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E$6*E22*B6</f>
        <v>0.10021341463414635</v>
      </c>
      <c r="C22" s="82">
        <f t="shared" si="2"/>
        <v>0</v>
      </c>
      <c r="D22" s="70">
        <f t="shared" si="3"/>
        <v>0.10021341463414635</v>
      </c>
      <c r="E22">
        <f>COUNTIF(tables_382100!C:C,input_382100!A22)-COUNTIF(Q:Q,A22)</f>
        <v>10</v>
      </c>
      <c r="F22" s="43">
        <f t="shared" si="8"/>
        <v>1.0021341463414634E-2</v>
      </c>
      <c r="G22">
        <f t="shared" si="4"/>
        <v>690270</v>
      </c>
      <c r="H22">
        <f t="shared" si="5"/>
        <v>69027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5.2743902439024402E-3</v>
      </c>
      <c r="C23" s="82">
        <f t="shared" si="2"/>
        <v>0</v>
      </c>
      <c r="D23" s="70">
        <f t="shared" si="3"/>
        <v>5.2743902439024402E-3</v>
      </c>
      <c r="E23">
        <f>COUNTIF(tables_382100!C:C,input_382100!A23)-COUNTIF(Q:Q,A23)</f>
        <v>10</v>
      </c>
      <c r="F23" s="43">
        <f t="shared" si="8"/>
        <v>5.2743902439024405E-4</v>
      </c>
      <c r="G23">
        <f t="shared" si="4"/>
        <v>36330.000000000007</v>
      </c>
      <c r="H23">
        <f t="shared" si="5"/>
        <v>3633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0</v>
      </c>
      <c r="C24" s="82">
        <f t="shared" si="2"/>
        <v>0</v>
      </c>
      <c r="D24" s="70">
        <f t="shared" si="3"/>
        <v>0</v>
      </c>
      <c r="E24">
        <f>COUNTIF(tables_382100!C:C,input_382100!A24)-COUNTIF(Q:Q,A24)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0</v>
      </c>
      <c r="C25" s="82">
        <f t="shared" si="2"/>
        <v>5.6000000000000001E-2</v>
      </c>
      <c r="D25" s="70">
        <f t="shared" si="3"/>
        <v>-5.6000000000000001E-2</v>
      </c>
      <c r="E25">
        <f>COUNTIF(tables_382100!C:C,input_382100!A25)-COUNTIF(Q:Q,A25)</f>
        <v>0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0</v>
      </c>
      <c r="C26" s="82">
        <f t="shared" si="2"/>
        <v>4.0000000000000001E-3</v>
      </c>
      <c r="D26" s="70">
        <f t="shared" si="3"/>
        <v>-4.0000000000000001E-3</v>
      </c>
      <c r="E26">
        <f>COUNTIF(tables_382100!C:C,input_382100!A26)-COUNTIF(Q:Q,A26)</f>
        <v>0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4.7499999999999994E-2</v>
      </c>
      <c r="C27" s="82">
        <f t="shared" si="2"/>
        <v>0</v>
      </c>
      <c r="D27" s="70">
        <f t="shared" si="3"/>
        <v>4.7499999999999994E-2</v>
      </c>
      <c r="E27">
        <f>COUNTIF(tables_382100!C:C,input_382100!A27)-COUNTIF(Q:Q,A27)</f>
        <v>28</v>
      </c>
      <c r="F27" s="43">
        <f>IFERROR(B27/E27,0)</f>
        <v>1.6964285714285712E-3</v>
      </c>
      <c r="G27">
        <f t="shared" si="4"/>
        <v>327179.99999999994</v>
      </c>
      <c r="H27">
        <f t="shared" si="5"/>
        <v>11685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2.5000000000000001E-3</v>
      </c>
      <c r="C28" s="82">
        <f t="shared" si="2"/>
        <v>0</v>
      </c>
      <c r="D28" s="70">
        <f t="shared" si="3"/>
        <v>2.5000000000000001E-3</v>
      </c>
      <c r="E28">
        <f>COUNTIF(tables_382100!C:C,input_382100!A28)-COUNTIF(Q:Q,A28)</f>
        <v>28</v>
      </c>
      <c r="F28" s="43">
        <f t="shared" si="8"/>
        <v>8.9285714285714286E-5</v>
      </c>
      <c r="G28">
        <f t="shared" si="4"/>
        <v>17220</v>
      </c>
      <c r="H28">
        <f t="shared" si="5"/>
        <v>615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2.4999999999999998E-2</v>
      </c>
      <c r="C29" s="82">
        <f t="shared" si="2"/>
        <v>0</v>
      </c>
      <c r="D29" s="70">
        <f t="shared" si="3"/>
        <v>2.4999999999999998E-2</v>
      </c>
      <c r="E29">
        <f>COUNTIF(tables_382100!C:C,input_382100!A29)-COUNTIF(Q:Q,A29)</f>
        <v>14</v>
      </c>
      <c r="F29" s="43">
        <f t="shared" si="8"/>
        <v>1.7857142857142857E-3</v>
      </c>
      <c r="G29">
        <f t="shared" si="4"/>
        <v>172200</v>
      </c>
      <c r="H29">
        <f t="shared" si="5"/>
        <v>12300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2"/>
        <v>0</v>
      </c>
      <c r="D30" s="70">
        <f t="shared" si="3"/>
        <v>0</v>
      </c>
      <c r="E30">
        <f>COUNTIF(tables_382100!C:C,input_382100!A30)-COUNTIF(Q:Q,A30)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COUNTIF(tables_382100!C:C,input_382100!A31)-COUNTIF(Q:Q,A31)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0.94000000000000006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SUMIF(tables_382100!C:C,input_382100!A40,tables_382100!O:O)</f>
        <v>0</v>
      </c>
      <c r="C40" s="54">
        <f t="shared" ref="C40:C46" ca="1" si="9">B40/B$47</f>
        <v>0</v>
      </c>
      <c r="E40">
        <v>3</v>
      </c>
      <c r="F40">
        <f ca="1">SUMIF(tables_382100!J:J,input_382100!E40,tables_382100!O:O)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SUMIF(tables_382100!C:C,input_382100!A41,tables_382100!O:O)</f>
        <v>3659669.9999600044</v>
      </c>
      <c r="C41" s="54">
        <f t="shared" ca="1" si="9"/>
        <v>0.88768337407342746</v>
      </c>
      <c r="E41">
        <v>4</v>
      </c>
      <c r="F41">
        <f ca="1">SUMIF(tables_382100!J:J,input_382100!E41,tables_382100!O:O)</f>
        <v>6516047.9999600006</v>
      </c>
      <c r="G41" s="113">
        <f ca="1">F41/A36</f>
        <v>0.94599999999419293</v>
      </c>
    </row>
    <row r="42" spans="1:7" x14ac:dyDescent="0.15">
      <c r="A42" s="33" t="s">
        <v>106</v>
      </c>
      <c r="B42">
        <f ca="1">SUMIF(tables_382100!C:C,input_382100!A42,tables_382100!O:O)</f>
        <v>327180</v>
      </c>
      <c r="C42" s="54">
        <f t="shared" ca="1" si="9"/>
        <v>7.936022819885892E-2</v>
      </c>
      <c r="E42">
        <v>5</v>
      </c>
      <c r="F42">
        <f ca="1">SUMIF(tables_382100!J:J,input_382100!E42,tables_382100!O:O)</f>
        <v>371952.00003999984</v>
      </c>
      <c r="G42" s="113">
        <f ca="1">F42/A36</f>
        <v>5.4000000005807181E-2</v>
      </c>
    </row>
    <row r="43" spans="1:7" x14ac:dyDescent="0.15">
      <c r="A43" s="33" t="s">
        <v>109</v>
      </c>
      <c r="B43">
        <f>SUMIF(tables_382100!C:C,input_382100!A43,tables_382100!O:O)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SUMIF(tables_382100!C:C,input_382100!A44,tables_382100!O:O)</f>
        <v>118650.00003999991</v>
      </c>
      <c r="C44" s="54">
        <f t="shared" ca="1" si="9"/>
        <v>2.877954361198427E-2</v>
      </c>
      <c r="E44" t="s">
        <v>54</v>
      </c>
      <c r="F44" s="55"/>
    </row>
    <row r="45" spans="1:7" x14ac:dyDescent="0.15">
      <c r="A45" s="33" t="s">
        <v>107</v>
      </c>
      <c r="B45">
        <f ca="1">SUMIF(tables_382100!C:C,input_382100!A45,tables_382100!O:O)</f>
        <v>17220</v>
      </c>
      <c r="C45" s="54">
        <f t="shared" ca="1" si="9"/>
        <v>4.1768541157294172E-3</v>
      </c>
      <c r="E45" t="s">
        <v>180</v>
      </c>
      <c r="F45" s="55">
        <f ca="1">SUMIF(tables_382100!I:I,input_382100!E45,tables_382100!P:P)</f>
        <v>0.22768292682926836</v>
      </c>
    </row>
    <row r="46" spans="1:7" x14ac:dyDescent="0.15">
      <c r="A46" s="33" t="s">
        <v>108</v>
      </c>
      <c r="B46">
        <f>SUMIF(tables_382100!C:C,input_382100!A46,tables_382100!O:O)</f>
        <v>0</v>
      </c>
      <c r="C46" s="54">
        <f t="shared" ca="1" si="9"/>
        <v>0</v>
      </c>
      <c r="E46" t="s">
        <v>181</v>
      </c>
      <c r="F46" s="55">
        <f ca="1">SUMIF(tables_382100!I:I,input_382100!E46,tables_382100!P:P)</f>
        <v>0.22432926829268279</v>
      </c>
    </row>
    <row r="47" spans="1:7" x14ac:dyDescent="0.15">
      <c r="A47" s="39" t="s">
        <v>59</v>
      </c>
      <c r="B47">
        <f ca="1">SUM(B40:B46)</f>
        <v>4122720.0000000042</v>
      </c>
      <c r="C47" s="55">
        <f ca="1">SUM(C40:C46)</f>
        <v>1</v>
      </c>
      <c r="E47" t="s">
        <v>182</v>
      </c>
      <c r="F47" s="55">
        <f ca="1">SUMIF(tables_382100!I:I,input_382100!E47,tables_382100!P:P)</f>
        <v>0.48969512195121956</v>
      </c>
    </row>
    <row r="48" spans="1:7" x14ac:dyDescent="0.15">
      <c r="E48" t="s">
        <v>183</v>
      </c>
      <c r="F48" s="55">
        <f ca="1">SUMIF(tables_382100!I:I,input_382100!E48,tables_382100!P:P)</f>
        <v>7.4999999999999969E-2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34" activePane="bottomLeft" state="frozen"/>
      <selection activeCell="B31" sqref="B31"/>
      <selection pane="bottomLeft" activeCell="P51" sqref="P51:P5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input_382100!A$2</f>
        <v>382100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IFERROR(VLOOKUP(B2,input_382100!L:R,7,FALSE),VLOOKUP(tables_382100!C2,input_382100!A:H,8,FALSE))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input_382100!A$2</f>
        <v>382100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IFERROR(VLOOKUP(B3,input_382100!L:R,7,FALSE),VLOOKUP(tables_382100!C3,input_382100!A:H,8,FALSE))</f>
        <v>72660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input_382100!A$2</f>
        <v>382100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IFERROR(VLOOKUP(B4,input_382100!L:R,7,FALSE),VLOOKUP(tables_382100!C4,input_382100!A:H,8,FALSE))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input_382100!A$2</f>
        <v>382100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IFERROR(VLOOKUP(B5,input_382100!L:R,7,FALSE),VLOOKUP(tables_382100!C5,input_382100!A:H,8,FALSE))</f>
        <v>72660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input_382100!A$2</f>
        <v>382100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IFERROR(VLOOKUP(B6,input_382100!L:R,7,FALSE),VLOOKUP(tables_382100!C6,input_382100!A:H,8,FALSE))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input_382100!A$2</f>
        <v>382100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IFERROR(VLOOKUP(B7,input_382100!L:R,7,FALSE),VLOOKUP(tables_382100!C7,input_382100!A:H,8,FALSE))</f>
        <v>72660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input_382100!A$2</f>
        <v>382100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IFERROR(VLOOKUP(B8,input_382100!L:R,7,FALSE),VLOOKUP(tables_382100!C8,input_382100!A:H,8,FALSE))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input_382100!A$2</f>
        <v>382100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IFERROR(VLOOKUP(B9,input_382100!L:R,7,FALSE),VLOOKUP(tables_382100!C9,input_382100!A:H,8,FALSE))</f>
        <v>72660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input_382100!A$2</f>
        <v>382100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IFERROR(VLOOKUP(B10,input_382100!L:R,7,FALSE),VLOOKUP(tables_382100!C10,input_382100!A:H,8,FALSE))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input_382100!A$2</f>
        <v>382100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IFERROR(VLOOKUP(B11,input_382100!L:R,7,FALSE),VLOOKUP(tables_382100!C11,input_382100!A:H,8,FALSE))</f>
        <v>72660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input_382100!A$2</f>
        <v>382100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IFERROR(VLOOKUP(B12,input_382100!L:R,7,FALSE),VLOOKUP(tables_382100!C12,input_382100!A:H,8,FALSE))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input_382100!A$2</f>
        <v>382100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IFERROR(VLOOKUP(B13,input_382100!L:R,7,FALSE),VLOOKUP(tables_382100!C13,input_382100!A:H,8,FALSE))</f>
        <v>72660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input_382100!A$2</f>
        <v>382100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IFERROR(VLOOKUP(B14,input_382100!L:R,7,FALSE),VLOOKUP(tables_382100!C14,input_382100!A:H,8,FALSE))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input_382100!A$2</f>
        <v>382100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IFERROR(VLOOKUP(B15,input_382100!L:R,7,FALSE),VLOOKUP(tables_382100!C15,input_382100!A:H,8,FALSE))</f>
        <v>72660</v>
      </c>
      <c r="P15" s="46">
        <f t="shared" ref="P15:P78" ca="1" si="2">O15/SUM(O:O)</f>
        <v>1.0548780487804879E-2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input_382100!A$2</f>
        <v>382100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IFERROR(VLOOKUP(B16,input_382100!L:R,7,FALSE),VLOOKUP(tables_382100!C16,input_382100!A:H,8,FALSE))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input_382100!A$2</f>
        <v>382100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IFERROR(VLOOKUP(B17,input_382100!L:R,7,FALSE),VLOOKUP(tables_382100!C17,input_382100!A:H,8,FALSE))</f>
        <v>72660</v>
      </c>
      <c r="P17" s="46">
        <f t="shared" ca="1" si="2"/>
        <v>1.0548780487804879E-2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input_382100!A$2</f>
        <v>382100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IFERROR(VLOOKUP(B18,input_382100!L:R,7,FALSE),VLOOKUP(tables_382100!C18,input_382100!A:H,8,FALSE))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input_382100!A$2</f>
        <v>382100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IFERROR(VLOOKUP(B19,input_382100!L:R,7,FALSE),VLOOKUP(tables_382100!C19,input_382100!A:H,8,FALSE))</f>
        <v>72660</v>
      </c>
      <c r="P19" s="46">
        <f t="shared" ca="1" si="2"/>
        <v>1.0548780487804879E-2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input_382100!A$2</f>
        <v>382100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IFERROR(VLOOKUP(B20,input_382100!L:R,7,FALSE),VLOOKUP(tables_382100!C20,input_382100!A:H,8,FALSE))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input_382100!A$2</f>
        <v>382100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IFERROR(VLOOKUP(B21,input_382100!L:R,7,FALSE),VLOOKUP(tables_382100!C21,input_382100!A:H,8,FALSE))</f>
        <v>72660</v>
      </c>
      <c r="P21" s="46">
        <f t="shared" ca="1" si="2"/>
        <v>1.0548780487804879E-2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input_382100!A$2</f>
        <v>382100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IFERROR(VLOOKUP(B22,input_382100!L:R,7,FALSE),VLOOKUP(tables_382100!C22,input_382100!A:H,8,FALSE))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input_382100!A$2</f>
        <v>382100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IFERROR(VLOOKUP(B23,input_382100!L:R,7,FALSE),VLOOKUP(tables_382100!C23,input_382100!A:H,8,FALSE))</f>
        <v>72660</v>
      </c>
      <c r="P23" s="46">
        <f t="shared" ca="1" si="2"/>
        <v>1.0548780487804879E-2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input_382100!A$2</f>
        <v>382100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IFERROR(VLOOKUP(B24,input_382100!L:R,7,FALSE),VLOOKUP(tables_382100!C24,input_382100!A:H,8,FALSE))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input_382100!A$2</f>
        <v>382100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IFERROR(VLOOKUP(B25,input_382100!L:R,7,FALSE),VLOOKUP(tables_382100!C25,input_382100!A:H,8,FALSE))</f>
        <v>72660</v>
      </c>
      <c r="P25" s="46">
        <f t="shared" ca="1" si="2"/>
        <v>1.0548780487804879E-2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input_382100!A$2</f>
        <v>382100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IFERROR(VLOOKUP(B26,input_382100!L:R,7,FALSE),VLOOKUP(tables_382100!C26,input_382100!A:H,8,FALSE))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input_382100!A$2</f>
        <v>382100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IFERROR(VLOOKUP(B27,input_382100!L:R,7,FALSE),VLOOKUP(tables_382100!C27,input_382100!A:H,8,FALSE))</f>
        <v>72660</v>
      </c>
      <c r="P27" s="46">
        <f t="shared" ca="1" si="2"/>
        <v>1.0548780487804879E-2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input_382100!A$2</f>
        <v>382100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IFERROR(VLOOKUP(B28,input_382100!L:R,7,FALSE),VLOOKUP(tables_382100!C28,input_382100!A:H,8,FALSE))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input_382100!A$2</f>
        <v>382100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IFERROR(VLOOKUP(B29,input_382100!L:R,7,FALSE),VLOOKUP(tables_382100!C29,input_382100!A:H,8,FALSE))</f>
        <v>72660</v>
      </c>
      <c r="P29" s="46">
        <f t="shared" ca="1" si="2"/>
        <v>1.0548780487804879E-2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input_382100!A$2</f>
        <v>382100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IFERROR(VLOOKUP(B30,input_382100!L:R,7,FALSE),VLOOKUP(tables_382100!C30,input_382100!A:H,8,FALSE))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input_382100!A$2</f>
        <v>382100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IFERROR(VLOOKUP(B31,input_382100!L:R,7,FALSE),VLOOKUP(tables_382100!C31,input_382100!A:H,8,FALSE))</f>
        <v>72660</v>
      </c>
      <c r="P31" s="46">
        <f t="shared" ca="1" si="2"/>
        <v>1.0548780487804879E-2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input_382100!A$2</f>
        <v>382100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IFERROR(VLOOKUP(B32,input_382100!L:R,7,FALSE),VLOOKUP(tables_382100!C32,input_382100!A:H,8,FALSE))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input_382100!A$2</f>
        <v>382100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IFERROR(VLOOKUP(B33,input_382100!L:R,7,FALSE),VLOOKUP(tables_382100!C33,input_382100!A:H,8,FALSE))</f>
        <v>72660</v>
      </c>
      <c r="P33" s="46">
        <f t="shared" ca="1" si="2"/>
        <v>1.0548780487804879E-2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input_382100!A$2</f>
        <v>382100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IFERROR(VLOOKUP(B34,input_382100!L:R,7,FALSE),VLOOKUP(tables_382100!C34,input_382100!A:H,8,FALSE))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input_382100!A$2</f>
        <v>382100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IFERROR(VLOOKUP(B35,input_382100!L:R,7,FALSE),VLOOKUP(tables_382100!C35,input_382100!A:H,8,FALSE))</f>
        <v>72660</v>
      </c>
      <c r="P35" s="46">
        <f t="shared" ca="1" si="2"/>
        <v>1.0548780487804879E-2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input_382100!A$2</f>
        <v>382100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IFERROR(VLOOKUP(B36,input_382100!L:R,7,FALSE),VLOOKUP(tables_382100!C36,input_382100!A:H,8,FALSE))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input_382100!A$2</f>
        <v>382100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IFERROR(VLOOKUP(B37,input_382100!L:R,7,FALSE),VLOOKUP(tables_382100!C37,input_382100!A:H,8,FALSE))</f>
        <v>72660</v>
      </c>
      <c r="P37" s="46">
        <f t="shared" ca="1" si="2"/>
        <v>1.0548780487804879E-2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input_382100!A$2</f>
        <v>382100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IFERROR(VLOOKUP(B38,input_382100!L:R,7,FALSE),VLOOKUP(tables_382100!C38,input_382100!A:H,8,FALSE))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input_382100!A$2</f>
        <v>382100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IFERROR(VLOOKUP(B39,input_382100!L:R,7,FALSE),VLOOKUP(tables_382100!C39,input_382100!A:H,8,FALSE))</f>
        <v>72660</v>
      </c>
      <c r="P39" s="46">
        <f t="shared" ca="1" si="2"/>
        <v>1.0548780487804879E-2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input_382100!A$2</f>
        <v>382100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IFERROR(VLOOKUP(B40,input_382100!L:R,7,FALSE),VLOOKUP(tables_382100!C40,input_382100!A:H,8,FALSE))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input_382100!A$2</f>
        <v>382100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IFERROR(VLOOKUP(B41,input_382100!L:R,7,FALSE),VLOOKUP(tables_382100!C41,input_382100!A:H,8,FALSE))</f>
        <v>72660</v>
      </c>
      <c r="P41" s="46">
        <f t="shared" ca="1" si="2"/>
        <v>1.0548780487804879E-2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input_382100!A$2</f>
        <v>382100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IFERROR(VLOOKUP(B42,input_382100!L:R,7,FALSE),VLOOKUP(tables_382100!C42,input_382100!A:H,8,FALSE))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input_382100!A$2</f>
        <v>382100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IFERROR(VLOOKUP(B43,input_382100!L:R,7,FALSE),VLOOKUP(tables_382100!C43,input_382100!A:H,8,FALSE))</f>
        <v>96432</v>
      </c>
      <c r="P43" s="46">
        <f t="shared" ca="1" si="2"/>
        <v>1.4E-2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input_382100!A$2</f>
        <v>382100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IFERROR(VLOOKUP(B44,input_382100!L:R,7,FALSE),VLOOKUP(tables_382100!C44,input_382100!A:H,8,FALSE))</f>
        <v>6888</v>
      </c>
      <c r="P44" s="46">
        <f t="shared" ca="1" si="2"/>
        <v>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input_382100!A$2</f>
        <v>382100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IFERROR(VLOOKUP(B45,input_382100!L:R,7,FALSE),VLOOKUP(tables_382100!C45,input_382100!A:H,8,FALSE))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input_382100!A$2</f>
        <v>382100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IFERROR(VLOOKUP(B46,input_382100!L:R,7,FALSE),VLOOKUP(tables_382100!C46,input_382100!A:H,8,FALSE))</f>
        <v>96432</v>
      </c>
      <c r="P46" s="46">
        <f t="shared" ca="1" si="2"/>
        <v>1.4E-2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input_382100!A$2</f>
        <v>382100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IFERROR(VLOOKUP(B47,input_382100!L:R,7,FALSE),VLOOKUP(tables_382100!C47,input_382100!A:H,8,FALSE))</f>
        <v>6888</v>
      </c>
      <c r="P47" s="46">
        <f t="shared" ca="1" si="2"/>
        <v>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input_382100!A$2</f>
        <v>382100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IFERROR(VLOOKUP(B48,input_382100!L:R,7,FALSE),VLOOKUP(tables_382100!C48,input_382100!A:H,8,FALSE))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input_382100!A$2</f>
        <v>382100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IFERROR(VLOOKUP(B49,input_382100!L:R,7,FALSE),VLOOKUP(tables_382100!C49,input_382100!A:H,8,FALSE))</f>
        <v>96432</v>
      </c>
      <c r="P49" s="46">
        <f t="shared" ca="1" si="2"/>
        <v>1.4E-2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input_382100!A$2</f>
        <v>382100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IFERROR(VLOOKUP(B50,input_382100!L:R,7,FALSE),VLOOKUP(tables_382100!C50,input_382100!A:H,8,FALSE))</f>
        <v>6888</v>
      </c>
      <c r="P50" s="46">
        <f t="shared" ca="1" si="2"/>
        <v>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input_382100!A$2</f>
        <v>382100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IFERROR(VLOOKUP(B51,input_382100!L:R,7,FALSE),VLOOKUP(tables_382100!C51,input_382100!A:H,8,FALSE))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input_382100!A$2</f>
        <v>382100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IFERROR(VLOOKUP(B52,input_382100!L:R,7,FALSE),VLOOKUP(tables_382100!C52,input_382100!A:H,8,FALSE))</f>
        <v>70378.269230000005</v>
      </c>
      <c r="P52" s="46">
        <f t="shared" ca="1" si="2"/>
        <v>1.0217518761614402E-2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input_382100!A$2</f>
        <v>382100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IFERROR(VLOOKUP(B53,input_382100!L:R,7,FALSE),VLOOKUP(tables_382100!C53,input_382100!A:H,8,FALSE))</f>
        <v>2281.7307700000001</v>
      </c>
      <c r="P53" s="46">
        <f t="shared" ca="1" si="2"/>
        <v>3.312617261904762E-4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input_382100!A$2</f>
        <v>382100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IFERROR(VLOOKUP(B54,input_382100!L:R,7,FALSE),VLOOKUP(tables_382100!C54,input_382100!A:H,8,FALSE))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input_382100!A$2</f>
        <v>382100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IFERROR(VLOOKUP(B55,input_382100!L:R,7,FALSE),VLOOKUP(tables_382100!C55,input_382100!A:H,8,FALSE))</f>
        <v>70378.269230000005</v>
      </c>
      <c r="P55" s="46">
        <f t="shared" ca="1" si="2"/>
        <v>1.0217518761614402E-2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input_382100!A$2</f>
        <v>382100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IFERROR(VLOOKUP(B56,input_382100!L:R,7,FALSE),VLOOKUP(tables_382100!C56,input_382100!A:H,8,FALSE))</f>
        <v>2281.7307700000001</v>
      </c>
      <c r="P56" s="46">
        <f t="shared" ca="1" si="2"/>
        <v>3.312617261904762E-4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input_382100!A$2</f>
        <v>382100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IFERROR(VLOOKUP(B57,input_382100!L:R,7,FALSE),VLOOKUP(tables_382100!C57,input_382100!A:H,8,FALSE))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input_382100!A$2</f>
        <v>382100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IFERROR(VLOOKUP(B58,input_382100!L:R,7,FALSE),VLOOKUP(tables_382100!C58,input_382100!A:H,8,FALSE))</f>
        <v>70378.269230000005</v>
      </c>
      <c r="P58" s="46">
        <f t="shared" ca="1" si="2"/>
        <v>1.0217518761614402E-2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input_382100!A$2</f>
        <v>382100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IFERROR(VLOOKUP(B59,input_382100!L:R,7,FALSE),VLOOKUP(tables_382100!C59,input_382100!A:H,8,FALSE))</f>
        <v>2281.7307700000001</v>
      </c>
      <c r="P59" s="46">
        <f t="shared" ca="1" si="2"/>
        <v>3.312617261904762E-4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input_382100!A$2</f>
        <v>382100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IFERROR(VLOOKUP(B60,input_382100!L:R,7,FALSE),VLOOKUP(tables_382100!C60,input_382100!A:H,8,FALSE))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input_382100!A$2</f>
        <v>382100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IFERROR(VLOOKUP(B61,input_382100!L:R,7,FALSE),VLOOKUP(tables_382100!C61,input_382100!A:H,8,FALSE))</f>
        <v>70378.269230000005</v>
      </c>
      <c r="P61" s="46">
        <f t="shared" ca="1" si="2"/>
        <v>1.0217518761614402E-2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input_382100!A$2</f>
        <v>382100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IFERROR(VLOOKUP(B62,input_382100!L:R,7,FALSE),VLOOKUP(tables_382100!C62,input_382100!A:H,8,FALSE))</f>
        <v>2281.7307700000001</v>
      </c>
      <c r="P62" s="46">
        <f t="shared" ca="1" si="2"/>
        <v>3.312617261904762E-4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input_382100!A$2</f>
        <v>382100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IFERROR(VLOOKUP(B63,input_382100!L:R,7,FALSE),VLOOKUP(tables_382100!C63,input_382100!A:H,8,FALSE))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input_382100!A$2</f>
        <v>382100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IFERROR(VLOOKUP(B64,input_382100!L:R,7,FALSE),VLOOKUP(tables_382100!C64,input_382100!A:H,8,FALSE))</f>
        <v>70378.269230000005</v>
      </c>
      <c r="P64" s="46">
        <f t="shared" ca="1" si="2"/>
        <v>1.0217518761614402E-2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input_382100!A$2</f>
        <v>382100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IFERROR(VLOOKUP(B65,input_382100!L:R,7,FALSE),VLOOKUP(tables_382100!C65,input_382100!A:H,8,FALSE))</f>
        <v>2281.7307700000001</v>
      </c>
      <c r="P65" s="46">
        <f t="shared" ca="1" si="2"/>
        <v>3.312617261904762E-4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input_382100!A$2</f>
        <v>382100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IFERROR(VLOOKUP(B66,input_382100!L:R,7,FALSE),VLOOKUP(tables_382100!C66,input_382100!A:H,8,FALSE))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input_382100!A$2</f>
        <v>382100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IFERROR(VLOOKUP(B67,input_382100!L:R,7,FALSE),VLOOKUP(tables_382100!C67,input_382100!A:H,8,FALSE))</f>
        <v>70378.269230000005</v>
      </c>
      <c r="P67" s="46">
        <f t="shared" ca="1" si="2"/>
        <v>1.0217518761614402E-2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input_382100!A$2</f>
        <v>382100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IFERROR(VLOOKUP(B68,input_382100!L:R,7,FALSE),VLOOKUP(tables_382100!C68,input_382100!A:H,8,FALSE))</f>
        <v>2281.7307700000001</v>
      </c>
      <c r="P68" s="46">
        <f t="shared" ca="1" si="2"/>
        <v>3.312617261904762E-4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input_382100!A$2</f>
        <v>382100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IFERROR(VLOOKUP(B69,input_382100!L:R,7,FALSE),VLOOKUP(tables_382100!C69,input_382100!A:H,8,FALSE))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input_382100!A$2</f>
        <v>382100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IFERROR(VLOOKUP(B70,input_382100!L:R,7,FALSE),VLOOKUP(tables_382100!C70,input_382100!A:H,8,FALSE))</f>
        <v>70378.269230000005</v>
      </c>
      <c r="P70" s="46">
        <f t="shared" ca="1" si="2"/>
        <v>1.0217518761614402E-2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input_382100!A$2</f>
        <v>382100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IFERROR(VLOOKUP(B71,input_382100!L:R,7,FALSE),VLOOKUP(tables_382100!C71,input_382100!A:H,8,FALSE))</f>
        <v>2281.7307700000001</v>
      </c>
      <c r="P71" s="46">
        <f t="shared" ca="1" si="2"/>
        <v>3.312617261904762E-4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input_382100!A$2</f>
        <v>382100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IFERROR(VLOOKUP(B72,input_382100!L:R,7,FALSE),VLOOKUP(tables_382100!C72,input_382100!A:H,8,FALSE))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input_382100!A$2</f>
        <v>382100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IFERROR(VLOOKUP(B73,input_382100!L:R,7,FALSE),VLOOKUP(tables_382100!C73,input_382100!A:H,8,FALSE))</f>
        <v>70378.269230000005</v>
      </c>
      <c r="P73" s="46">
        <f t="shared" ca="1" si="2"/>
        <v>1.0217518761614402E-2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input_382100!A$2</f>
        <v>382100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IFERROR(VLOOKUP(B74,input_382100!L:R,7,FALSE),VLOOKUP(tables_382100!C74,input_382100!A:H,8,FALSE))</f>
        <v>2281.7307700000001</v>
      </c>
      <c r="P74" s="46">
        <f t="shared" ca="1" si="2"/>
        <v>3.312617261904762E-4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input_382100!A$2</f>
        <v>382100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IFERROR(VLOOKUP(B75,input_382100!L:R,7,FALSE),VLOOKUP(tables_382100!C75,input_382100!A:H,8,FALSE))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input_382100!A$2</f>
        <v>382100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IFERROR(VLOOKUP(B76,input_382100!L:R,7,FALSE),VLOOKUP(tables_382100!C76,input_382100!A:H,8,FALSE))</f>
        <v>70378.269230000005</v>
      </c>
      <c r="P76" s="46">
        <f t="shared" ca="1" si="2"/>
        <v>1.0217518761614402E-2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input_382100!A$2</f>
        <v>382100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IFERROR(VLOOKUP(B77,input_382100!L:R,7,FALSE),VLOOKUP(tables_382100!C77,input_382100!A:H,8,FALSE))</f>
        <v>2281.7307700000001</v>
      </c>
      <c r="P77" s="46">
        <f t="shared" ca="1" si="2"/>
        <v>3.312617261904762E-4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input_382100!A$2</f>
        <v>382100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IFERROR(VLOOKUP(B78,input_382100!L:R,7,FALSE),VLOOKUP(tables_382100!C78,input_382100!A:H,8,FALSE))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input_382100!A$2</f>
        <v>382100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IFERROR(VLOOKUP(B79,input_382100!L:R,7,FALSE),VLOOKUP(tables_382100!C79,input_382100!A:H,8,FALSE))</f>
        <v>70378.269230000005</v>
      </c>
      <c r="P79" s="46">
        <f t="shared" ref="P79:P142" ca="1" si="5">O79/SUM(O:O)</f>
        <v>1.0217518761614402E-2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input_382100!A$2</f>
        <v>382100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IFERROR(VLOOKUP(B80,input_382100!L:R,7,FALSE),VLOOKUP(tables_382100!C80,input_382100!A:H,8,FALSE))</f>
        <v>2281.7307700000001</v>
      </c>
      <c r="P80" s="46">
        <f t="shared" ca="1" si="5"/>
        <v>3.312617261904762E-4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input_382100!A$2</f>
        <v>382100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IFERROR(VLOOKUP(B81,input_382100!L:R,7,FALSE),VLOOKUP(tables_382100!C81,input_382100!A:H,8,FALSE))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input_382100!A$2</f>
        <v>382100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IFERROR(VLOOKUP(B82,input_382100!L:R,7,FALSE),VLOOKUP(tables_382100!C82,input_382100!A:H,8,FALSE))</f>
        <v>70378.269230000005</v>
      </c>
      <c r="P82" s="46">
        <f t="shared" ca="1" si="5"/>
        <v>1.0217518761614402E-2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input_382100!A$2</f>
        <v>382100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IFERROR(VLOOKUP(B83,input_382100!L:R,7,FALSE),VLOOKUP(tables_382100!C83,input_382100!A:H,8,FALSE))</f>
        <v>2281.7307700000001</v>
      </c>
      <c r="P83" s="46">
        <f t="shared" ca="1" si="5"/>
        <v>3.312617261904762E-4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input_382100!A$2</f>
        <v>382100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IFERROR(VLOOKUP(B84,input_382100!L:R,7,FALSE),VLOOKUP(tables_382100!C84,input_382100!A:H,8,FALSE))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input_382100!A$2</f>
        <v>382100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IFERROR(VLOOKUP(B85,input_382100!L:R,7,FALSE),VLOOKUP(tables_382100!C85,input_382100!A:H,8,FALSE))</f>
        <v>70378.269230000005</v>
      </c>
      <c r="P85" s="46">
        <f t="shared" ca="1" si="5"/>
        <v>1.0217518761614402E-2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input_382100!A$2</f>
        <v>382100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IFERROR(VLOOKUP(B86,input_382100!L:R,7,FALSE),VLOOKUP(tables_382100!C86,input_382100!A:H,8,FALSE))</f>
        <v>2281.7307700000001</v>
      </c>
      <c r="P86" s="46">
        <f t="shared" ca="1" si="5"/>
        <v>3.312617261904762E-4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input_382100!A$2</f>
        <v>382100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IFERROR(VLOOKUP(B87,input_382100!L:R,7,FALSE),VLOOKUP(tables_382100!C87,input_382100!A:H,8,FALSE))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input_382100!A$2</f>
        <v>382100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IFERROR(VLOOKUP(B88,input_382100!L:R,7,FALSE),VLOOKUP(tables_382100!C88,input_382100!A:H,8,FALSE))</f>
        <v>70378.269230000005</v>
      </c>
      <c r="P88" s="46">
        <f t="shared" ca="1" si="5"/>
        <v>1.0217518761614402E-2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input_382100!A$2</f>
        <v>382100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IFERROR(VLOOKUP(B89,input_382100!L:R,7,FALSE),VLOOKUP(tables_382100!C89,input_382100!A:H,8,FALSE))</f>
        <v>2281.7307700000001</v>
      </c>
      <c r="P89" s="46">
        <f t="shared" ca="1" si="5"/>
        <v>3.312617261904762E-4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input_382100!A$2</f>
        <v>382100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IFERROR(VLOOKUP(B90,input_382100!L:R,7,FALSE),VLOOKUP(tables_382100!C90,input_382100!A:H,8,FALSE))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input_382100!A$2</f>
        <v>382100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IFERROR(VLOOKUP(B91,input_382100!L:R,7,FALSE),VLOOKUP(tables_382100!C91,input_382100!A:H,8,FALSE))</f>
        <v>70378.269230000005</v>
      </c>
      <c r="P91" s="46">
        <f t="shared" ca="1" si="5"/>
        <v>1.0217518761614402E-2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input_382100!A$2</f>
        <v>382100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IFERROR(VLOOKUP(B92,input_382100!L:R,7,FALSE),VLOOKUP(tables_382100!C92,input_382100!A:H,8,FALSE))</f>
        <v>2281.7307700000001</v>
      </c>
      <c r="P92" s="46">
        <f t="shared" ca="1" si="5"/>
        <v>3.312617261904762E-4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input_382100!A$2</f>
        <v>382100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IFERROR(VLOOKUP(B93,input_382100!L:R,7,FALSE),VLOOKUP(tables_382100!C93,input_382100!A:H,8,FALSE))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input_382100!A$2</f>
        <v>382100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IFERROR(VLOOKUP(B94,input_382100!L:R,7,FALSE),VLOOKUP(tables_382100!C94,input_382100!A:H,8,FALSE))</f>
        <v>70378.269230000005</v>
      </c>
      <c r="P94" s="46">
        <f t="shared" ca="1" si="5"/>
        <v>1.0217518761614402E-2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input_382100!A$2</f>
        <v>382100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IFERROR(VLOOKUP(B95,input_382100!L:R,7,FALSE),VLOOKUP(tables_382100!C95,input_382100!A:H,8,FALSE))</f>
        <v>2281.7307700000001</v>
      </c>
      <c r="P95" s="46">
        <f t="shared" ca="1" si="5"/>
        <v>3.312617261904762E-4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input_382100!A$2</f>
        <v>382100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IFERROR(VLOOKUP(B96,input_382100!L:R,7,FALSE),VLOOKUP(tables_382100!C96,input_382100!A:H,8,FALSE))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input_382100!A$2</f>
        <v>382100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IFERROR(VLOOKUP(B97,input_382100!L:R,7,FALSE),VLOOKUP(tables_382100!C97,input_382100!A:H,8,FALSE))</f>
        <v>70378.269230000005</v>
      </c>
      <c r="P97" s="46">
        <f t="shared" ca="1" si="5"/>
        <v>1.0217518761614402E-2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input_382100!A$2</f>
        <v>382100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IFERROR(VLOOKUP(B98,input_382100!L:R,7,FALSE),VLOOKUP(tables_382100!C98,input_382100!A:H,8,FALSE))</f>
        <v>2281.7307700000001</v>
      </c>
      <c r="P98" s="46">
        <f t="shared" ca="1" si="5"/>
        <v>3.312617261904762E-4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input_382100!A$2</f>
        <v>382100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IFERROR(VLOOKUP(B99,input_382100!L:R,7,FALSE),VLOOKUP(tables_382100!C99,input_382100!A:H,8,FALSE))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input_382100!A$2</f>
        <v>382100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IFERROR(VLOOKUP(B100,input_382100!L:R,7,FALSE),VLOOKUP(tables_382100!C100,input_382100!A:H,8,FALSE))</f>
        <v>70378.269230000005</v>
      </c>
      <c r="P100" s="46">
        <f t="shared" ca="1" si="5"/>
        <v>1.0217518761614402E-2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input_382100!A$2</f>
        <v>382100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IFERROR(VLOOKUP(B101,input_382100!L:R,7,FALSE),VLOOKUP(tables_382100!C101,input_382100!A:H,8,FALSE))</f>
        <v>2281.7307700000001</v>
      </c>
      <c r="P101" s="46">
        <f t="shared" ca="1" si="5"/>
        <v>3.312617261904762E-4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input_382100!A$2</f>
        <v>382100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IFERROR(VLOOKUP(B102,input_382100!L:R,7,FALSE),VLOOKUP(tables_382100!C102,input_382100!A:H,8,FALSE))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input_382100!A$2</f>
        <v>382100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IFERROR(VLOOKUP(B103,input_382100!L:R,7,FALSE),VLOOKUP(tables_382100!C103,input_382100!A:H,8,FALSE))</f>
        <v>70378.269230000005</v>
      </c>
      <c r="P103" s="46">
        <f t="shared" ca="1" si="5"/>
        <v>1.0217518761614402E-2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input_382100!A$2</f>
        <v>382100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IFERROR(VLOOKUP(B104,input_382100!L:R,7,FALSE),VLOOKUP(tables_382100!C104,input_382100!A:H,8,FALSE))</f>
        <v>2281.7307700000001</v>
      </c>
      <c r="P104" s="46">
        <f t="shared" ca="1" si="5"/>
        <v>3.312617261904762E-4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input_382100!A$2</f>
        <v>382100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IFERROR(VLOOKUP(B105,input_382100!L:R,7,FALSE),VLOOKUP(tables_382100!C105,input_382100!A:H,8,FALSE))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input_382100!A$2</f>
        <v>382100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IFERROR(VLOOKUP(B106,input_382100!L:R,7,FALSE),VLOOKUP(tables_382100!C106,input_382100!A:H,8,FALSE))</f>
        <v>70378.269230000005</v>
      </c>
      <c r="P106" s="46">
        <f t="shared" ca="1" si="5"/>
        <v>1.0217518761614402E-2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input_382100!A$2</f>
        <v>382100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IFERROR(VLOOKUP(B107,input_382100!L:R,7,FALSE),VLOOKUP(tables_382100!C107,input_382100!A:H,8,FALSE))</f>
        <v>2281.7307700000001</v>
      </c>
      <c r="P107" s="46">
        <f t="shared" ca="1" si="5"/>
        <v>3.312617261904762E-4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input_382100!A$2</f>
        <v>382100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IFERROR(VLOOKUP(B108,input_382100!L:R,7,FALSE),VLOOKUP(tables_382100!C108,input_382100!A:H,8,FALSE))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input_382100!A$2</f>
        <v>382100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IFERROR(VLOOKUP(B109,input_382100!L:R,7,FALSE),VLOOKUP(tables_382100!C109,input_382100!A:H,8,FALSE))</f>
        <v>70378.269230000005</v>
      </c>
      <c r="P109" s="46">
        <f t="shared" ca="1" si="5"/>
        <v>1.0217518761614402E-2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input_382100!A$2</f>
        <v>382100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IFERROR(VLOOKUP(B110,input_382100!L:R,7,FALSE),VLOOKUP(tables_382100!C110,input_382100!A:H,8,FALSE))</f>
        <v>2281.7307700000001</v>
      </c>
      <c r="P110" s="46">
        <f t="shared" ca="1" si="5"/>
        <v>3.312617261904762E-4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input_382100!A$2</f>
        <v>382100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IFERROR(VLOOKUP(B111,input_382100!L:R,7,FALSE),VLOOKUP(tables_382100!C111,input_382100!A:H,8,FALSE))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input_382100!A$2</f>
        <v>382100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IFERROR(VLOOKUP(B112,input_382100!L:R,7,FALSE),VLOOKUP(tables_382100!C112,input_382100!A:H,8,FALSE))</f>
        <v>96432</v>
      </c>
      <c r="P112" s="46">
        <f t="shared" ca="1" si="5"/>
        <v>1.4E-2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input_382100!A$2</f>
        <v>382100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IFERROR(VLOOKUP(B113,input_382100!L:R,7,FALSE),VLOOKUP(tables_382100!C113,input_382100!A:H,8,FALSE))</f>
        <v>6888</v>
      </c>
      <c r="P113" s="46">
        <f t="shared" ca="1" si="5"/>
        <v>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input_382100!A$2</f>
        <v>382100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IFERROR(VLOOKUP(B114,input_382100!L:R,7,FALSE),VLOOKUP(tables_382100!C114,input_382100!A:H,8,FALSE))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input_382100!A$2</f>
        <v>382100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IFERROR(VLOOKUP(B115,input_382100!L:R,7,FALSE),VLOOKUP(tables_382100!C115,input_382100!A:H,8,FALSE))</f>
        <v>70378.269230000005</v>
      </c>
      <c r="P115" s="46">
        <f t="shared" ca="1" si="5"/>
        <v>1.0217518761614402E-2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input_382100!A$2</f>
        <v>382100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IFERROR(VLOOKUP(B116,input_382100!L:R,7,FALSE),VLOOKUP(tables_382100!C116,input_382100!A:H,8,FALSE))</f>
        <v>2281.7307700000001</v>
      </c>
      <c r="P116" s="46">
        <f t="shared" ca="1" si="5"/>
        <v>3.312617261904762E-4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input_382100!A$2</f>
        <v>382100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IFERROR(VLOOKUP(B117,input_382100!L:R,7,FALSE),VLOOKUP(tables_382100!C117,input_382100!A:H,8,FALSE))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input_382100!A$2</f>
        <v>382100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IFERROR(VLOOKUP(B118,input_382100!L:R,7,FALSE),VLOOKUP(tables_382100!C118,input_382100!A:H,8,FALSE))</f>
        <v>70378.269230000005</v>
      </c>
      <c r="P118" s="46">
        <f t="shared" ca="1" si="5"/>
        <v>1.0217518761614402E-2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input_382100!A$2</f>
        <v>382100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IFERROR(VLOOKUP(B119,input_382100!L:R,7,FALSE),VLOOKUP(tables_382100!C119,input_382100!A:H,8,FALSE))</f>
        <v>2281.7307700000001</v>
      </c>
      <c r="P119" s="46">
        <f t="shared" ca="1" si="5"/>
        <v>3.312617261904762E-4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input_382100!A$2</f>
        <v>382100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IFERROR(VLOOKUP(B120,input_382100!L:R,7,FALSE),VLOOKUP(tables_382100!C120,input_382100!A:H,8,FALSE))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input_382100!A$2</f>
        <v>382100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IFERROR(VLOOKUP(B121,input_382100!L:R,7,FALSE),VLOOKUP(tables_382100!C121,input_382100!A:H,8,FALSE))</f>
        <v>70378.269230000005</v>
      </c>
      <c r="P121" s="46">
        <f t="shared" ca="1" si="5"/>
        <v>1.0217518761614402E-2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input_382100!A$2</f>
        <v>382100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IFERROR(VLOOKUP(B122,input_382100!L:R,7,FALSE),VLOOKUP(tables_382100!C122,input_382100!A:H,8,FALSE))</f>
        <v>2281.7307700000001</v>
      </c>
      <c r="P122" s="46">
        <f t="shared" ca="1" si="5"/>
        <v>3.312617261904762E-4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input_382100!A$2</f>
        <v>382100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IFERROR(VLOOKUP(B123,input_382100!L:R,7,FALSE),VLOOKUP(tables_382100!C123,input_382100!A:H,8,FALSE))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input_382100!A$2</f>
        <v>382100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IFERROR(VLOOKUP(B124,input_382100!L:R,7,FALSE),VLOOKUP(tables_382100!C124,input_382100!A:H,8,FALSE))</f>
        <v>70378.269230000005</v>
      </c>
      <c r="P124" s="46">
        <f t="shared" ca="1" si="5"/>
        <v>1.0217518761614402E-2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input_382100!A$2</f>
        <v>382100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IFERROR(VLOOKUP(B125,input_382100!L:R,7,FALSE),VLOOKUP(tables_382100!C125,input_382100!A:H,8,FALSE))</f>
        <v>2281.7307700000001</v>
      </c>
      <c r="P125" s="46">
        <f t="shared" ca="1" si="5"/>
        <v>3.312617261904762E-4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input_382100!A$2</f>
        <v>382100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IFERROR(VLOOKUP(B126,input_382100!L:R,7,FALSE),VLOOKUP(tables_382100!C126,input_382100!A:H,8,FALSE))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input_382100!A$2</f>
        <v>382100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IFERROR(VLOOKUP(B127,input_382100!L:R,7,FALSE),VLOOKUP(tables_382100!C127,input_382100!A:H,8,FALSE))</f>
        <v>70378.269230000005</v>
      </c>
      <c r="P127" s="46">
        <f t="shared" ca="1" si="5"/>
        <v>1.0217518761614402E-2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input_382100!A$2</f>
        <v>382100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IFERROR(VLOOKUP(B128,input_382100!L:R,7,FALSE),VLOOKUP(tables_382100!C128,input_382100!A:H,8,FALSE))</f>
        <v>2281.7307700000001</v>
      </c>
      <c r="P128" s="46">
        <f t="shared" ca="1" si="5"/>
        <v>3.312617261904762E-4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input_382100!A$2</f>
        <v>382100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IFERROR(VLOOKUP(B129,input_382100!L:R,7,FALSE),VLOOKUP(tables_382100!C129,input_382100!A:H,8,FALSE))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input_382100!A$2</f>
        <v>382100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IFERROR(VLOOKUP(B130,input_382100!L:R,7,FALSE),VLOOKUP(tables_382100!C130,input_382100!A:H,8,FALSE))</f>
        <v>70378.269230000005</v>
      </c>
      <c r="P130" s="46">
        <f t="shared" ca="1" si="5"/>
        <v>1.0217518761614402E-2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input_382100!A$2</f>
        <v>382100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IFERROR(VLOOKUP(B131,input_382100!L:R,7,FALSE),VLOOKUP(tables_382100!C131,input_382100!A:H,8,FALSE))</f>
        <v>2281.7307700000001</v>
      </c>
      <c r="P131" s="46">
        <f t="shared" ca="1" si="5"/>
        <v>3.312617261904762E-4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input_382100!A$2</f>
        <v>382100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IFERROR(VLOOKUP(B132,input_382100!L:R,7,FALSE),VLOOKUP(tables_382100!C132,input_382100!A:H,8,FALSE))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input_382100!A$2</f>
        <v>382100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IFERROR(VLOOKUP(B133,input_382100!L:R,7,FALSE),VLOOKUP(tables_382100!C133,input_382100!A:H,8,FALSE))</f>
        <v>70378.269230000005</v>
      </c>
      <c r="P133" s="46">
        <f t="shared" ca="1" si="5"/>
        <v>1.0217518761614402E-2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input_382100!A$2</f>
        <v>382100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IFERROR(VLOOKUP(B134,input_382100!L:R,7,FALSE),VLOOKUP(tables_382100!C134,input_382100!A:H,8,FALSE))</f>
        <v>2281.7307700000001</v>
      </c>
      <c r="P134" s="46">
        <f t="shared" ca="1" si="5"/>
        <v>3.312617261904762E-4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input_382100!A$2</f>
        <v>382100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IFERROR(VLOOKUP(B135,input_382100!L:R,7,FALSE),VLOOKUP(tables_382100!C135,input_382100!A:H,8,FALSE))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input_382100!A$2</f>
        <v>382100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IFERROR(VLOOKUP(B136,input_382100!L:R,7,FALSE),VLOOKUP(tables_382100!C136,input_382100!A:H,8,FALSE))</f>
        <v>70378.269230000005</v>
      </c>
      <c r="P136" s="46">
        <f t="shared" ca="1" si="5"/>
        <v>1.0217518761614402E-2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input_382100!A$2</f>
        <v>382100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IFERROR(VLOOKUP(B137,input_382100!L:R,7,FALSE),VLOOKUP(tables_382100!C137,input_382100!A:H,8,FALSE))</f>
        <v>2281.7307700000001</v>
      </c>
      <c r="P137" s="46">
        <f t="shared" ca="1" si="5"/>
        <v>3.312617261904762E-4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input_382100!A$2</f>
        <v>382100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IFERROR(VLOOKUP(B138,input_382100!L:R,7,FALSE),VLOOKUP(tables_382100!C138,input_382100!A:H,8,FALSE))</f>
        <v>11685</v>
      </c>
      <c r="P138" s="46">
        <f t="shared" ca="1" si="5"/>
        <v>1.6964285714285714E-3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input_382100!A$2</f>
        <v>382100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IFERROR(VLOOKUP(B139,input_382100!L:R,7,FALSE),VLOOKUP(tables_382100!C139,input_382100!A:H,8,FALSE))</f>
        <v>615</v>
      </c>
      <c r="P139" s="46">
        <f t="shared" ca="1" si="5"/>
        <v>8.9285714285714286E-5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input_382100!A$2</f>
        <v>382100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IFERROR(VLOOKUP(B140,input_382100!L:R,7,FALSE),VLOOKUP(tables_382100!C140,input_382100!A:H,8,FALSE))</f>
        <v>11685</v>
      </c>
      <c r="P140" s="46">
        <f t="shared" ca="1" si="5"/>
        <v>1.6964285714285714E-3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input_382100!A$2</f>
        <v>382100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IFERROR(VLOOKUP(B141,input_382100!L:R,7,FALSE),VLOOKUP(tables_382100!C141,input_382100!A:H,8,FALSE))</f>
        <v>615</v>
      </c>
      <c r="P141" s="46">
        <f t="shared" ca="1" si="5"/>
        <v>8.9285714285714286E-5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input_382100!A$2</f>
        <v>382100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IFERROR(VLOOKUP(B142,input_382100!L:R,7,FALSE),VLOOKUP(tables_382100!C142,input_382100!A:H,8,FALSE))</f>
        <v>11685</v>
      </c>
      <c r="P142" s="46">
        <f t="shared" ca="1" si="5"/>
        <v>1.6964285714285714E-3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input_382100!A$2</f>
        <v>382100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IFERROR(VLOOKUP(B143,input_382100!L:R,7,FALSE),VLOOKUP(tables_382100!C143,input_382100!A:H,8,FALSE))</f>
        <v>615</v>
      </c>
      <c r="P143" s="46">
        <f t="shared" ref="P143:P206" ca="1" si="8">O143/SUM(O:O)</f>
        <v>8.9285714285714286E-5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input_382100!A$2</f>
        <v>382100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IFERROR(VLOOKUP(B144,input_382100!L:R,7,FALSE),VLOOKUP(tables_382100!C144,input_382100!A:H,8,FALSE))</f>
        <v>11685</v>
      </c>
      <c r="P144" s="46">
        <f t="shared" ca="1" si="8"/>
        <v>1.6964285714285714E-3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input_382100!A$2</f>
        <v>382100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IFERROR(VLOOKUP(B145,input_382100!L:R,7,FALSE),VLOOKUP(tables_382100!C145,input_382100!A:H,8,FALSE))</f>
        <v>615</v>
      </c>
      <c r="P145" s="46">
        <f t="shared" ca="1" si="8"/>
        <v>8.9285714285714286E-5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input_382100!A$2</f>
        <v>382100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IFERROR(VLOOKUP(B146,input_382100!L:R,7,FALSE),VLOOKUP(tables_382100!C146,input_382100!A:H,8,FALSE))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input_382100!A$2</f>
        <v>382100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IFERROR(VLOOKUP(B147,input_382100!L:R,7,FALSE),VLOOKUP(tables_382100!C147,input_382100!A:H,8,FALSE))</f>
        <v>70378.269230000005</v>
      </c>
      <c r="P147" s="46">
        <f t="shared" ca="1" si="8"/>
        <v>1.0217518761614402E-2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input_382100!A$2</f>
        <v>382100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IFERROR(VLOOKUP(B148,input_382100!L:R,7,FALSE),VLOOKUP(tables_382100!C148,input_382100!A:H,8,FALSE))</f>
        <v>2281.7307700000001</v>
      </c>
      <c r="P148" s="46">
        <f t="shared" ca="1" si="8"/>
        <v>3.312617261904762E-4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input_382100!A$2</f>
        <v>382100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IFERROR(VLOOKUP(B149,input_382100!L:R,7,FALSE),VLOOKUP(tables_382100!C149,input_382100!A:H,8,FALSE))</f>
        <v>11685</v>
      </c>
      <c r="P149" s="46">
        <f t="shared" ca="1" si="8"/>
        <v>1.6964285714285714E-3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input_382100!A$2</f>
        <v>382100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IFERROR(VLOOKUP(B150,input_382100!L:R,7,FALSE),VLOOKUP(tables_382100!C150,input_382100!A:H,8,FALSE))</f>
        <v>615</v>
      </c>
      <c r="P150" s="46">
        <f t="shared" ca="1" si="8"/>
        <v>8.9285714285714286E-5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input_382100!A$2</f>
        <v>382100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IFERROR(VLOOKUP(B151,input_382100!L:R,7,FALSE),VLOOKUP(tables_382100!C151,input_382100!A:H,8,FALSE))</f>
        <v>11685</v>
      </c>
      <c r="P151" s="46">
        <f t="shared" ca="1" si="8"/>
        <v>1.6964285714285714E-3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input_382100!A$2</f>
        <v>382100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IFERROR(VLOOKUP(B152,input_382100!L:R,7,FALSE),VLOOKUP(tables_382100!C152,input_382100!A:H,8,FALSE))</f>
        <v>615</v>
      </c>
      <c r="P152" s="46">
        <f t="shared" ca="1" si="8"/>
        <v>8.9285714285714286E-5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input_382100!A$2</f>
        <v>382100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IFERROR(VLOOKUP(B153,input_382100!L:R,7,FALSE),VLOOKUP(tables_382100!C153,input_382100!A:H,8,FALSE))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input_382100!A$2</f>
        <v>382100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IFERROR(VLOOKUP(B154,input_382100!L:R,7,FALSE),VLOOKUP(tables_382100!C154,input_382100!A:H,8,FALSE))</f>
        <v>70378.269230000005</v>
      </c>
      <c r="P154" s="46">
        <f t="shared" ca="1" si="8"/>
        <v>1.0217518761614402E-2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input_382100!A$2</f>
        <v>382100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IFERROR(VLOOKUP(B155,input_382100!L:R,7,FALSE),VLOOKUP(tables_382100!C155,input_382100!A:H,8,FALSE))</f>
        <v>2281.7307700000001</v>
      </c>
      <c r="P155" s="46">
        <f t="shared" ca="1" si="8"/>
        <v>3.312617261904762E-4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input_382100!A$2</f>
        <v>382100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IFERROR(VLOOKUP(B156,input_382100!L:R,7,FALSE),VLOOKUP(tables_382100!C156,input_382100!A:H,8,FALSE))</f>
        <v>11685</v>
      </c>
      <c r="P156" s="46">
        <f t="shared" ca="1" si="8"/>
        <v>1.6964285714285714E-3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input_382100!A$2</f>
        <v>382100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IFERROR(VLOOKUP(B157,input_382100!L:R,7,FALSE),VLOOKUP(tables_382100!C157,input_382100!A:H,8,FALSE))</f>
        <v>615</v>
      </c>
      <c r="P157" s="46">
        <f t="shared" ca="1" si="8"/>
        <v>8.9285714285714286E-5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input_382100!A$2</f>
        <v>382100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IFERROR(VLOOKUP(B158,input_382100!L:R,7,FALSE),VLOOKUP(tables_382100!C158,input_382100!A:H,8,FALSE))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input_382100!A$2</f>
        <v>382100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IFERROR(VLOOKUP(B159,input_382100!L:R,7,FALSE),VLOOKUP(tables_382100!C159,input_382100!A:H,8,FALSE))</f>
        <v>70378.269230000005</v>
      </c>
      <c r="P159" s="46">
        <f t="shared" ca="1" si="8"/>
        <v>1.0217518761614402E-2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input_382100!A$2</f>
        <v>382100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IFERROR(VLOOKUP(B160,input_382100!L:R,7,FALSE),VLOOKUP(tables_382100!C160,input_382100!A:H,8,FALSE))</f>
        <v>2281.7307700000001</v>
      </c>
      <c r="P160" s="46">
        <f t="shared" ca="1" si="8"/>
        <v>3.312617261904762E-4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input_382100!A$2</f>
        <v>382100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IFERROR(VLOOKUP(B161,input_382100!L:R,7,FALSE),VLOOKUP(tables_382100!C161,input_382100!A:H,8,FALSE))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input_382100!A$2</f>
        <v>382100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IFERROR(VLOOKUP(B162,input_382100!L:R,7,FALSE),VLOOKUP(tables_382100!C162,input_382100!A:H,8,FALSE))</f>
        <v>70378.269230000005</v>
      </c>
      <c r="P162" s="46">
        <f t="shared" ca="1" si="8"/>
        <v>1.0217518761614402E-2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input_382100!A$2</f>
        <v>382100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IFERROR(VLOOKUP(B163,input_382100!L:R,7,FALSE),VLOOKUP(tables_382100!C163,input_382100!A:H,8,FALSE))</f>
        <v>2281.7307700000001</v>
      </c>
      <c r="P163" s="46">
        <f t="shared" ca="1" si="8"/>
        <v>3.312617261904762E-4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input_382100!A$2</f>
        <v>382100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IFERROR(VLOOKUP(B164,input_382100!L:R,7,FALSE),VLOOKUP(tables_382100!C164,input_382100!A:H,8,FALSE))</f>
        <v>11685</v>
      </c>
      <c r="P164" s="46">
        <f t="shared" ca="1" si="8"/>
        <v>1.6964285714285714E-3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input_382100!A$2</f>
        <v>382100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IFERROR(VLOOKUP(B165,input_382100!L:R,7,FALSE),VLOOKUP(tables_382100!C165,input_382100!A:H,8,FALSE))</f>
        <v>615</v>
      </c>
      <c r="P165" s="46">
        <f t="shared" ca="1" si="8"/>
        <v>8.9285714285714286E-5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input_382100!A$2</f>
        <v>382100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IFERROR(VLOOKUP(B166,input_382100!L:R,7,FALSE),VLOOKUP(tables_382100!C166,input_382100!A:H,8,FALSE))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input_382100!A$2</f>
        <v>382100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IFERROR(VLOOKUP(B167,input_382100!L:R,7,FALSE),VLOOKUP(tables_382100!C167,input_382100!A:H,8,FALSE))</f>
        <v>70378.269230000005</v>
      </c>
      <c r="P167" s="46">
        <f t="shared" ca="1" si="8"/>
        <v>1.0217518761614402E-2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input_382100!A$2</f>
        <v>382100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IFERROR(VLOOKUP(B168,input_382100!L:R,7,FALSE),VLOOKUP(tables_382100!C168,input_382100!A:H,8,FALSE))</f>
        <v>2281.7307700000001</v>
      </c>
      <c r="P168" s="46">
        <f t="shared" ca="1" si="8"/>
        <v>3.312617261904762E-4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input_382100!A$2</f>
        <v>382100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IFERROR(VLOOKUP(B169,input_382100!L:R,7,FALSE),VLOOKUP(tables_382100!C169,input_382100!A:H,8,FALSE))</f>
        <v>11685</v>
      </c>
      <c r="P169" s="46">
        <f t="shared" ca="1" si="8"/>
        <v>1.6964285714285714E-3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input_382100!A$2</f>
        <v>382100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IFERROR(VLOOKUP(B170,input_382100!L:R,7,FALSE),VLOOKUP(tables_382100!C170,input_382100!A:H,8,FALSE))</f>
        <v>615</v>
      </c>
      <c r="P170" s="46">
        <f t="shared" ca="1" si="8"/>
        <v>8.9285714285714286E-5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input_382100!A$2</f>
        <v>382100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IFERROR(VLOOKUP(B171,input_382100!L:R,7,FALSE),VLOOKUP(tables_382100!C171,input_382100!A:H,8,FALSE))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input_382100!A$2</f>
        <v>382100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IFERROR(VLOOKUP(B172,input_382100!L:R,7,FALSE),VLOOKUP(tables_382100!C172,input_382100!A:H,8,FALSE))</f>
        <v>70378.269230000005</v>
      </c>
      <c r="P172" s="46">
        <f t="shared" ca="1" si="8"/>
        <v>1.0217518761614402E-2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input_382100!A$2</f>
        <v>382100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IFERROR(VLOOKUP(B173,input_382100!L:R,7,FALSE),VLOOKUP(tables_382100!C173,input_382100!A:H,8,FALSE))</f>
        <v>2281.7307700000001</v>
      </c>
      <c r="P173" s="46">
        <f t="shared" ca="1" si="8"/>
        <v>3.312617261904762E-4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input_382100!A$2</f>
        <v>382100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IFERROR(VLOOKUP(B174,input_382100!L:R,7,FALSE),VLOOKUP(tables_382100!C174,input_382100!A:H,8,FALSE))</f>
        <v>11685</v>
      </c>
      <c r="P174" s="46">
        <f t="shared" ca="1" si="8"/>
        <v>1.6964285714285714E-3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input_382100!A$2</f>
        <v>382100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IFERROR(VLOOKUP(B175,input_382100!L:R,7,FALSE),VLOOKUP(tables_382100!C175,input_382100!A:H,8,FALSE))</f>
        <v>615</v>
      </c>
      <c r="P175" s="46">
        <f t="shared" ca="1" si="8"/>
        <v>8.9285714285714286E-5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input_382100!A$2</f>
        <v>382100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IFERROR(VLOOKUP(B176,input_382100!L:R,7,FALSE),VLOOKUP(tables_382100!C176,input_382100!A:H,8,FALSE))</f>
        <v>11685</v>
      </c>
      <c r="P176" s="46">
        <f t="shared" ca="1" si="8"/>
        <v>1.6964285714285714E-3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input_382100!A$2</f>
        <v>382100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IFERROR(VLOOKUP(B177,input_382100!L:R,7,FALSE),VLOOKUP(tables_382100!C177,input_382100!A:H,8,FALSE))</f>
        <v>615</v>
      </c>
      <c r="P177" s="46">
        <f t="shared" ca="1" si="8"/>
        <v>8.9285714285714286E-5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input_382100!A$2</f>
        <v>382100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IFERROR(VLOOKUP(B178,input_382100!L:R,7,FALSE),VLOOKUP(tables_382100!C178,input_382100!A:H,8,FALSE))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input_382100!A$2</f>
        <v>382100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IFERROR(VLOOKUP(B179,input_382100!L:R,7,FALSE),VLOOKUP(tables_382100!C179,input_382100!A:H,8,FALSE))</f>
        <v>70378.269230000005</v>
      </c>
      <c r="P179" s="46">
        <f t="shared" ca="1" si="8"/>
        <v>1.0217518761614402E-2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input_382100!A$2</f>
        <v>382100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IFERROR(VLOOKUP(B180,input_382100!L:R,7,FALSE),VLOOKUP(tables_382100!C180,input_382100!A:H,8,FALSE))</f>
        <v>2281.7307700000001</v>
      </c>
      <c r="P180" s="46">
        <f t="shared" ca="1" si="8"/>
        <v>3.312617261904762E-4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input_382100!A$2</f>
        <v>382100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IFERROR(VLOOKUP(B181,input_382100!L:R,7,FALSE),VLOOKUP(tables_382100!C181,input_382100!A:H,8,FALSE))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input_382100!A$2</f>
        <v>382100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IFERROR(VLOOKUP(B182,input_382100!L:R,7,FALSE),VLOOKUP(tables_382100!C182,input_382100!A:H,8,FALSE))</f>
        <v>70378.269230000005</v>
      </c>
      <c r="P182" s="46">
        <f t="shared" ca="1" si="8"/>
        <v>1.0217518761614402E-2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input_382100!A$2</f>
        <v>382100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IFERROR(VLOOKUP(B183,input_382100!L:R,7,FALSE),VLOOKUP(tables_382100!C183,input_382100!A:H,8,FALSE))</f>
        <v>2281.7307700000001</v>
      </c>
      <c r="P183" s="46">
        <f t="shared" ca="1" si="8"/>
        <v>3.312617261904762E-4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input_382100!A$2</f>
        <v>382100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IFERROR(VLOOKUP(B184,input_382100!L:R,7,FALSE),VLOOKUP(tables_382100!C184,input_382100!A:H,8,FALSE))</f>
        <v>11685</v>
      </c>
      <c r="P184" s="46">
        <f t="shared" ca="1" si="8"/>
        <v>1.6964285714285714E-3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input_382100!A$2</f>
        <v>382100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IFERROR(VLOOKUP(B185,input_382100!L:R,7,FALSE),VLOOKUP(tables_382100!C185,input_382100!A:H,8,FALSE))</f>
        <v>615</v>
      </c>
      <c r="P185" s="46">
        <f t="shared" ca="1" si="8"/>
        <v>8.9285714285714286E-5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input_382100!A$2</f>
        <v>382100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IFERROR(VLOOKUP(B186,input_382100!L:R,7,FALSE),VLOOKUP(tables_382100!C186,input_382100!A:H,8,FALSE))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input_382100!A$2</f>
        <v>382100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IFERROR(VLOOKUP(B187,input_382100!L:R,7,FALSE),VLOOKUP(tables_382100!C187,input_382100!A:H,8,FALSE))</f>
        <v>70378.269230000005</v>
      </c>
      <c r="P187" s="46">
        <f t="shared" ca="1" si="8"/>
        <v>1.0217518761614402E-2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input_382100!A$2</f>
        <v>382100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IFERROR(VLOOKUP(B188,input_382100!L:R,7,FALSE),VLOOKUP(tables_382100!C188,input_382100!A:H,8,FALSE))</f>
        <v>2281.7307700000001</v>
      </c>
      <c r="P188" s="46">
        <f t="shared" ca="1" si="8"/>
        <v>3.312617261904762E-4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input_382100!A$2</f>
        <v>382100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IFERROR(VLOOKUP(B189,input_382100!L:R,7,FALSE),VLOOKUP(tables_382100!C189,input_382100!A:H,8,FALSE))</f>
        <v>11685</v>
      </c>
      <c r="P189" s="46">
        <f t="shared" ca="1" si="8"/>
        <v>1.6964285714285714E-3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input_382100!A$2</f>
        <v>382100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IFERROR(VLOOKUP(B190,input_382100!L:R,7,FALSE),VLOOKUP(tables_382100!C190,input_382100!A:H,8,FALSE))</f>
        <v>615</v>
      </c>
      <c r="P190" s="46">
        <f t="shared" ca="1" si="8"/>
        <v>8.9285714285714286E-5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input_382100!A$2</f>
        <v>382100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IFERROR(VLOOKUP(B191,input_382100!L:R,7,FALSE),VLOOKUP(tables_382100!C191,input_382100!A:H,8,FALSE))</f>
        <v>11685</v>
      </c>
      <c r="P191" s="46">
        <f t="shared" ca="1" si="8"/>
        <v>1.6964285714285714E-3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input_382100!A$2</f>
        <v>382100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IFERROR(VLOOKUP(B192,input_382100!L:R,7,FALSE),VLOOKUP(tables_382100!C192,input_382100!A:H,8,FALSE))</f>
        <v>615</v>
      </c>
      <c r="P192" s="46">
        <f t="shared" ca="1" si="8"/>
        <v>8.9285714285714286E-5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input_382100!A$2</f>
        <v>382100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IFERROR(VLOOKUP(B193,input_382100!L:R,7,FALSE),VLOOKUP(tables_382100!C193,input_382100!A:H,8,FALSE))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input_382100!A$2</f>
        <v>382100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IFERROR(VLOOKUP(B194,input_382100!L:R,7,FALSE),VLOOKUP(tables_382100!C194,input_382100!A:H,8,FALSE))</f>
        <v>70378.269230000005</v>
      </c>
      <c r="P194" s="46">
        <f t="shared" ca="1" si="8"/>
        <v>1.0217518761614402E-2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input_382100!A$2</f>
        <v>382100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IFERROR(VLOOKUP(B195,input_382100!L:R,7,FALSE),VLOOKUP(tables_382100!C195,input_382100!A:H,8,FALSE))</f>
        <v>2281.7307700000001</v>
      </c>
      <c r="P195" s="46">
        <f t="shared" ca="1" si="8"/>
        <v>3.312617261904762E-4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input_382100!A$2</f>
        <v>382100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IFERROR(VLOOKUP(B196,input_382100!L:R,7,FALSE),VLOOKUP(tables_382100!C196,input_382100!A:H,8,FALSE))</f>
        <v>11685</v>
      </c>
      <c r="P196" s="46">
        <f t="shared" ca="1" si="8"/>
        <v>1.6964285714285714E-3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input_382100!A$2</f>
        <v>382100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IFERROR(VLOOKUP(B197,input_382100!L:R,7,FALSE),VLOOKUP(tables_382100!C197,input_382100!A:H,8,FALSE))</f>
        <v>615</v>
      </c>
      <c r="P197" s="46">
        <f t="shared" ca="1" si="8"/>
        <v>8.9285714285714286E-5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input_382100!A$2</f>
        <v>382100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IFERROR(VLOOKUP(B198,input_382100!L:R,7,FALSE),VLOOKUP(tables_382100!C198,input_382100!A:H,8,FALSE))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input_382100!A$2</f>
        <v>382100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IFERROR(VLOOKUP(B199,input_382100!L:R,7,FALSE),VLOOKUP(tables_382100!C199,input_382100!A:H,8,FALSE))</f>
        <v>70378.269230000005</v>
      </c>
      <c r="P199" s="46">
        <f t="shared" ca="1" si="8"/>
        <v>1.0217518761614402E-2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input_382100!A$2</f>
        <v>382100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IFERROR(VLOOKUP(B200,input_382100!L:R,7,FALSE),VLOOKUP(tables_382100!C200,input_382100!A:H,8,FALSE))</f>
        <v>2281.7307700000001</v>
      </c>
      <c r="P200" s="46">
        <f t="shared" ca="1" si="8"/>
        <v>3.312617261904762E-4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input_382100!A$2</f>
        <v>382100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IFERROR(VLOOKUP(B201,input_382100!L:R,7,FALSE),VLOOKUP(tables_382100!C201,input_382100!A:H,8,FALSE))</f>
        <v>11685</v>
      </c>
      <c r="P201" s="46">
        <f t="shared" ca="1" si="8"/>
        <v>1.6964285714285714E-3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input_382100!A$2</f>
        <v>382100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IFERROR(VLOOKUP(B202,input_382100!L:R,7,FALSE),VLOOKUP(tables_382100!C202,input_382100!A:H,8,FALSE))</f>
        <v>615</v>
      </c>
      <c r="P202" s="46">
        <f t="shared" ca="1" si="8"/>
        <v>8.9285714285714286E-5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input_382100!A$2</f>
        <v>382100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IFERROR(VLOOKUP(B203,input_382100!L:R,7,FALSE),VLOOKUP(tables_382100!C203,input_382100!A:H,8,FALSE))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input_382100!A$2</f>
        <v>382100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IFERROR(VLOOKUP(B204,input_382100!L:R,7,FALSE),VLOOKUP(tables_382100!C204,input_382100!A:H,8,FALSE))</f>
        <v>70378.269230000005</v>
      </c>
      <c r="P204" s="46">
        <f t="shared" ca="1" si="8"/>
        <v>1.0217518761614402E-2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input_382100!A$2</f>
        <v>382100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IFERROR(VLOOKUP(B205,input_382100!L:R,7,FALSE),VLOOKUP(tables_382100!C205,input_382100!A:H,8,FALSE))</f>
        <v>2281.7307700000001</v>
      </c>
      <c r="P205" s="46">
        <f t="shared" ca="1" si="8"/>
        <v>3.312617261904762E-4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input_382100!A$2</f>
        <v>382100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IFERROR(VLOOKUP(B206,input_382100!L:R,7,FALSE),VLOOKUP(tables_382100!C206,input_382100!A:H,8,FALSE))</f>
        <v>11685</v>
      </c>
      <c r="P206" s="46">
        <f t="shared" ca="1" si="8"/>
        <v>1.6964285714285714E-3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input_382100!A$2</f>
        <v>382100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IFERROR(VLOOKUP(B207,input_382100!L:R,7,FALSE),VLOOKUP(tables_382100!C207,input_382100!A:H,8,FALSE))</f>
        <v>615</v>
      </c>
      <c r="P207" s="46">
        <f t="shared" ref="P207:P270" ca="1" si="11">O207/SUM(O:O)</f>
        <v>8.9285714285714286E-5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input_382100!A$2</f>
        <v>382100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IFERROR(VLOOKUP(B208,input_382100!L:R,7,FALSE),VLOOKUP(tables_382100!C208,input_382100!A:H,8,FALSE))</f>
        <v>11685</v>
      </c>
      <c r="P208" s="46">
        <f t="shared" ca="1" si="11"/>
        <v>1.6964285714285714E-3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input_382100!A$2</f>
        <v>382100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IFERROR(VLOOKUP(B209,input_382100!L:R,7,FALSE),VLOOKUP(tables_382100!C209,input_382100!A:H,8,FALSE))</f>
        <v>615</v>
      </c>
      <c r="P209" s="46">
        <f t="shared" ca="1" si="11"/>
        <v>8.9285714285714286E-5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input_382100!A$2</f>
        <v>382100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IFERROR(VLOOKUP(B210,input_382100!L:R,7,FALSE),VLOOKUP(tables_382100!C210,input_382100!A:H,8,FALSE))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input_382100!A$2</f>
        <v>382100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IFERROR(VLOOKUP(B211,input_382100!L:R,7,FALSE),VLOOKUP(tables_382100!C211,input_382100!A:H,8,FALSE))</f>
        <v>70378.269230000005</v>
      </c>
      <c r="P211" s="46">
        <f t="shared" ca="1" si="11"/>
        <v>1.0217518761614402E-2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input_382100!A$2</f>
        <v>382100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IFERROR(VLOOKUP(B212,input_382100!L:R,7,FALSE),VLOOKUP(tables_382100!C212,input_382100!A:H,8,FALSE))</f>
        <v>2281.7307700000001</v>
      </c>
      <c r="P212" s="46">
        <f t="shared" ca="1" si="11"/>
        <v>3.312617261904762E-4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input_382100!A$2</f>
        <v>382100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IFERROR(VLOOKUP(B213,input_382100!L:R,7,FALSE),VLOOKUP(tables_382100!C213,input_382100!A:H,8,FALSE))</f>
        <v>11685</v>
      </c>
      <c r="P213" s="46">
        <f t="shared" ca="1" si="11"/>
        <v>1.6964285714285714E-3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input_382100!A$2</f>
        <v>382100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IFERROR(VLOOKUP(B214,input_382100!L:R,7,FALSE),VLOOKUP(tables_382100!C214,input_382100!A:H,8,FALSE))</f>
        <v>615</v>
      </c>
      <c r="P214" s="46">
        <f t="shared" ca="1" si="11"/>
        <v>8.9285714285714286E-5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input_382100!A$2</f>
        <v>382100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IFERROR(VLOOKUP(B215,input_382100!L:R,7,FALSE),VLOOKUP(tables_382100!C215,input_382100!A:H,8,FALSE))</f>
        <v>11685</v>
      </c>
      <c r="P215" s="46">
        <f t="shared" ca="1" si="11"/>
        <v>1.6964285714285714E-3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input_382100!A$2</f>
        <v>382100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IFERROR(VLOOKUP(B216,input_382100!L:R,7,FALSE),VLOOKUP(tables_382100!C216,input_382100!A:H,8,FALSE))</f>
        <v>615</v>
      </c>
      <c r="P216" s="46">
        <f t="shared" ca="1" si="11"/>
        <v>8.9285714285714286E-5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input_382100!A$2</f>
        <v>382100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IFERROR(VLOOKUP(B217,input_382100!L:R,7,FALSE),VLOOKUP(tables_382100!C217,input_382100!A:H,8,FALSE))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input_382100!A$2</f>
        <v>382100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IFERROR(VLOOKUP(B218,input_382100!L:R,7,FALSE),VLOOKUP(tables_382100!C218,input_382100!A:H,8,FALSE))</f>
        <v>70378.269230000005</v>
      </c>
      <c r="P218" s="46">
        <f t="shared" ca="1" si="11"/>
        <v>1.0217518761614402E-2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input_382100!A$2</f>
        <v>382100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IFERROR(VLOOKUP(B219,input_382100!L:R,7,FALSE),VLOOKUP(tables_382100!C219,input_382100!A:H,8,FALSE))</f>
        <v>2281.7307700000001</v>
      </c>
      <c r="P219" s="46">
        <f t="shared" ca="1" si="11"/>
        <v>3.312617261904762E-4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input_382100!A$2</f>
        <v>382100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IFERROR(VLOOKUP(B220,input_382100!L:R,7,FALSE),VLOOKUP(tables_382100!C220,input_382100!A:H,8,FALSE))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input_382100!A$2</f>
        <v>382100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IFERROR(VLOOKUP(B221,input_382100!L:R,7,FALSE),VLOOKUP(tables_382100!C221,input_382100!A:H,8,FALSE))</f>
        <v>70378.269230000005</v>
      </c>
      <c r="P221" s="46">
        <f t="shared" ca="1" si="11"/>
        <v>1.0217518761614402E-2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input_382100!A$2</f>
        <v>382100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IFERROR(VLOOKUP(B222,input_382100!L:R,7,FALSE),VLOOKUP(tables_382100!C222,input_382100!A:H,8,FALSE))</f>
        <v>2281.7307700000001</v>
      </c>
      <c r="P222" s="46">
        <f t="shared" ca="1" si="11"/>
        <v>3.312617261904762E-4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input_382100!A$2</f>
        <v>382100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IFERROR(VLOOKUP(B223,input_382100!L:R,7,FALSE),VLOOKUP(tables_382100!C223,input_382100!A:H,8,FALSE))</f>
        <v>11685</v>
      </c>
      <c r="P223" s="46">
        <f t="shared" ca="1" si="11"/>
        <v>1.6964285714285714E-3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input_382100!A$2</f>
        <v>382100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IFERROR(VLOOKUP(B224,input_382100!L:R,7,FALSE),VLOOKUP(tables_382100!C224,input_382100!A:H,8,FALSE))</f>
        <v>615</v>
      </c>
      <c r="P224" s="46">
        <f t="shared" ca="1" si="11"/>
        <v>8.9285714285714286E-5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input_382100!A$2</f>
        <v>382100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IFERROR(VLOOKUP(B225,input_382100!L:R,7,FALSE),VLOOKUP(tables_382100!C225,input_382100!A:H,8,FALSE))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input_382100!A$2</f>
        <v>382100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IFERROR(VLOOKUP(B226,input_382100!L:R,7,FALSE),VLOOKUP(tables_382100!C226,input_382100!A:H,8,FALSE))</f>
        <v>70378.269230000005</v>
      </c>
      <c r="P226" s="46">
        <f t="shared" ca="1" si="11"/>
        <v>1.0217518761614402E-2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input_382100!A$2</f>
        <v>382100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IFERROR(VLOOKUP(B227,input_382100!L:R,7,FALSE),VLOOKUP(tables_382100!C227,input_382100!A:H,8,FALSE))</f>
        <v>2281.7307700000001</v>
      </c>
      <c r="P227" s="46">
        <f t="shared" ca="1" si="11"/>
        <v>3.312617261904762E-4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input_382100!A$2</f>
        <v>382100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IFERROR(VLOOKUP(B228,input_382100!L:R,7,FALSE),VLOOKUP(tables_382100!C228,input_382100!A:H,8,FALSE))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input_382100!A$2</f>
        <v>382100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IFERROR(VLOOKUP(B229,input_382100!L:R,7,FALSE),VLOOKUP(tables_382100!C229,input_382100!A:H,8,FALSE))</f>
        <v>70378.269230000005</v>
      </c>
      <c r="P229" s="46">
        <f t="shared" ca="1" si="11"/>
        <v>1.0217518761614402E-2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input_382100!A$2</f>
        <v>382100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IFERROR(VLOOKUP(B230,input_382100!L:R,7,FALSE),VLOOKUP(tables_382100!C230,input_382100!A:H,8,FALSE))</f>
        <v>2281.7307700000001</v>
      </c>
      <c r="P230" s="46">
        <f t="shared" ca="1" si="11"/>
        <v>3.312617261904762E-4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input_382100!A$2</f>
        <v>382100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IFERROR(VLOOKUP(B231,input_382100!L:R,7,FALSE),VLOOKUP(tables_382100!C231,input_382100!A:H,8,FALSE))</f>
        <v>11685</v>
      </c>
      <c r="P231" s="46">
        <f t="shared" ca="1" si="11"/>
        <v>1.6964285714285714E-3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input_382100!A$2</f>
        <v>382100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IFERROR(VLOOKUP(B232,input_382100!L:R,7,FALSE),VLOOKUP(tables_382100!C232,input_382100!A:H,8,FALSE))</f>
        <v>615</v>
      </c>
      <c r="P232" s="46">
        <f t="shared" ca="1" si="11"/>
        <v>8.9285714285714286E-5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input_382100!A$2</f>
        <v>382100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IFERROR(VLOOKUP(B233,input_382100!L:R,7,FALSE),VLOOKUP(tables_382100!C233,input_382100!A:H,8,FALSE))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input_382100!A$2</f>
        <v>382100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IFERROR(VLOOKUP(B234,input_382100!L:R,7,FALSE),VLOOKUP(tables_382100!C234,input_382100!A:H,8,FALSE))</f>
        <v>70378.269230000005</v>
      </c>
      <c r="P234" s="46">
        <f t="shared" ca="1" si="11"/>
        <v>1.0217518761614402E-2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input_382100!A$2</f>
        <v>382100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IFERROR(VLOOKUP(B235,input_382100!L:R,7,FALSE),VLOOKUP(tables_382100!C235,input_382100!A:H,8,FALSE))</f>
        <v>2281.7307700000001</v>
      </c>
      <c r="P235" s="46">
        <f t="shared" ca="1" si="11"/>
        <v>3.312617261904762E-4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input_382100!A$2</f>
        <v>382100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IFERROR(VLOOKUP(B236,input_382100!L:R,7,FALSE),VLOOKUP(tables_382100!C236,input_382100!A:H,8,FALSE))</f>
        <v>11685</v>
      </c>
      <c r="P236" s="46">
        <f t="shared" ca="1" si="11"/>
        <v>1.6964285714285714E-3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input_382100!A$2</f>
        <v>382100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IFERROR(VLOOKUP(B237,input_382100!L:R,7,FALSE),VLOOKUP(tables_382100!C237,input_382100!A:H,8,FALSE))</f>
        <v>615</v>
      </c>
      <c r="P237" s="46">
        <f t="shared" ca="1" si="11"/>
        <v>8.9285714285714286E-5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input_382100!A$2</f>
        <v>382100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IFERROR(VLOOKUP(B238,input_382100!L:R,7,FALSE),VLOOKUP(tables_382100!C238,input_382100!A:H,8,FALSE))</f>
        <v>11685</v>
      </c>
      <c r="P238" s="46">
        <f t="shared" ca="1" si="11"/>
        <v>1.6964285714285714E-3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input_382100!A$2</f>
        <v>382100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IFERROR(VLOOKUP(B239,input_382100!L:R,7,FALSE),VLOOKUP(tables_382100!C239,input_382100!A:H,8,FALSE))</f>
        <v>615</v>
      </c>
      <c r="P239" s="46">
        <f t="shared" ca="1" si="11"/>
        <v>8.9285714285714286E-5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input_382100!A$2</f>
        <v>382100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IFERROR(VLOOKUP(B240,input_382100!L:R,7,FALSE),VLOOKUP(tables_382100!C240,input_382100!A:H,8,FALSE))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input_382100!A$2</f>
        <v>382100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IFERROR(VLOOKUP(B241,input_382100!L:R,7,FALSE),VLOOKUP(tables_382100!C241,input_382100!A:H,8,FALSE))</f>
        <v>70378.269230000005</v>
      </c>
      <c r="P241" s="46">
        <f t="shared" ca="1" si="11"/>
        <v>1.0217518761614402E-2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input_382100!A$2</f>
        <v>382100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IFERROR(VLOOKUP(B242,input_382100!L:R,7,FALSE),VLOOKUP(tables_382100!C242,input_382100!A:H,8,FALSE))</f>
        <v>2281.7307700000001</v>
      </c>
      <c r="P242" s="46">
        <f t="shared" ca="1" si="11"/>
        <v>3.312617261904762E-4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input_382100!A$2</f>
        <v>382100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IFERROR(VLOOKUP(B243,input_382100!L:R,7,FALSE),VLOOKUP(tables_382100!C243,input_382100!A:H,8,FALSE))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input_382100!A$2</f>
        <v>382100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IFERROR(VLOOKUP(B244,input_382100!L:R,7,FALSE),VLOOKUP(tables_382100!C244,input_382100!A:H,8,FALSE))</f>
        <v>70378.269230000005</v>
      </c>
      <c r="P244" s="46">
        <f t="shared" ca="1" si="11"/>
        <v>1.0217518761614402E-2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input_382100!A$2</f>
        <v>382100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IFERROR(VLOOKUP(B245,input_382100!L:R,7,FALSE),VLOOKUP(tables_382100!C245,input_382100!A:H,8,FALSE))</f>
        <v>2281.7307700000001</v>
      </c>
      <c r="P245" s="46">
        <f t="shared" ca="1" si="11"/>
        <v>3.312617261904762E-4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input_382100!A$2</f>
        <v>382100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IFERROR(VLOOKUP(B246,input_382100!L:R,7,FALSE),VLOOKUP(tables_382100!C246,input_382100!A:H,8,FALSE))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input_382100!A$2</f>
        <v>382100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IFERROR(VLOOKUP(B247,input_382100!L:R,7,FALSE),VLOOKUP(tables_382100!C247,input_382100!A:H,8,FALSE))</f>
        <v>70378.269230000005</v>
      </c>
      <c r="P247" s="46">
        <f t="shared" ca="1" si="11"/>
        <v>1.0217518761614402E-2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input_382100!A$2</f>
        <v>382100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IFERROR(VLOOKUP(B248,input_382100!L:R,7,FALSE),VLOOKUP(tables_382100!C248,input_382100!A:H,8,FALSE))</f>
        <v>2281.7307700000001</v>
      </c>
      <c r="P248" s="46">
        <f t="shared" ca="1" si="11"/>
        <v>3.312617261904762E-4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input_382100!A$2</f>
        <v>382100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IFERROR(VLOOKUP(B249,input_382100!L:R,7,FALSE),VLOOKUP(tables_382100!C249,input_382100!A:H,8,FALSE))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input_382100!A$2</f>
        <v>382100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IFERROR(VLOOKUP(B250,input_382100!L:R,7,FALSE),VLOOKUP(tables_382100!C250,input_382100!A:H,8,FALSE))</f>
        <v>70378.269230000005</v>
      </c>
      <c r="P250" s="46">
        <f t="shared" ca="1" si="11"/>
        <v>1.0217518761614402E-2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input_382100!A$2</f>
        <v>382100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IFERROR(VLOOKUP(B251,input_382100!L:R,7,FALSE),VLOOKUP(tables_382100!C251,input_382100!A:H,8,FALSE))</f>
        <v>2281.7307700000001</v>
      </c>
      <c r="P251" s="46">
        <f t="shared" ca="1" si="11"/>
        <v>3.312617261904762E-4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input_382100!A$2</f>
        <v>382100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IFERROR(VLOOKUP(B252,input_382100!L:R,7,FALSE),VLOOKUP(tables_382100!C252,input_382100!A:H,8,FALSE))</f>
        <v>11685</v>
      </c>
      <c r="P252" s="46">
        <f t="shared" ca="1" si="11"/>
        <v>1.6964285714285714E-3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input_382100!A$2</f>
        <v>382100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IFERROR(VLOOKUP(B253,input_382100!L:R,7,FALSE),VLOOKUP(tables_382100!C253,input_382100!A:H,8,FALSE))</f>
        <v>615</v>
      </c>
      <c r="P253" s="46">
        <f t="shared" ca="1" si="11"/>
        <v>8.9285714285714286E-5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input_382100!A$2</f>
        <v>382100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IFERROR(VLOOKUP(B254,input_382100!L:R,7,FALSE),VLOOKUP(tables_382100!C254,input_382100!A:H,8,FALSE))</f>
        <v>11685</v>
      </c>
      <c r="P254" s="46">
        <f t="shared" ca="1" si="11"/>
        <v>1.6964285714285714E-3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input_382100!A$2</f>
        <v>382100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IFERROR(VLOOKUP(B255,input_382100!L:R,7,FALSE),VLOOKUP(tables_382100!C255,input_382100!A:H,8,FALSE))</f>
        <v>615</v>
      </c>
      <c r="P255" s="46">
        <f t="shared" ca="1" si="11"/>
        <v>8.9285714285714286E-5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input_382100!A$2</f>
        <v>382100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IFERROR(VLOOKUP(B256,input_382100!L:R,7,FALSE),VLOOKUP(tables_382100!C256,input_382100!A:H,8,FALSE))</f>
        <v>69027</v>
      </c>
      <c r="P256" s="46">
        <f t="shared" ca="1" si="11"/>
        <v>1.0021341463414634E-2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input_382100!A$2</f>
        <v>382100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IFERROR(VLOOKUP(B257,input_382100!L:R,7,FALSE),VLOOKUP(tables_382100!C257,input_382100!A:H,8,FALSE))</f>
        <v>3633</v>
      </c>
      <c r="P257" s="46">
        <f t="shared" ca="1" si="11"/>
        <v>5.2743902439024394E-4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input_382100!A$2</f>
        <v>382100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IFERROR(VLOOKUP(B258,input_382100!L:R,7,FALSE),VLOOKUP(tables_382100!C258,input_382100!A:H,8,FALSE))</f>
        <v>69027</v>
      </c>
      <c r="P258" s="46">
        <f t="shared" ca="1" si="11"/>
        <v>1.0021341463414634E-2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input_382100!A$2</f>
        <v>382100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IFERROR(VLOOKUP(B259,input_382100!L:R,7,FALSE),VLOOKUP(tables_382100!C259,input_382100!A:H,8,FALSE))</f>
        <v>3633</v>
      </c>
      <c r="P259" s="46">
        <f t="shared" ca="1" si="11"/>
        <v>5.2743902439024394E-4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input_382100!A$2</f>
        <v>382100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IFERROR(VLOOKUP(B260,input_382100!L:R,7,FALSE),VLOOKUP(tables_382100!C260,input_382100!A:H,8,FALSE))</f>
        <v>12300</v>
      </c>
      <c r="P260" s="46">
        <f t="shared" ca="1" si="11"/>
        <v>1.7857142857142857E-3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input_382100!A$2</f>
        <v>382100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IFERROR(VLOOKUP(B261,input_382100!L:R,7,FALSE),VLOOKUP(tables_382100!C261,input_382100!A:H,8,FALSE))</f>
        <v>12300</v>
      </c>
      <c r="P261" s="46">
        <f t="shared" ca="1" si="11"/>
        <v>1.7857142857142857E-3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input_382100!A$2</f>
        <v>382100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IFERROR(VLOOKUP(B262,input_382100!L:R,7,FALSE),VLOOKUP(tables_382100!C262,input_382100!A:H,8,FALSE))</f>
        <v>11685</v>
      </c>
      <c r="P262" s="46">
        <f t="shared" ca="1" si="11"/>
        <v>1.6964285714285714E-3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input_382100!A$2</f>
        <v>382100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IFERROR(VLOOKUP(B263,input_382100!L:R,7,FALSE),VLOOKUP(tables_382100!C263,input_382100!A:H,8,FALSE))</f>
        <v>615</v>
      </c>
      <c r="P263" s="46">
        <f t="shared" ca="1" si="11"/>
        <v>8.9285714285714286E-5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input_382100!A$2</f>
        <v>382100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IFERROR(VLOOKUP(B264,input_382100!L:R,7,FALSE),VLOOKUP(tables_382100!C264,input_382100!A:H,8,FALSE))</f>
        <v>11685</v>
      </c>
      <c r="P264" s="46">
        <f t="shared" ca="1" si="11"/>
        <v>1.6964285714285714E-3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input_382100!A$2</f>
        <v>382100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IFERROR(VLOOKUP(B265,input_382100!L:R,7,FALSE),VLOOKUP(tables_382100!C265,input_382100!A:H,8,FALSE))</f>
        <v>615</v>
      </c>
      <c r="P265" s="46">
        <f t="shared" ca="1" si="11"/>
        <v>8.9285714285714286E-5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input_382100!A$2</f>
        <v>382100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IFERROR(VLOOKUP(B266,input_382100!L:R,7,FALSE),VLOOKUP(tables_382100!C266,input_382100!A:H,8,FALSE))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input_382100!A$2</f>
        <v>382100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IFERROR(VLOOKUP(B267,input_382100!L:R,7,FALSE),VLOOKUP(tables_382100!C267,input_382100!A:H,8,FALSE))</f>
        <v>70378.269230000005</v>
      </c>
      <c r="P267" s="46">
        <f t="shared" ca="1" si="11"/>
        <v>1.0217518761614402E-2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input_382100!A$2</f>
        <v>382100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IFERROR(VLOOKUP(B268,input_382100!L:R,7,FALSE),VLOOKUP(tables_382100!C268,input_382100!A:H,8,FALSE))</f>
        <v>2281.7307700000001</v>
      </c>
      <c r="P268" s="46">
        <f t="shared" ca="1" si="11"/>
        <v>3.312617261904762E-4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input_382100!A$2</f>
        <v>382100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IFERROR(VLOOKUP(B269,input_382100!L:R,7,FALSE),VLOOKUP(tables_382100!C269,input_382100!A:H,8,FALSE))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input_382100!A$2</f>
        <v>382100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IFERROR(VLOOKUP(B270,input_382100!L:R,7,FALSE),VLOOKUP(tables_382100!C270,input_382100!A:H,8,FALSE))</f>
        <v>70378.269230000005</v>
      </c>
      <c r="P270" s="46">
        <f t="shared" ca="1" si="11"/>
        <v>1.0217518761614402E-2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input_382100!A$2</f>
        <v>382100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IFERROR(VLOOKUP(B271,input_382100!L:R,7,FALSE),VLOOKUP(tables_382100!C271,input_382100!A:H,8,FALSE))</f>
        <v>2281.7307700000001</v>
      </c>
      <c r="P271" s="46">
        <f t="shared" ref="P271:P334" ca="1" si="14">O271/SUM(O:O)</f>
        <v>3.312617261904762E-4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input_382100!A$2</f>
        <v>382100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IFERROR(VLOOKUP(B272,input_382100!L:R,7,FALSE),VLOOKUP(tables_382100!C272,input_382100!A:H,8,FALSE))</f>
        <v>12300</v>
      </c>
      <c r="P272" s="46">
        <f t="shared" ca="1" si="14"/>
        <v>1.7857142857142857E-3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input_382100!A$2</f>
        <v>382100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IFERROR(VLOOKUP(B273,input_382100!L:R,7,FALSE),VLOOKUP(tables_382100!C273,input_382100!A:H,8,FALSE))</f>
        <v>12300</v>
      </c>
      <c r="P273" s="46">
        <f t="shared" ca="1" si="14"/>
        <v>1.7857142857142857E-3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input_382100!A$2</f>
        <v>382100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IFERROR(VLOOKUP(B274,input_382100!L:R,7,FALSE),VLOOKUP(tables_382100!C274,input_382100!A:H,8,FALSE))</f>
        <v>69027</v>
      </c>
      <c r="P274" s="46">
        <f t="shared" ca="1" si="14"/>
        <v>1.0021341463414634E-2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input_382100!A$2</f>
        <v>382100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IFERROR(VLOOKUP(B275,input_382100!L:R,7,FALSE),VLOOKUP(tables_382100!C275,input_382100!A:H,8,FALSE))</f>
        <v>3633</v>
      </c>
      <c r="P275" s="46">
        <f t="shared" ca="1" si="14"/>
        <v>5.2743902439024394E-4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input_382100!A$2</f>
        <v>382100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IFERROR(VLOOKUP(B276,input_382100!L:R,7,FALSE),VLOOKUP(tables_382100!C276,input_382100!A:H,8,FALSE))</f>
        <v>69027</v>
      </c>
      <c r="P276" s="46">
        <f t="shared" ca="1" si="14"/>
        <v>1.0021341463414634E-2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input_382100!A$2</f>
        <v>382100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IFERROR(VLOOKUP(B277,input_382100!L:R,7,FALSE),VLOOKUP(tables_382100!C277,input_382100!A:H,8,FALSE))</f>
        <v>3633</v>
      </c>
      <c r="P277" s="46">
        <f t="shared" ca="1" si="14"/>
        <v>5.2743902439024394E-4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input_382100!A$2</f>
        <v>382100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IFERROR(VLOOKUP(B278,input_382100!L:R,7,FALSE),VLOOKUP(tables_382100!C278,input_382100!A:H,8,FALSE))</f>
        <v>69027</v>
      </c>
      <c r="P278" s="46">
        <f t="shared" ca="1" si="14"/>
        <v>1.0021341463414634E-2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input_382100!A$2</f>
        <v>382100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IFERROR(VLOOKUP(B279,input_382100!L:R,7,FALSE),VLOOKUP(tables_382100!C279,input_382100!A:H,8,FALSE))</f>
        <v>3633</v>
      </c>
      <c r="P279" s="46">
        <f t="shared" ca="1" si="14"/>
        <v>5.2743902439024394E-4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input_382100!A$2</f>
        <v>382100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IFERROR(VLOOKUP(B280,input_382100!L:R,7,FALSE),VLOOKUP(tables_382100!C280,input_382100!A:H,8,FALSE))</f>
        <v>69027</v>
      </c>
      <c r="P280" s="46">
        <f t="shared" ca="1" si="14"/>
        <v>1.0021341463414634E-2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input_382100!A$2</f>
        <v>382100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IFERROR(VLOOKUP(B281,input_382100!L:R,7,FALSE),VLOOKUP(tables_382100!C281,input_382100!A:H,8,FALSE))</f>
        <v>3633</v>
      </c>
      <c r="P281" s="46">
        <f t="shared" ca="1" si="14"/>
        <v>5.2743902439024394E-4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input_382100!A$2</f>
        <v>382100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IFERROR(VLOOKUP(B282,input_382100!L:R,7,FALSE),VLOOKUP(tables_382100!C282,input_382100!A:H,8,FALSE))</f>
        <v>12300</v>
      </c>
      <c r="P282" s="46">
        <f t="shared" ca="1" si="14"/>
        <v>1.7857142857142857E-3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input_382100!A$2</f>
        <v>382100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IFERROR(VLOOKUP(B283,input_382100!L:R,7,FALSE),VLOOKUP(tables_382100!C283,input_382100!A:H,8,FALSE))</f>
        <v>12300</v>
      </c>
      <c r="P283" s="46">
        <f t="shared" ca="1" si="14"/>
        <v>1.7857142857142857E-3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input_382100!A$2</f>
        <v>382100</v>
      </c>
      <c r="B284" s="88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IFERROR(VLOOKUP(B284,input_382100!L:R,7,FALSE),VLOOKUP(tables_382100!C284,input_382100!A:H,8,FALSE))</f>
        <v>12300</v>
      </c>
      <c r="P284" s="46">
        <f t="shared" ca="1" si="14"/>
        <v>1.7857142857142857E-3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input_382100!A$2</f>
        <v>382100</v>
      </c>
      <c r="B285" s="88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IFERROR(VLOOKUP(B285,input_382100!L:R,7,FALSE),VLOOKUP(tables_382100!C285,input_382100!A:H,8,FALSE))</f>
        <v>12300</v>
      </c>
      <c r="P285" s="46">
        <f t="shared" ca="1" si="14"/>
        <v>1.7857142857142857E-3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input_382100!A$2</f>
        <v>382100</v>
      </c>
      <c r="B286" s="88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IFERROR(VLOOKUP(B286,input_382100!L:R,7,FALSE),VLOOKUP(tables_382100!C286,input_382100!A:H,8,FALSE))</f>
        <v>69027</v>
      </c>
      <c r="P286" s="46">
        <f t="shared" ca="1" si="14"/>
        <v>1.0021341463414634E-2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input_382100!A$2</f>
        <v>382100</v>
      </c>
      <c r="B287" s="88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IFERROR(VLOOKUP(B287,input_382100!L:R,7,FALSE),VLOOKUP(tables_382100!C287,input_382100!A:H,8,FALSE))</f>
        <v>3633</v>
      </c>
      <c r="P287" s="46">
        <f t="shared" ca="1" si="14"/>
        <v>5.2743902439024394E-4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input_382100!A$2</f>
        <v>382100</v>
      </c>
      <c r="B288" s="88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IFERROR(VLOOKUP(B288,input_382100!L:R,7,FALSE),VLOOKUP(tables_382100!C288,input_382100!A:H,8,FALSE))</f>
        <v>69027</v>
      </c>
      <c r="P288" s="46">
        <f t="shared" ca="1" si="14"/>
        <v>1.0021341463414634E-2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input_382100!A$2</f>
        <v>382100</v>
      </c>
      <c r="B289" s="88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IFERROR(VLOOKUP(B289,input_382100!L:R,7,FALSE),VLOOKUP(tables_382100!C289,input_382100!A:H,8,FALSE))</f>
        <v>3633</v>
      </c>
      <c r="P289" s="46">
        <f t="shared" ca="1" si="14"/>
        <v>5.2743902439024394E-4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input_382100!A$2</f>
        <v>382100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IFERROR(VLOOKUP(B290,input_382100!L:R,7,FALSE),VLOOKUP(tables_382100!C290,input_382100!A:H,8,FALSE))</f>
        <v>12300</v>
      </c>
      <c r="P290" s="46">
        <f t="shared" ca="1" si="14"/>
        <v>1.7857142857142857E-3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input_382100!A$2</f>
        <v>382100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IFERROR(VLOOKUP(B291,input_382100!L:R,7,FALSE),VLOOKUP(tables_382100!C291,input_382100!A:H,8,FALSE))</f>
        <v>69027</v>
      </c>
      <c r="P291" s="46">
        <f t="shared" ca="1" si="14"/>
        <v>1.0021341463414634E-2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input_382100!A$2</f>
        <v>382100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IFERROR(VLOOKUP(B292,input_382100!L:R,7,FALSE),VLOOKUP(tables_382100!C292,input_382100!A:H,8,FALSE))</f>
        <v>3633</v>
      </c>
      <c r="P292" s="46">
        <f t="shared" ca="1" si="14"/>
        <v>5.2743902439024394E-4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input_382100!A$2</f>
        <v>382100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IFERROR(VLOOKUP(B293,input_382100!L:R,7,FALSE),VLOOKUP(tables_382100!C293,input_382100!A:H,8,FALSE))</f>
        <v>12300</v>
      </c>
      <c r="P293" s="46">
        <f t="shared" ca="1" si="14"/>
        <v>1.7857142857142857E-3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input_382100!A$2</f>
        <v>382100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IFERROR(VLOOKUP(B294,input_382100!L:R,7,FALSE),VLOOKUP(tables_382100!C294,input_382100!A:H,8,FALSE))</f>
        <v>12300</v>
      </c>
      <c r="P294" s="46">
        <f t="shared" ca="1" si="14"/>
        <v>1.7857142857142857E-3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input_382100!A$2</f>
        <v>382100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IFERROR(VLOOKUP(B295,input_382100!L:R,7,FALSE),VLOOKUP(tables_382100!C295,input_382100!A:H,8,FALSE))</f>
        <v>12300</v>
      </c>
      <c r="P295" s="46">
        <f t="shared" ref="P295:P299" ca="1" si="25">O295/SUM(O:O)</f>
        <v>1.7857142857142857E-3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input_382100!A$2</f>
        <v>382100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IFERROR(VLOOKUP(B296,input_382100!L:R,7,FALSE),VLOOKUP(tables_382100!C296,input_382100!A:H,8,FALSE))</f>
        <v>12300</v>
      </c>
      <c r="P296" s="46">
        <f t="shared" ca="1" si="25"/>
        <v>1.7857142857142857E-3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input_382100!A$2</f>
        <v>382100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IFERROR(VLOOKUP(B297,input_382100!L:R,7,FALSE),VLOOKUP(tables_382100!C297,input_382100!A:H,8,FALSE))</f>
        <v>69027</v>
      </c>
      <c r="P297" s="46">
        <f t="shared" ca="1" si="25"/>
        <v>1.0021341463414634E-2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input_382100!A$2</f>
        <v>382100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IFERROR(VLOOKUP(B298,input_382100!L:R,7,FALSE),VLOOKUP(tables_382100!C298,input_382100!A:H,8,FALSE))</f>
        <v>3633</v>
      </c>
      <c r="P298" s="46">
        <f t="shared" ca="1" si="25"/>
        <v>5.2743902439024394E-4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input_382100!A$2</f>
        <v>382100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IFERROR(VLOOKUP(B299,input_382100!L:R,7,FALSE),VLOOKUP(tables_382100!C299,input_382100!A:H,8,FALSE))</f>
        <v>12300</v>
      </c>
      <c r="P299" s="46">
        <f t="shared" ca="1" si="25"/>
        <v>1.7857142857142857E-3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09"/>
  <sheetViews>
    <sheetView showGridLines="0" topLeftCell="B1" zoomScale="75" zoomScaleNormal="75" zoomScalePageLayoutView="75" workbookViewId="0">
      <pane ySplit="1" topLeftCell="A2" activePane="bottomLeft" state="frozen"/>
      <selection activeCell="D34" sqref="D34"/>
      <selection pane="bottomLeft" activeCell="A6" sqref="A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4" t="s">
        <v>251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ROUND(IF(D2="PremiumSS",0.075/COUNTIF(D:D,"PremiumSS"),0.915/COUNTIF(D:D,"Premium"))*100000,0)</f>
        <v>1408</v>
      </c>
      <c r="P2" s="46">
        <f>O2/SUM(O:O)</f>
        <v>1.4078873690104791E-2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4" t="s">
        <v>251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2">ROUND(IF(D3="PremiumSS",0.075/COUNTIF(D:D,"PremiumSS"),0.915/COUNTIF(D:D,"Premium"))*100000,0)</f>
        <v>1408</v>
      </c>
      <c r="P3" s="46">
        <f>O3/SUM(O:O)</f>
        <v>1.4078873690104791E-2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4" t="s">
        <v>251</v>
      </c>
      <c r="B4" s="6">
        <v>174</v>
      </c>
      <c r="C4" s="7" t="str">
        <f t="shared" ref="C4:C6" si="3">D4&amp;J4&amp;E4&amp;F4&amp;G4</f>
        <v>Premium5R6release</v>
      </c>
      <c r="D4" s="7" t="str">
        <f t="shared" ref="D4:D6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2"/>
        <v>1408</v>
      </c>
      <c r="P4" s="46">
        <f>O4/SUM(O:O)</f>
        <v>1.4078873690104791E-2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4" t="s">
        <v>251</v>
      </c>
      <c r="B5" s="6">
        <v>177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1408</v>
      </c>
      <c r="P5" s="46">
        <f>O5/SUM(O:O)</f>
        <v>1.4078873690104791E-2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4" t="s">
        <v>251</v>
      </c>
      <c r="B6" s="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1408</v>
      </c>
      <c r="P6" s="46">
        <f>O6/SUM(O:O)</f>
        <v>1.4078873690104791E-2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4" t="s">
        <v>251</v>
      </c>
      <c r="B7" s="6">
        <v>183</v>
      </c>
      <c r="C7" s="7" t="str">
        <f t="shared" ref="C7:C70" si="5">D7&amp;J7&amp;E7&amp;F7&amp;G7</f>
        <v>Premium5</v>
      </c>
      <c r="D7" s="7" t="str">
        <f t="shared" ref="D7:D70" si="6">IF(I7="PremiumSS",I7,IF(I7="PremiumSSS",I7,IF(I7="PremiumW",I7,"Premium")))</f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1408</v>
      </c>
      <c r="P7" s="46">
        <f t="shared" ref="P7:P70" si="7">O7/SUM(O:O)</f>
        <v>1.4078873690104791E-2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4" t="s">
        <v>251</v>
      </c>
      <c r="B8" s="8">
        <v>186</v>
      </c>
      <c r="C8" s="7" t="str">
        <f t="shared" si="5"/>
        <v>Premium5</v>
      </c>
      <c r="D8" s="7" t="str">
        <f t="shared" si="6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1408</v>
      </c>
      <c r="P8" s="46">
        <f t="shared" si="7"/>
        <v>1.4078873690104791E-2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4" t="s">
        <v>251</v>
      </c>
      <c r="B9" s="8">
        <v>189</v>
      </c>
      <c r="C9" s="7" t="str">
        <f t="shared" si="5"/>
        <v>Premium5</v>
      </c>
      <c r="D9" s="7" t="str">
        <f t="shared" si="6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1408</v>
      </c>
      <c r="P9" s="46">
        <f t="shared" si="7"/>
        <v>1.4078873690104791E-2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4" t="s">
        <v>251</v>
      </c>
      <c r="B10" s="6">
        <v>192</v>
      </c>
      <c r="C10" s="7" t="str">
        <f t="shared" si="5"/>
        <v>Premium5</v>
      </c>
      <c r="D10" s="7" t="str">
        <f t="shared" si="6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1408</v>
      </c>
      <c r="P10" s="46">
        <f t="shared" si="7"/>
        <v>1.4078873690104791E-2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4" t="s">
        <v>251</v>
      </c>
      <c r="B11" s="6">
        <v>195</v>
      </c>
      <c r="C11" s="7" t="str">
        <f t="shared" si="5"/>
        <v>Premium5</v>
      </c>
      <c r="D11" s="7" t="str">
        <f t="shared" si="6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1408</v>
      </c>
      <c r="P11" s="46">
        <f t="shared" si="7"/>
        <v>1.4078873690104791E-2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4" t="s">
        <v>251</v>
      </c>
      <c r="B12" s="6">
        <v>198</v>
      </c>
      <c r="C12" s="7" t="str">
        <f t="shared" si="5"/>
        <v>Premium5</v>
      </c>
      <c r="D12" s="7" t="str">
        <f t="shared" si="6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1408</v>
      </c>
      <c r="P12" s="46">
        <f t="shared" si="7"/>
        <v>1.4078873690104791E-2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4" t="s">
        <v>251</v>
      </c>
      <c r="B13" s="5">
        <v>201</v>
      </c>
      <c r="C13" s="7" t="str">
        <f t="shared" si="5"/>
        <v>Premium5</v>
      </c>
      <c r="D13" s="7" t="str">
        <f t="shared" si="6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1408</v>
      </c>
      <c r="P13" s="46">
        <f t="shared" si="7"/>
        <v>1.4078873690104791E-2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4" t="s">
        <v>251</v>
      </c>
      <c r="B14" s="5">
        <v>204</v>
      </c>
      <c r="C14" s="7" t="str">
        <f t="shared" si="5"/>
        <v>Premium5</v>
      </c>
      <c r="D14" s="7" t="str">
        <f t="shared" si="6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1408</v>
      </c>
      <c r="P14" s="46">
        <f t="shared" si="7"/>
        <v>1.4078873690104791E-2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4" t="s">
        <v>251</v>
      </c>
      <c r="B15" s="5">
        <v>207</v>
      </c>
      <c r="C15" s="7" t="str">
        <f t="shared" si="5"/>
        <v>Premium5</v>
      </c>
      <c r="D15" s="7" t="str">
        <f t="shared" si="6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1408</v>
      </c>
      <c r="P15" s="46">
        <f t="shared" si="7"/>
        <v>1.4078873690104791E-2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4" t="s">
        <v>251</v>
      </c>
      <c r="B16" s="5">
        <v>210</v>
      </c>
      <c r="C16" s="7" t="str">
        <f t="shared" si="5"/>
        <v>Premium5</v>
      </c>
      <c r="D16" s="7" t="str">
        <f t="shared" si="6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1408</v>
      </c>
      <c r="P16" s="46">
        <f t="shared" si="7"/>
        <v>1.4078873690104791E-2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4" t="s">
        <v>251</v>
      </c>
      <c r="B17" s="5">
        <v>213</v>
      </c>
      <c r="C17" s="7" t="str">
        <f t="shared" si="5"/>
        <v>Premium5</v>
      </c>
      <c r="D17" s="7" t="str">
        <f t="shared" si="6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1408</v>
      </c>
      <c r="P17" s="46">
        <f t="shared" si="7"/>
        <v>1.4078873690104791E-2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4" t="s">
        <v>251</v>
      </c>
      <c r="B18" s="5">
        <v>216</v>
      </c>
      <c r="C18" s="7" t="str">
        <f t="shared" si="5"/>
        <v>Premium5</v>
      </c>
      <c r="D18" s="7" t="str">
        <f t="shared" si="6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1408</v>
      </c>
      <c r="P18" s="46">
        <f t="shared" si="7"/>
        <v>1.4078873690104791E-2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4" t="s">
        <v>251</v>
      </c>
      <c r="B19" s="5">
        <v>219</v>
      </c>
      <c r="C19" s="7" t="str">
        <f t="shared" si="5"/>
        <v>Premium5</v>
      </c>
      <c r="D19" s="7" t="str">
        <f t="shared" si="6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1408</v>
      </c>
      <c r="P19" s="46">
        <f t="shared" si="7"/>
        <v>1.4078873690104791E-2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4" t="s">
        <v>251</v>
      </c>
      <c r="B20" s="5">
        <v>222</v>
      </c>
      <c r="C20" s="7" t="str">
        <f t="shared" si="5"/>
        <v>Premium5</v>
      </c>
      <c r="D20" s="7" t="str">
        <f t="shared" si="6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1408</v>
      </c>
      <c r="P20" s="46">
        <f t="shared" si="7"/>
        <v>1.4078873690104791E-2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4" t="s">
        <v>251</v>
      </c>
      <c r="B21" s="5">
        <v>225</v>
      </c>
      <c r="C21" s="7" t="str">
        <f t="shared" si="5"/>
        <v>Premium5</v>
      </c>
      <c r="D21" s="7" t="str">
        <f t="shared" si="6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1408</v>
      </c>
      <c r="P21" s="46">
        <f t="shared" si="7"/>
        <v>1.4078873690104791E-2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4" t="s">
        <v>251</v>
      </c>
      <c r="B22" s="5">
        <v>228</v>
      </c>
      <c r="C22" s="7" t="str">
        <f t="shared" si="5"/>
        <v>Premium5</v>
      </c>
      <c r="D22" s="7" t="str">
        <f t="shared" si="6"/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1408</v>
      </c>
      <c r="P22" s="46">
        <f t="shared" si="7"/>
        <v>1.4078873690104791E-2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4" t="s">
        <v>251</v>
      </c>
      <c r="B23" s="5">
        <v>231</v>
      </c>
      <c r="C23" s="7" t="str">
        <f t="shared" si="5"/>
        <v>Premium5</v>
      </c>
      <c r="D23" s="7" t="str">
        <f t="shared" si="6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1408</v>
      </c>
      <c r="P23" s="46">
        <f t="shared" si="7"/>
        <v>1.4078873690104791E-2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4" t="s">
        <v>251</v>
      </c>
      <c r="B24" s="5">
        <v>234</v>
      </c>
      <c r="C24" s="7" t="str">
        <f t="shared" si="5"/>
        <v>Premium5</v>
      </c>
      <c r="D24" s="7" t="str">
        <f t="shared" si="6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1408</v>
      </c>
      <c r="P24" s="46">
        <f t="shared" si="7"/>
        <v>1.4078873690104791E-2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4" t="s">
        <v>251</v>
      </c>
      <c r="B25" s="5">
        <v>237</v>
      </c>
      <c r="C25" s="7" t="str">
        <f t="shared" si="5"/>
        <v>Premium5R6release</v>
      </c>
      <c r="D25" s="7" t="str">
        <f t="shared" si="6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1408</v>
      </c>
      <c r="P25" s="46">
        <f t="shared" si="7"/>
        <v>1.4078873690104791E-2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4" t="s">
        <v>251</v>
      </c>
      <c r="B26" s="5">
        <v>240</v>
      </c>
      <c r="C26" s="7" t="str">
        <f t="shared" si="5"/>
        <v>Premium5</v>
      </c>
      <c r="D26" s="7" t="str">
        <f t="shared" si="6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1408</v>
      </c>
      <c r="P26" s="46">
        <f t="shared" si="7"/>
        <v>1.4078873690104791E-2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4" t="s">
        <v>251</v>
      </c>
      <c r="B27" s="5">
        <v>243</v>
      </c>
      <c r="C27" s="7" t="str">
        <f t="shared" si="5"/>
        <v>Premium5</v>
      </c>
      <c r="D27" s="7" t="str">
        <f t="shared" si="6"/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1408</v>
      </c>
      <c r="P27" s="46">
        <f t="shared" si="7"/>
        <v>1.4078873690104791E-2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4" t="s">
        <v>251</v>
      </c>
      <c r="B28" s="5">
        <v>246</v>
      </c>
      <c r="C28" s="7" t="str">
        <f t="shared" si="5"/>
        <v>Premium5</v>
      </c>
      <c r="D28" s="7" t="str">
        <f t="shared" si="6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1408</v>
      </c>
      <c r="P28" s="46">
        <f t="shared" si="7"/>
        <v>1.4078873690104791E-2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4" t="s">
        <v>251</v>
      </c>
      <c r="B29" s="6">
        <v>249</v>
      </c>
      <c r="C29" s="7" t="str">
        <f t="shared" si="5"/>
        <v>Premium5</v>
      </c>
      <c r="D29" s="7" t="str">
        <f t="shared" si="6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1408</v>
      </c>
      <c r="P29" s="46">
        <f t="shared" si="7"/>
        <v>1.4078873690104791E-2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4" t="s">
        <v>251</v>
      </c>
      <c r="B30" s="6">
        <v>252</v>
      </c>
      <c r="C30" s="7" t="str">
        <f t="shared" si="5"/>
        <v>Premium5</v>
      </c>
      <c r="D30" s="7" t="str">
        <f t="shared" si="6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1408</v>
      </c>
      <c r="P30" s="46">
        <f t="shared" si="7"/>
        <v>1.4078873690104791E-2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4" t="s">
        <v>251</v>
      </c>
      <c r="B31" s="6">
        <v>255</v>
      </c>
      <c r="C31" s="7" t="str">
        <f t="shared" si="5"/>
        <v>Premium5</v>
      </c>
      <c r="D31" s="7" t="str">
        <f t="shared" si="6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1408</v>
      </c>
      <c r="P31" s="46">
        <f t="shared" si="7"/>
        <v>1.4078873690104791E-2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4" t="s">
        <v>251</v>
      </c>
      <c r="B32" s="6">
        <v>258</v>
      </c>
      <c r="C32" s="7" t="str">
        <f t="shared" si="5"/>
        <v>Premium5</v>
      </c>
      <c r="D32" s="7" t="str">
        <f t="shared" si="6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1408</v>
      </c>
      <c r="P32" s="46">
        <f t="shared" si="7"/>
        <v>1.4078873690104791E-2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4" t="s">
        <v>251</v>
      </c>
      <c r="B33" s="8">
        <v>261</v>
      </c>
      <c r="C33" s="7" t="str">
        <f t="shared" si="5"/>
        <v>Premium5</v>
      </c>
      <c r="D33" s="7" t="str">
        <f t="shared" si="6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1408</v>
      </c>
      <c r="P33" s="46">
        <f t="shared" si="7"/>
        <v>1.4078873690104791E-2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4" t="s">
        <v>251</v>
      </c>
      <c r="B34" s="6">
        <v>321</v>
      </c>
      <c r="C34" s="7" t="str">
        <f t="shared" si="5"/>
        <v>PremiumSS5</v>
      </c>
      <c r="D34" s="7" t="str">
        <f t="shared" si="6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192</v>
      </c>
      <c r="P34" s="46">
        <f t="shared" si="7"/>
        <v>1.919846412287017E-3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4" t="s">
        <v>251</v>
      </c>
      <c r="B35" s="6">
        <v>323</v>
      </c>
      <c r="C35" s="7" t="str">
        <f t="shared" si="5"/>
        <v>PremiumSS5</v>
      </c>
      <c r="D35" s="7" t="str">
        <f t="shared" si="6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192</v>
      </c>
      <c r="P35" s="46">
        <f t="shared" si="7"/>
        <v>1.919846412287017E-3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4" t="s">
        <v>251</v>
      </c>
      <c r="B36" s="6">
        <v>325</v>
      </c>
      <c r="C36" s="7" t="str">
        <f t="shared" si="5"/>
        <v>PremiumSS5</v>
      </c>
      <c r="D36" s="7" t="str">
        <f t="shared" si="6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192</v>
      </c>
      <c r="P36" s="46">
        <f t="shared" si="7"/>
        <v>1.919846412287017E-3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4" t="s">
        <v>251</v>
      </c>
      <c r="B37" s="6">
        <v>327</v>
      </c>
      <c r="C37" s="7" t="str">
        <f t="shared" si="5"/>
        <v>PremiumSS5</v>
      </c>
      <c r="D37" s="7" t="str">
        <f t="shared" si="6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192</v>
      </c>
      <c r="P37" s="46">
        <f t="shared" si="7"/>
        <v>1.919846412287017E-3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4" t="s">
        <v>251</v>
      </c>
      <c r="B38" s="6">
        <v>382</v>
      </c>
      <c r="C38" s="7" t="str">
        <f t="shared" si="5"/>
        <v>Premium5</v>
      </c>
      <c r="D38" s="7" t="str">
        <f t="shared" si="6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1408</v>
      </c>
      <c r="P38" s="46">
        <f t="shared" si="7"/>
        <v>1.4078873690104791E-2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4" t="s">
        <v>251</v>
      </c>
      <c r="B39" s="6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192</v>
      </c>
      <c r="P39" s="46">
        <f t="shared" si="7"/>
        <v>1.919846412287017E-3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4" t="s">
        <v>251</v>
      </c>
      <c r="B40" s="6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192</v>
      </c>
      <c r="P40" s="46">
        <f t="shared" si="7"/>
        <v>1.919846412287017E-3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4" t="s">
        <v>251</v>
      </c>
      <c r="B41" s="6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1408</v>
      </c>
      <c r="P41" s="46">
        <f t="shared" si="7"/>
        <v>1.4078873690104791E-2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4" t="s">
        <v>251</v>
      </c>
      <c r="B42" s="6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192</v>
      </c>
      <c r="P42" s="46">
        <f t="shared" si="7"/>
        <v>1.919846412287017E-3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4" t="s">
        <v>251</v>
      </c>
      <c r="B43" s="6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1408</v>
      </c>
      <c r="P43" s="46">
        <f t="shared" si="7"/>
        <v>1.4078873690104791E-2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4" t="s">
        <v>251</v>
      </c>
      <c r="B44" s="6">
        <v>397</v>
      </c>
      <c r="C44" s="7" t="str">
        <f t="shared" si="5"/>
        <v>Premium5</v>
      </c>
      <c r="D44" s="7" t="str">
        <f t="shared" si="6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1408</v>
      </c>
      <c r="P44" s="46">
        <f t="shared" si="7"/>
        <v>1.4078873690104791E-2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4" t="s">
        <v>251</v>
      </c>
      <c r="B45" s="6">
        <v>399</v>
      </c>
      <c r="C45" s="7" t="str">
        <f t="shared" si="5"/>
        <v>PremiumSS5</v>
      </c>
      <c r="D45" s="7" t="str">
        <f t="shared" si="6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192</v>
      </c>
      <c r="P45" s="46">
        <f t="shared" si="7"/>
        <v>1.919846412287017E-3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4" t="s">
        <v>251</v>
      </c>
      <c r="B46" s="6">
        <v>402</v>
      </c>
      <c r="C46" s="7" t="str">
        <f t="shared" si="5"/>
        <v>Premium5</v>
      </c>
      <c r="D46" s="7" t="str">
        <f t="shared" si="6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1408</v>
      </c>
      <c r="P46" s="46">
        <f t="shared" si="7"/>
        <v>1.4078873690104791E-2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4" t="s">
        <v>251</v>
      </c>
      <c r="B47" s="6">
        <v>404</v>
      </c>
      <c r="C47" s="7" t="str">
        <f t="shared" si="5"/>
        <v>PremiumSS5</v>
      </c>
      <c r="D47" s="7" t="str">
        <f t="shared" si="6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192</v>
      </c>
      <c r="P47" s="46">
        <f t="shared" si="7"/>
        <v>1.919846412287017E-3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4" t="s">
        <v>251</v>
      </c>
      <c r="B48" s="6">
        <v>407</v>
      </c>
      <c r="C48" s="7" t="str">
        <f t="shared" si="5"/>
        <v>Premium5</v>
      </c>
      <c r="D48" s="7" t="str">
        <f t="shared" si="6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1408</v>
      </c>
      <c r="P48" s="46">
        <f t="shared" si="7"/>
        <v>1.4078873690104791E-2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4" t="s">
        <v>251</v>
      </c>
      <c r="B49" s="6">
        <v>409</v>
      </c>
      <c r="C49" s="7" t="str">
        <f t="shared" si="5"/>
        <v>PremiumSS5</v>
      </c>
      <c r="D49" s="7" t="str">
        <f t="shared" si="6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192</v>
      </c>
      <c r="P49" s="46">
        <f t="shared" si="7"/>
        <v>1.919846412287017E-3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4" t="s">
        <v>251</v>
      </c>
      <c r="B50" s="6">
        <v>435</v>
      </c>
      <c r="C50" s="7" t="str">
        <f t="shared" si="5"/>
        <v>PremiumSS5</v>
      </c>
      <c r="D50" s="7" t="str">
        <f t="shared" si="6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192</v>
      </c>
      <c r="P50" s="46">
        <f t="shared" si="7"/>
        <v>1.919846412287017E-3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4" t="s">
        <v>251</v>
      </c>
      <c r="B51" s="6">
        <v>438</v>
      </c>
      <c r="C51" s="7" t="str">
        <f t="shared" si="5"/>
        <v>Premium5</v>
      </c>
      <c r="D51" s="7" t="str">
        <f t="shared" si="6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2"/>
        <v>1408</v>
      </c>
      <c r="P51" s="46">
        <f t="shared" si="7"/>
        <v>1.4078873690104791E-2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4" t="s">
        <v>251</v>
      </c>
      <c r="B52" s="6">
        <v>441</v>
      </c>
      <c r="C52" s="7" t="str">
        <f t="shared" si="5"/>
        <v>Premium5</v>
      </c>
      <c r="D52" s="7" t="str">
        <f t="shared" si="6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1408</v>
      </c>
      <c r="P52" s="46">
        <f t="shared" si="7"/>
        <v>1.4078873690104791E-2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4" t="s">
        <v>251</v>
      </c>
      <c r="B53" s="6">
        <v>443</v>
      </c>
      <c r="C53" s="7" t="str">
        <f t="shared" si="5"/>
        <v>PremiumSS5</v>
      </c>
      <c r="D53" s="7" t="str">
        <f t="shared" si="6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192</v>
      </c>
      <c r="P53" s="46">
        <f t="shared" si="7"/>
        <v>1.919846412287017E-3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4" t="s">
        <v>251</v>
      </c>
      <c r="B54" s="8">
        <v>464</v>
      </c>
      <c r="C54" s="7" t="str">
        <f t="shared" si="5"/>
        <v>Premium5</v>
      </c>
      <c r="D54" s="7" t="str">
        <f t="shared" si="6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1408</v>
      </c>
      <c r="P54" s="46">
        <f t="shared" si="7"/>
        <v>1.4078873690104791E-2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4" t="s">
        <v>251</v>
      </c>
      <c r="B55" s="6">
        <v>466</v>
      </c>
      <c r="C55" s="7" t="str">
        <f t="shared" si="5"/>
        <v>PremiumSS5</v>
      </c>
      <c r="D55" s="7" t="str">
        <f t="shared" si="6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192</v>
      </c>
      <c r="P55" s="46">
        <f t="shared" si="7"/>
        <v>1.919846412287017E-3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4" t="s">
        <v>251</v>
      </c>
      <c r="B56" s="6">
        <v>468</v>
      </c>
      <c r="C56" s="7" t="str">
        <f t="shared" si="5"/>
        <v>PremiumSS5</v>
      </c>
      <c r="D56" s="7" t="str">
        <f t="shared" si="6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192</v>
      </c>
      <c r="P56" s="46">
        <f t="shared" si="7"/>
        <v>1.919846412287017E-3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4" t="s">
        <v>251</v>
      </c>
      <c r="B57" s="6">
        <v>471</v>
      </c>
      <c r="C57" s="7" t="str">
        <f t="shared" si="5"/>
        <v>Premium5</v>
      </c>
      <c r="D57" s="7" t="str">
        <f t="shared" si="6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1408</v>
      </c>
      <c r="P57" s="46">
        <f t="shared" si="7"/>
        <v>1.4078873690104791E-2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4" t="s">
        <v>251</v>
      </c>
      <c r="B58" s="6">
        <v>475</v>
      </c>
      <c r="C58" s="7" t="str">
        <f t="shared" si="5"/>
        <v>PremiumSS5</v>
      </c>
      <c r="D58" s="7" t="str">
        <f t="shared" si="6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192</v>
      </c>
      <c r="P58" s="46">
        <f t="shared" si="7"/>
        <v>1.919846412287017E-3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4" t="s">
        <v>251</v>
      </c>
      <c r="B59" s="6">
        <v>478</v>
      </c>
      <c r="C59" s="7" t="str">
        <f t="shared" si="5"/>
        <v>Premium5</v>
      </c>
      <c r="D59" s="7" t="str">
        <f t="shared" si="6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1408</v>
      </c>
      <c r="P59" s="46">
        <f t="shared" si="7"/>
        <v>1.4078873690104791E-2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4" t="s">
        <v>251</v>
      </c>
      <c r="B60" s="6">
        <v>480</v>
      </c>
      <c r="C60" s="7" t="str">
        <f t="shared" si="5"/>
        <v>PremiumSS5</v>
      </c>
      <c r="D60" s="7" t="str">
        <f t="shared" si="6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192</v>
      </c>
      <c r="P60" s="46">
        <f t="shared" si="7"/>
        <v>1.919846412287017E-3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4" t="s">
        <v>251</v>
      </c>
      <c r="B61" s="6">
        <v>483</v>
      </c>
      <c r="C61" s="7" t="str">
        <f t="shared" si="5"/>
        <v>Premium5</v>
      </c>
      <c r="D61" s="7" t="str">
        <f t="shared" si="6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1408</v>
      </c>
      <c r="P61" s="46">
        <f t="shared" si="7"/>
        <v>1.4078873690104791E-2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4" t="s">
        <v>251</v>
      </c>
      <c r="B62" s="6">
        <v>493</v>
      </c>
      <c r="C62" s="7" t="str">
        <f t="shared" si="5"/>
        <v>PremiumSS5</v>
      </c>
      <c r="D62" s="7" t="str">
        <f t="shared" si="6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192</v>
      </c>
      <c r="P62" s="46">
        <f t="shared" si="7"/>
        <v>1.919846412287017E-3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4" t="s">
        <v>251</v>
      </c>
      <c r="B63" s="6">
        <v>495</v>
      </c>
      <c r="C63" s="7" t="str">
        <f t="shared" si="5"/>
        <v>PremiumSS5</v>
      </c>
      <c r="D63" s="7" t="str">
        <f t="shared" si="6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192</v>
      </c>
      <c r="P63" s="46">
        <f t="shared" si="7"/>
        <v>1.919846412287017E-3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4" t="s">
        <v>251</v>
      </c>
      <c r="B64" s="6">
        <v>498</v>
      </c>
      <c r="C64" s="7" t="str">
        <f t="shared" si="5"/>
        <v>Premium5</v>
      </c>
      <c r="D64" s="7" t="str">
        <f t="shared" si="6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1408</v>
      </c>
      <c r="P64" s="46">
        <f t="shared" si="7"/>
        <v>1.4078873690104791E-2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4" t="s">
        <v>251</v>
      </c>
      <c r="B65" s="6">
        <v>500</v>
      </c>
      <c r="C65" s="7" t="str">
        <f t="shared" si="5"/>
        <v>PremiumSS5</v>
      </c>
      <c r="D65" s="7" t="str">
        <f t="shared" si="6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192</v>
      </c>
      <c r="P65" s="46">
        <f t="shared" si="7"/>
        <v>1.919846412287017E-3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4" t="s">
        <v>251</v>
      </c>
      <c r="B66" s="6">
        <v>587</v>
      </c>
      <c r="C66" s="7" t="str">
        <f t="shared" si="5"/>
        <v>PremiumSS5</v>
      </c>
      <c r="D66" s="7" t="str">
        <f t="shared" si="6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 t="shared" si="2"/>
        <v>192</v>
      </c>
      <c r="P66" s="46">
        <f t="shared" si="7"/>
        <v>1.919846412287017E-3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4" t="s">
        <v>251</v>
      </c>
      <c r="B67" s="6">
        <v>590</v>
      </c>
      <c r="C67" s="7" t="str">
        <f t="shared" si="5"/>
        <v>Premium5</v>
      </c>
      <c r="D67" s="7" t="str">
        <f t="shared" si="6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ref="O67:O105" si="8">ROUND(IF(D67="PremiumSS",0.075/COUNTIF(D:D,"PremiumSS"),0.915/COUNTIF(D:D,"Premium"))*100000,0)</f>
        <v>1408</v>
      </c>
      <c r="P67" s="46">
        <f t="shared" si="7"/>
        <v>1.4078873690104791E-2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4" t="s">
        <v>251</v>
      </c>
      <c r="B68" s="6">
        <v>593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8"/>
        <v>1408</v>
      </c>
      <c r="P68" s="46">
        <f t="shared" si="7"/>
        <v>1.4078873690104791E-2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4" t="s">
        <v>251</v>
      </c>
      <c r="B69" s="6">
        <v>595</v>
      </c>
      <c r="C69" s="7" t="str">
        <f t="shared" si="5"/>
        <v>PremiumSS5</v>
      </c>
      <c r="D69" s="7" t="str">
        <f t="shared" si="6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 t="shared" si="8"/>
        <v>192</v>
      </c>
      <c r="P69" s="46">
        <f t="shared" si="7"/>
        <v>1.919846412287017E-3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4" t="s">
        <v>251</v>
      </c>
      <c r="B70" s="6">
        <v>598</v>
      </c>
      <c r="C70" s="7" t="str">
        <f t="shared" si="5"/>
        <v>Premium5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si="8"/>
        <v>1408</v>
      </c>
      <c r="P70" s="46">
        <f t="shared" si="7"/>
        <v>1.4078873690104791E-2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4" t="s">
        <v>251</v>
      </c>
      <c r="B71" s="6">
        <v>601</v>
      </c>
      <c r="C71" s="7" t="str">
        <f t="shared" ref="C71:C109" si="9">D71&amp;J71&amp;E71&amp;F71&amp;G71</f>
        <v>Premium5</v>
      </c>
      <c r="D71" s="7" t="str">
        <f t="shared" ref="D71:D109" si="10"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8"/>
        <v>1408</v>
      </c>
      <c r="P71" s="46">
        <f t="shared" ref="P71:P109" si="11">O71/SUM(O:O)</f>
        <v>1.4078873690104791E-2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4" t="s">
        <v>251</v>
      </c>
      <c r="B72" s="6">
        <v>603</v>
      </c>
      <c r="C72" s="7" t="str">
        <f t="shared" si="9"/>
        <v>PremiumSS5</v>
      </c>
      <c r="D72" s="7" t="str">
        <f t="shared" si="10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 t="shared" si="8"/>
        <v>192</v>
      </c>
      <c r="P72" s="46">
        <f t="shared" si="11"/>
        <v>1.919846412287017E-3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4" t="s">
        <v>251</v>
      </c>
      <c r="B73" s="6">
        <v>606</v>
      </c>
      <c r="C73" s="7" t="str">
        <f t="shared" si="9"/>
        <v>Premium5</v>
      </c>
      <c r="D73" s="7" t="str">
        <f t="shared" si="10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 t="shared" si="8"/>
        <v>1408</v>
      </c>
      <c r="P73" s="46">
        <f t="shared" si="11"/>
        <v>1.4078873690104791E-2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4" t="s">
        <v>251</v>
      </c>
      <c r="B74" s="6">
        <v>659</v>
      </c>
      <c r="C74" s="7" t="str">
        <f t="shared" si="9"/>
        <v>PremiumSS5</v>
      </c>
      <c r="D74" s="7" t="str">
        <f t="shared" si="10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 t="shared" si="8"/>
        <v>192</v>
      </c>
      <c r="P74" s="46">
        <f t="shared" si="11"/>
        <v>1.919846412287017E-3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4" t="s">
        <v>251</v>
      </c>
      <c r="B75" s="6">
        <v>661</v>
      </c>
      <c r="C75" s="7" t="str">
        <f t="shared" si="9"/>
        <v>PremiumSS5</v>
      </c>
      <c r="D75" s="7" t="str">
        <f t="shared" si="10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 t="shared" si="8"/>
        <v>192</v>
      </c>
      <c r="P75" s="46">
        <f t="shared" si="11"/>
        <v>1.919846412287017E-3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4" t="s">
        <v>251</v>
      </c>
      <c r="B76" s="6">
        <v>664</v>
      </c>
      <c r="C76" s="7" t="str">
        <f t="shared" si="9"/>
        <v>Premium5</v>
      </c>
      <c r="D76" s="7" t="str">
        <f t="shared" si="10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si="8"/>
        <v>1408</v>
      </c>
      <c r="P76" s="46">
        <f t="shared" si="11"/>
        <v>1.4078873690104791E-2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4" t="s">
        <v>251</v>
      </c>
      <c r="B77" s="6">
        <v>667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8"/>
        <v>1408</v>
      </c>
      <c r="P77" s="46">
        <f t="shared" si="11"/>
        <v>1.4078873690104791E-2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4" t="s">
        <v>251</v>
      </c>
      <c r="B78" s="60">
        <v>670</v>
      </c>
      <c r="C78" s="7" t="str">
        <f t="shared" si="9"/>
        <v>Premium5</v>
      </c>
      <c r="D78" s="7" t="str">
        <f t="shared" si="10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8"/>
        <v>1408</v>
      </c>
      <c r="P78" s="46">
        <f t="shared" si="11"/>
        <v>1.4078873690104791E-2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4" t="s">
        <v>251</v>
      </c>
      <c r="B79" s="60">
        <v>673</v>
      </c>
      <c r="C79" s="7" t="str">
        <f t="shared" si="9"/>
        <v>Premium5</v>
      </c>
      <c r="D79" s="7" t="str">
        <f t="shared" si="10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8"/>
        <v>1408</v>
      </c>
      <c r="P79" s="46">
        <f t="shared" si="11"/>
        <v>1.4078873690104791E-2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4" t="s">
        <v>251</v>
      </c>
      <c r="B80" s="60">
        <v>675</v>
      </c>
      <c r="C80" s="7" t="str">
        <f t="shared" si="9"/>
        <v>PremiumSS5</v>
      </c>
      <c r="D80" s="7" t="str">
        <f t="shared" si="10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t="shared" si="8"/>
        <v>192</v>
      </c>
      <c r="P80" s="46">
        <f t="shared" si="11"/>
        <v>1.919846412287017E-3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4" t="s">
        <v>251</v>
      </c>
      <c r="B81" s="60">
        <v>677</v>
      </c>
      <c r="C81" s="7" t="str">
        <f t="shared" si="9"/>
        <v>PremiumSS5</v>
      </c>
      <c r="D81" s="7" t="str">
        <f t="shared" si="10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t="shared" si="8"/>
        <v>192</v>
      </c>
      <c r="P81" s="46">
        <f t="shared" si="11"/>
        <v>1.919846412287017E-3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4" t="s">
        <v>251</v>
      </c>
      <c r="B82" s="60">
        <v>729</v>
      </c>
      <c r="C82" s="7" t="str">
        <f t="shared" si="9"/>
        <v>Premium5R3less</v>
      </c>
      <c r="D82" s="7" t="str">
        <f t="shared" si="10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si="8"/>
        <v>1408</v>
      </c>
      <c r="P82" s="46">
        <f t="shared" si="11"/>
        <v>1.4078873690104791E-2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4" t="s">
        <v>251</v>
      </c>
      <c r="B83" s="60">
        <v>731</v>
      </c>
      <c r="C83" s="7" t="str">
        <f t="shared" si="9"/>
        <v>Premium5R3less</v>
      </c>
      <c r="D83" s="7" t="str">
        <f t="shared" si="10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 t="shared" si="8"/>
        <v>1408</v>
      </c>
      <c r="P83" s="46">
        <f t="shared" si="11"/>
        <v>1.4078873690104791E-2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4" t="s">
        <v>251</v>
      </c>
      <c r="B84" s="60">
        <v>732</v>
      </c>
      <c r="C84" s="7" t="str">
        <f t="shared" si="9"/>
        <v>PremiumSS5R5only</v>
      </c>
      <c r="D84" s="7" t="str">
        <f t="shared" si="10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 t="shared" si="8"/>
        <v>192</v>
      </c>
      <c r="P84" s="46">
        <f t="shared" si="11"/>
        <v>1.919846412287017E-3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4" t="s">
        <v>251</v>
      </c>
      <c r="B85" s="60">
        <v>734</v>
      </c>
      <c r="C85" s="7" t="str">
        <f t="shared" si="9"/>
        <v>PremiumSS5R5only</v>
      </c>
      <c r="D85" s="7" t="str">
        <f t="shared" si="10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 t="shared" si="8"/>
        <v>192</v>
      </c>
      <c r="P85" s="46">
        <f t="shared" si="11"/>
        <v>1.919846412287017E-3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4" t="s">
        <v>251</v>
      </c>
      <c r="B86" s="60">
        <v>771</v>
      </c>
      <c r="C86" s="7" t="str">
        <f t="shared" si="9"/>
        <v>PremiumSS5</v>
      </c>
      <c r="D86" s="7" t="str">
        <f t="shared" si="10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 t="shared" si="8"/>
        <v>192</v>
      </c>
      <c r="P86" s="46">
        <f t="shared" si="11"/>
        <v>1.919846412287017E-3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4" t="s">
        <v>251</v>
      </c>
      <c r="B87" s="60">
        <v>773</v>
      </c>
      <c r="C87" s="7" t="str">
        <f t="shared" si="9"/>
        <v>PremiumSS5</v>
      </c>
      <c r="D87" s="7" t="str">
        <f t="shared" si="10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 t="shared" si="8"/>
        <v>192</v>
      </c>
      <c r="P87" s="46">
        <f t="shared" si="11"/>
        <v>1.919846412287017E-3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4" t="s">
        <v>251</v>
      </c>
      <c r="B88" s="60">
        <v>776</v>
      </c>
      <c r="C88" s="7" t="str">
        <f t="shared" si="9"/>
        <v>Premium5</v>
      </c>
      <c r="D88" s="7" t="str">
        <f t="shared" si="10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si="8"/>
        <v>1408</v>
      </c>
      <c r="P88" s="46">
        <f t="shared" si="11"/>
        <v>1.4078873690104791E-2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4" t="s">
        <v>251</v>
      </c>
      <c r="B89" s="60">
        <v>779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8"/>
        <v>1408</v>
      </c>
      <c r="P89" s="46">
        <f t="shared" si="11"/>
        <v>1.4078873690104791E-2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4" t="s">
        <v>251</v>
      </c>
      <c r="B90" s="78">
        <v>848</v>
      </c>
      <c r="C90" s="7" t="str">
        <f t="shared" si="9"/>
        <v>PremiumSS5R5only</v>
      </c>
      <c r="D90" s="7" t="str">
        <f t="shared" si="10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 t="shared" si="8"/>
        <v>192</v>
      </c>
      <c r="P90" s="46">
        <f t="shared" si="11"/>
        <v>1.919846412287017E-3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4" t="s">
        <v>251</v>
      </c>
      <c r="B91" s="78">
        <v>850</v>
      </c>
      <c r="C91" s="7" t="str">
        <f t="shared" si="9"/>
        <v>PremiumSS5R5only</v>
      </c>
      <c r="D91" s="7" t="str">
        <f t="shared" si="10"/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 t="shared" si="8"/>
        <v>192</v>
      </c>
      <c r="P91" s="46">
        <f t="shared" si="11"/>
        <v>1.919846412287017E-3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4" t="s">
        <v>251</v>
      </c>
      <c r="B92" s="78">
        <v>853</v>
      </c>
      <c r="C92" s="7" t="str">
        <f t="shared" si="9"/>
        <v>Premium5R3less</v>
      </c>
      <c r="D92" s="7" t="str">
        <f t="shared" si="10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1408</v>
      </c>
      <c r="P92" s="46">
        <f t="shared" si="11"/>
        <v>1.4078873690104791E-2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4" t="s">
        <v>251</v>
      </c>
      <c r="B93" s="78">
        <v>855</v>
      </c>
      <c r="C93" s="7" t="str">
        <f t="shared" si="9"/>
        <v>Premium5R3less</v>
      </c>
      <c r="D93" s="7" t="str">
        <f t="shared" si="10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8"/>
        <v>1408</v>
      </c>
      <c r="P93" s="46">
        <f t="shared" si="11"/>
        <v>1.4078873690104791E-2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4" t="s">
        <v>251</v>
      </c>
      <c r="B94" s="78">
        <v>863</v>
      </c>
      <c r="C94" s="7" t="str">
        <f t="shared" si="9"/>
        <v>Premium5R3less</v>
      </c>
      <c r="D94" s="7" t="str">
        <f t="shared" si="10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8"/>
        <v>1408</v>
      </c>
      <c r="P94" s="46">
        <f t="shared" si="11"/>
        <v>1.4078873690104791E-2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4" t="s">
        <v>251</v>
      </c>
      <c r="B95" s="78">
        <v>865</v>
      </c>
      <c r="C95" s="7" t="str">
        <f t="shared" si="9"/>
        <v>Premium5R3less</v>
      </c>
      <c r="D95" s="7" t="str">
        <f t="shared" si="10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 t="shared" si="8"/>
        <v>1408</v>
      </c>
      <c r="P95" s="46">
        <f t="shared" si="11"/>
        <v>1.4078873690104791E-2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4" t="s">
        <v>251</v>
      </c>
      <c r="B96" s="78">
        <v>866</v>
      </c>
      <c r="C96" s="7" t="str">
        <f t="shared" si="9"/>
        <v>PremiumSS5R5only</v>
      </c>
      <c r="D96" s="7" t="str">
        <f t="shared" si="10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 t="shared" si="8"/>
        <v>192</v>
      </c>
      <c r="P96" s="46">
        <f t="shared" si="11"/>
        <v>1.919846412287017E-3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4" t="s">
        <v>251</v>
      </c>
      <c r="B97" s="78">
        <v>868</v>
      </c>
      <c r="C97" s="7" t="str">
        <f t="shared" si="9"/>
        <v>PremiumSS5R5only</v>
      </c>
      <c r="D97" s="7" t="str">
        <f t="shared" si="10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 t="shared" si="8"/>
        <v>192</v>
      </c>
      <c r="P97" s="46">
        <f t="shared" si="11"/>
        <v>1.919846412287017E-3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4" t="s">
        <v>251</v>
      </c>
      <c r="B98" s="78">
        <v>742</v>
      </c>
      <c r="C98" s="7" t="str">
        <f t="shared" si="9"/>
        <v>PremiumSS5R5only</v>
      </c>
      <c r="D98" s="7" t="str">
        <f t="shared" si="10"/>
        <v>PremiumSS</v>
      </c>
      <c r="E98" s="7" t="str">
        <f>IF(COUNTIF('R6追加前'!A:A,B98)=0,IF(I98="PremiumSS","R5only","R3less"),"")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45">
        <f t="shared" si="8"/>
        <v>192</v>
      </c>
      <c r="P98" s="46">
        <f t="shared" si="11"/>
        <v>1.919846412287017E-3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84" t="s">
        <v>251</v>
      </c>
      <c r="B99" s="78">
        <v>744</v>
      </c>
      <c r="C99" s="7" t="str">
        <f t="shared" si="9"/>
        <v>PremiumSS5R5only</v>
      </c>
      <c r="D99" s="7" t="str">
        <f t="shared" si="10"/>
        <v>PremiumSS</v>
      </c>
      <c r="E99" s="7" t="str">
        <f>IF(COUNTIF('R6追加前'!A:A,B99)=0,IF(I99="PremiumSS","R5only","R3less"),"")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45">
        <f t="shared" si="8"/>
        <v>192</v>
      </c>
      <c r="P99" s="46">
        <f t="shared" si="11"/>
        <v>1.919846412287017E-3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84" t="s">
        <v>251</v>
      </c>
      <c r="B100" s="78">
        <v>747</v>
      </c>
      <c r="C100" s="7" t="str">
        <f t="shared" si="9"/>
        <v>Premium5R3less</v>
      </c>
      <c r="D100" s="7" t="str">
        <f t="shared" si="10"/>
        <v>Premium</v>
      </c>
      <c r="E100" s="7" t="str">
        <f>IF(COUNTIF('R6追加前'!A:A,B100)=0,IF(I100="PremiumSS","R5only","R3less"),"")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1408</v>
      </c>
      <c r="P100" s="46">
        <f t="shared" si="11"/>
        <v>1.4078873690104791E-2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84" t="s">
        <v>251</v>
      </c>
      <c r="B101" s="78">
        <v>749</v>
      </c>
      <c r="C101" s="7" t="str">
        <f t="shared" si="9"/>
        <v>Premium5R3less</v>
      </c>
      <c r="D101" s="7" t="str">
        <f t="shared" si="10"/>
        <v>Premium</v>
      </c>
      <c r="E101" s="7" t="str">
        <f>IF(COUNTIF('R6追加前'!A:A,B101)=0,IF(I101="PremiumSS","R5only","R3less"),"")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45">
        <f t="shared" si="8"/>
        <v>1408</v>
      </c>
      <c r="P101" s="46">
        <f t="shared" si="11"/>
        <v>1.4078873690104791E-2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84" t="s">
        <v>251</v>
      </c>
      <c r="B102" s="78">
        <v>937</v>
      </c>
      <c r="C102" s="7" t="str">
        <f t="shared" si="9"/>
        <v>PremiumSS5R5only</v>
      </c>
      <c r="D102" s="7" t="str">
        <f t="shared" si="10"/>
        <v>PremiumSS</v>
      </c>
      <c r="E102" s="7" t="str">
        <f>IF(COUNTIF('R6追加前'!A:A,B102)=0,IF(I102="PremiumSS","R5only","R3less"),"")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45">
        <f t="shared" si="8"/>
        <v>192</v>
      </c>
      <c r="P102" s="46">
        <f t="shared" si="11"/>
        <v>1.919846412287017E-3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84" t="s">
        <v>251</v>
      </c>
      <c r="B103" s="78">
        <v>940</v>
      </c>
      <c r="C103" s="7" t="str">
        <f t="shared" si="9"/>
        <v>Premium5R3less</v>
      </c>
      <c r="D103" s="7" t="str">
        <f t="shared" si="10"/>
        <v>Premium</v>
      </c>
      <c r="E103" s="7" t="str">
        <f>IF(COUNTIF('R6追加前'!A:A,B103)=0,IF(I103="PremiumSS","R5only","R3less"),"")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45">
        <f t="shared" si="8"/>
        <v>1408</v>
      </c>
      <c r="P103" s="46">
        <f t="shared" si="11"/>
        <v>1.4078873690104791E-2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84" t="s">
        <v>251</v>
      </c>
      <c r="B104" s="78">
        <v>941</v>
      </c>
      <c r="C104" s="7" t="str">
        <f t="shared" si="9"/>
        <v>PremiumSS5R5only</v>
      </c>
      <c r="D104" s="7" t="str">
        <f t="shared" si="10"/>
        <v>PremiumSS</v>
      </c>
      <c r="E104" s="7" t="str">
        <f>IF(COUNTIF('R6追加前'!A:A,B104)=0,IF(I104="PremiumSS","R5only","R3less"),"")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45">
        <f t="shared" si="8"/>
        <v>192</v>
      </c>
      <c r="P104" s="46">
        <f t="shared" si="11"/>
        <v>1.919846412287017E-3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84" t="s">
        <v>251</v>
      </c>
      <c r="B105" s="78">
        <v>943</v>
      </c>
      <c r="C105" s="7" t="str">
        <f t="shared" si="9"/>
        <v>PremiumSS5R5only</v>
      </c>
      <c r="D105" s="7" t="str">
        <f t="shared" si="10"/>
        <v>PremiumSS</v>
      </c>
      <c r="E105" s="7" t="str">
        <f>IF(COUNTIF('R6追加前'!A:A,B105)=0,IF(I105="PremiumSS","R5only","R3less"),"")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45">
        <f t="shared" si="8"/>
        <v>192</v>
      </c>
      <c r="P105" s="46">
        <f t="shared" si="11"/>
        <v>1.919846412287017E-3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84" t="s">
        <v>251</v>
      </c>
      <c r="B106" s="5">
        <v>379</v>
      </c>
      <c r="C106" s="7" t="str">
        <f t="shared" si="9"/>
        <v>PremiumSSS5R3less</v>
      </c>
      <c r="D106" s="7" t="str">
        <f t="shared" si="10"/>
        <v>PremiumSSS</v>
      </c>
      <c r="E106" s="7" t="str">
        <f>IF(COUNTIF('R6追加前'!A:A,B106)=0,IF(I106="PremiumSS","R5only","R3less"),"")</f>
        <v>R3less</v>
      </c>
      <c r="F106" s="7" t="str">
        <f>IF(COUNTIF('R6開放'!A:A,B106)&gt;0,"R6release","")</f>
        <v/>
      </c>
      <c r="G106" s="7"/>
      <c r="H106" s="7" t="str">
        <f>VLOOKUP(B106,[1]characters!$A:$C,3,FALSE)</f>
        <v>幾何の機刃 オイラー</v>
      </c>
      <c r="I106" s="7" t="str">
        <f>VLOOKUP(B106,[1]characters!$A:$J,10,FALSE)</f>
        <v>PremiumSSS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女性</v>
      </c>
      <c r="O106" s="45">
        <f>(0.01/4)*100000</f>
        <v>250</v>
      </c>
      <c r="P106" s="46">
        <f t="shared" si="11"/>
        <v>2.4998000159987201E-3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84" t="s">
        <v>251</v>
      </c>
      <c r="B107" s="5">
        <v>411</v>
      </c>
      <c r="C107" s="7" t="str">
        <f t="shared" si="9"/>
        <v>PremiumSSS5R3less</v>
      </c>
      <c r="D107" s="7" t="str">
        <f t="shared" si="10"/>
        <v>PremiumSSS</v>
      </c>
      <c r="E107" s="7" t="str">
        <f>IF(COUNTIF('R6追加前'!A:A,B107)=0,IF(I107="PremiumSS","R5only","R3less"),"")</f>
        <v>R3less</v>
      </c>
      <c r="F107" s="7" t="str">
        <f>IF(COUNTIF('R6開放'!A:A,B107)&gt;0,"R6release","")</f>
        <v/>
      </c>
      <c r="G107" s="7"/>
      <c r="H107" s="7" t="str">
        <f>VLOOKUP(B107,[1]characters!$A:$C,3,FALSE)</f>
        <v>電隷の始祖 ファラデー</v>
      </c>
      <c r="I107" s="7" t="str">
        <f>VLOOKUP(B107,[1]characters!$A:$J,10,FALSE)</f>
        <v>PremiumSSS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balance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t="shared" ref="O107:O109" si="12">(0.01/4)*100000</f>
        <v>250</v>
      </c>
      <c r="P107" s="46">
        <f t="shared" si="11"/>
        <v>2.4998000159987201E-3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84" t="s">
        <v>251</v>
      </c>
      <c r="B108" s="5">
        <v>689</v>
      </c>
      <c r="C108" s="7" t="str">
        <f t="shared" si="9"/>
        <v>PremiumSSS5R3less</v>
      </c>
      <c r="D108" s="7" t="str">
        <f t="shared" si="10"/>
        <v>PremiumSSS</v>
      </c>
      <c r="E108" s="7" t="str">
        <f>IF(COUNTIF('R6追加前'!A:A,B108)=0,IF(I108="PremiumSS","R5only","R3less"),"")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根原論理 ユークリッド</v>
      </c>
      <c r="I108" s="7" t="str">
        <f>VLOOKUP(B108,[1]characters!$A:$J,10,FALSE)</f>
        <v>PremiumSSS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t="shared" si="12"/>
        <v>250</v>
      </c>
      <c r="P108" s="46">
        <f t="shared" si="11"/>
        <v>2.4998000159987201E-3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84" t="s">
        <v>251</v>
      </c>
      <c r="B109" s="5">
        <v>870</v>
      </c>
      <c r="C109" s="7" t="str">
        <f t="shared" si="9"/>
        <v>PremiumSSS5R3less</v>
      </c>
      <c r="D109" s="7" t="str">
        <f t="shared" si="10"/>
        <v>PremiumSSS</v>
      </c>
      <c r="E109" s="7" t="str">
        <f>IF(COUNTIF('R6追加前'!A:A,B109)=0,IF(I109="PremiumSS","R5only","R3less"),"")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フロイト</v>
      </c>
      <c r="I109" s="7" t="str">
        <f>VLOOKUP(B109,[1]characters!$A:$J,10,FALSE)</f>
        <v>PremiumSSS</v>
      </c>
      <c r="J109" s="7">
        <f>VLOOKUP(B109,[1]characters!$A:$I,9,FALSE)</f>
        <v>5</v>
      </c>
      <c r="K109" s="7" t="str">
        <f>VLOOKUP(B109,[1]characters!$A:$H,8,FALSE)</f>
        <v>red</v>
      </c>
      <c r="L109" s="7" t="str">
        <f>VLOOKUP(B109,[1]characters!$A:$K,11,FALSE)</f>
        <v>balance</v>
      </c>
      <c r="M109" s="7" t="str">
        <f>VLOOKUP(B109,[1]characters!$A:$M,13,FALSE)</f>
        <v>academia</v>
      </c>
      <c r="N109" s="7" t="str">
        <f>VLOOKUP(B109,[1]characters!$A:$G,7,FALSE)</f>
        <v>男性</v>
      </c>
      <c r="O109" s="45">
        <f t="shared" si="12"/>
        <v>250</v>
      </c>
      <c r="P109" s="46">
        <f t="shared" si="11"/>
        <v>2.4998000159987201E-3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</sheetData>
  <autoFilter ref="A1:V109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5" t="s">
        <v>217</v>
      </c>
      <c r="B2" s="75" t="s">
        <v>218</v>
      </c>
      <c r="C2" s="76" t="s">
        <v>213</v>
      </c>
      <c r="D2" s="76">
        <v>125</v>
      </c>
      <c r="E2" s="76">
        <v>1</v>
      </c>
      <c r="F2" s="76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6" t="s">
        <v>190</v>
      </c>
      <c r="O2" s="76" t="s">
        <v>215</v>
      </c>
      <c r="P2" s="76" t="s">
        <v>216</v>
      </c>
      <c r="Q2" s="77" t="s">
        <v>220</v>
      </c>
    </row>
    <row r="3" spans="1:17" ht="21" customHeight="1" x14ac:dyDescent="0.15">
      <c r="A3" s="75" t="s">
        <v>222</v>
      </c>
      <c r="B3" s="75" t="s">
        <v>219</v>
      </c>
      <c r="C3" s="1" t="s">
        <v>210</v>
      </c>
      <c r="D3" s="1">
        <v>125</v>
      </c>
      <c r="E3" s="1">
        <v>3</v>
      </c>
      <c r="F3" s="1">
        <v>1</v>
      </c>
      <c r="G3" s="83">
        <v>0</v>
      </c>
      <c r="H3" s="83">
        <v>0</v>
      </c>
      <c r="I3" s="83">
        <v>0</v>
      </c>
      <c r="J3" s="83">
        <v>0</v>
      </c>
      <c r="K3" s="83">
        <v>1</v>
      </c>
      <c r="L3" s="83">
        <v>1</v>
      </c>
      <c r="M3" s="83">
        <v>1</v>
      </c>
      <c r="N3" s="76" t="s">
        <v>190</v>
      </c>
      <c r="O3" s="76" t="s">
        <v>214</v>
      </c>
      <c r="P3" s="76" t="s">
        <v>216</v>
      </c>
      <c r="Q3" s="77" t="s">
        <v>221</v>
      </c>
    </row>
    <row r="4" spans="1:17" ht="21" customHeight="1" x14ac:dyDescent="0.15">
      <c r="A4" s="75"/>
      <c r="B4" s="75"/>
      <c r="G4" s="83"/>
      <c r="H4" s="83"/>
      <c r="I4" s="83"/>
      <c r="J4" s="83"/>
      <c r="K4" s="83"/>
      <c r="L4" s="83"/>
      <c r="M4" s="83"/>
      <c r="N4" s="76"/>
      <c r="O4" s="76"/>
      <c r="P4" s="76"/>
      <c r="Q4" s="77"/>
    </row>
    <row r="5" spans="1:17" ht="21" customHeight="1" x14ac:dyDescent="0.15">
      <c r="A5" s="75"/>
      <c r="B5" s="75"/>
      <c r="G5" s="83"/>
      <c r="H5" s="83"/>
      <c r="I5" s="83"/>
      <c r="J5" s="83"/>
      <c r="K5" s="83"/>
      <c r="L5" s="83"/>
      <c r="M5" s="83"/>
      <c r="N5" s="76"/>
      <c r="O5" s="76"/>
      <c r="P5" s="76"/>
      <c r="Q5" s="77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input_382010</vt:lpstr>
      <vt:lpstr>tables_382010</vt:lpstr>
      <vt:lpstr>input_382100</vt:lpstr>
      <vt:lpstr>tables_382100</vt:lpstr>
      <vt:lpstr>tables_settle_378100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2016-08-04T12:06:28Z</dcterms:modified>
</cp:coreProperties>
</file>